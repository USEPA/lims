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llahan_curtis_epa_gov/Documents/Profile/Desktop/LIMS Working Files/Kovalick/"/>
    </mc:Choice>
  </mc:AlternateContent>
  <xr:revisionPtr revIDLastSave="123" documentId="8_{995269E4-BC27-4F75-9859-C1DE384B5E58}" xr6:coauthVersionLast="47" xr6:coauthVersionMax="47" xr10:uidLastSave="{E80AE46A-A8B6-4032-8DD5-85D820AEDF56}"/>
  <bookViews>
    <workbookView xWindow="-120" yWindow="-120" windowWidth="29040" windowHeight="15720" xr2:uid="{00000000-000D-0000-FFFF-FFFF00000000}"/>
  </bookViews>
  <sheets>
    <sheet name="Raw_ICPMS" sheetId="2" r:id="rId1"/>
    <sheet name="Lookup" sheetId="3" r:id="rId2"/>
    <sheet name="Processed" sheetId="4" r:id="rId3"/>
    <sheet name="IS_Check" sheetId="5" r:id="rId4"/>
    <sheet name="QC" sheetId="6" r:id="rId5"/>
  </sheets>
  <definedNames>
    <definedName name="_xlnm._FilterDatabase" localSheetId="3" hidden="1">IS_Check!#REF!</definedName>
    <definedName name="_xlnm._FilterDatabase" localSheetId="2" hidden="1">Processed!$B$1:$FX$120</definedName>
    <definedName name="_xlnm._FilterDatabase" localSheetId="4" hidden="1">QC!#REF!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T118" i="4" l="1"/>
  <c r="FQ118" i="4"/>
  <c r="FN118" i="4"/>
  <c r="FK118" i="4"/>
  <c r="FH118" i="4"/>
  <c r="FE118" i="4"/>
  <c r="FB118" i="4"/>
  <c r="EY118" i="4"/>
  <c r="EV118" i="4"/>
  <c r="ES118" i="4"/>
  <c r="EP118" i="4"/>
  <c r="EM118" i="4"/>
  <c r="EJ118" i="4"/>
  <c r="EG118" i="4"/>
  <c r="ED118" i="4"/>
  <c r="EA118" i="4"/>
  <c r="DX118" i="4"/>
  <c r="DU118" i="4"/>
  <c r="DR118" i="4"/>
  <c r="DO118" i="4"/>
  <c r="DL118" i="4"/>
  <c r="DI118" i="4"/>
  <c r="DF118" i="4"/>
  <c r="DC118" i="4"/>
  <c r="CZ118" i="4"/>
  <c r="CW118" i="4"/>
  <c r="CT118" i="4"/>
  <c r="CQ118" i="4"/>
  <c r="CN118" i="4"/>
  <c r="CK118" i="4"/>
  <c r="CH118" i="4"/>
  <c r="CE118" i="4"/>
  <c r="CB118" i="4"/>
  <c r="BY118" i="4"/>
  <c r="BV118" i="4"/>
  <c r="BS118" i="4"/>
  <c r="BP118" i="4"/>
  <c r="BM118" i="4"/>
  <c r="BJ118" i="4"/>
  <c r="BG118" i="4"/>
  <c r="BD118" i="4"/>
  <c r="BA118" i="4"/>
  <c r="AX118" i="4"/>
  <c r="AU118" i="4"/>
  <c r="AR118" i="4"/>
  <c r="AO118" i="4"/>
  <c r="AL118" i="4"/>
  <c r="AI118" i="4"/>
  <c r="AF118" i="4"/>
  <c r="AC118" i="4"/>
  <c r="Z118" i="4"/>
  <c r="W118" i="4"/>
  <c r="T118" i="4"/>
  <c r="Q118" i="4"/>
  <c r="N118" i="4"/>
  <c r="K118" i="4"/>
  <c r="H118" i="4"/>
  <c r="E118" i="4"/>
  <c r="FT105" i="4"/>
  <c r="FQ105" i="4"/>
  <c r="FN105" i="4"/>
  <c r="FK105" i="4"/>
  <c r="FH105" i="4"/>
  <c r="FE105" i="4"/>
  <c r="FB105" i="4"/>
  <c r="EY105" i="4"/>
  <c r="EV105" i="4"/>
  <c r="ES105" i="4"/>
  <c r="EP105" i="4"/>
  <c r="EM105" i="4"/>
  <c r="EJ105" i="4"/>
  <c r="EG105" i="4"/>
  <c r="ED105" i="4"/>
  <c r="EA105" i="4"/>
  <c r="DX105" i="4"/>
  <c r="DU105" i="4"/>
  <c r="DR105" i="4"/>
  <c r="DO105" i="4"/>
  <c r="DL105" i="4"/>
  <c r="DI105" i="4"/>
  <c r="DF105" i="4"/>
  <c r="DC105" i="4"/>
  <c r="CZ105" i="4"/>
  <c r="CW105" i="4"/>
  <c r="CT105" i="4"/>
  <c r="CQ105" i="4"/>
  <c r="CN105" i="4"/>
  <c r="CK105" i="4"/>
  <c r="CH105" i="4"/>
  <c r="CE105" i="4"/>
  <c r="CB105" i="4"/>
  <c r="BY105" i="4"/>
  <c r="BV105" i="4"/>
  <c r="BS105" i="4"/>
  <c r="BP105" i="4"/>
  <c r="BM105" i="4"/>
  <c r="BJ105" i="4"/>
  <c r="BG105" i="4"/>
  <c r="BD105" i="4"/>
  <c r="BA105" i="4"/>
  <c r="AX105" i="4"/>
  <c r="AU105" i="4"/>
  <c r="AR105" i="4"/>
  <c r="AO105" i="4"/>
  <c r="AL105" i="4"/>
  <c r="AI105" i="4"/>
  <c r="AF105" i="4"/>
  <c r="AC105" i="4"/>
  <c r="Z105" i="4"/>
  <c r="W105" i="4"/>
  <c r="T105" i="4"/>
  <c r="Q105" i="4"/>
  <c r="N105" i="4"/>
  <c r="K105" i="4"/>
  <c r="H105" i="4"/>
  <c r="E105" i="4"/>
  <c r="FT92" i="4"/>
  <c r="FQ92" i="4"/>
  <c r="FN92" i="4"/>
  <c r="FK92" i="4"/>
  <c r="FH92" i="4"/>
  <c r="FE92" i="4"/>
  <c r="FB92" i="4"/>
  <c r="EY92" i="4"/>
  <c r="EV92" i="4"/>
  <c r="ES92" i="4"/>
  <c r="EP92" i="4"/>
  <c r="EM92" i="4"/>
  <c r="EJ92" i="4"/>
  <c r="EG92" i="4"/>
  <c r="ED92" i="4"/>
  <c r="EA92" i="4"/>
  <c r="DX92" i="4"/>
  <c r="DU92" i="4"/>
  <c r="DR92" i="4"/>
  <c r="DO92" i="4"/>
  <c r="DL92" i="4"/>
  <c r="DI92" i="4"/>
  <c r="DF92" i="4"/>
  <c r="DC92" i="4"/>
  <c r="CZ92" i="4"/>
  <c r="CW92" i="4"/>
  <c r="CT92" i="4"/>
  <c r="CQ92" i="4"/>
  <c r="CN92" i="4"/>
  <c r="CK92" i="4"/>
  <c r="CH92" i="4"/>
  <c r="CE92" i="4"/>
  <c r="CB92" i="4"/>
  <c r="BY92" i="4"/>
  <c r="BV92" i="4"/>
  <c r="BS92" i="4"/>
  <c r="BP92" i="4"/>
  <c r="BM92" i="4"/>
  <c r="BJ92" i="4"/>
  <c r="BG92" i="4"/>
  <c r="BD92" i="4"/>
  <c r="BA92" i="4"/>
  <c r="AX92" i="4"/>
  <c r="AU92" i="4"/>
  <c r="AR92" i="4"/>
  <c r="AO92" i="4"/>
  <c r="AL92" i="4"/>
  <c r="AI92" i="4"/>
  <c r="AF92" i="4"/>
  <c r="AC92" i="4"/>
  <c r="Z92" i="4"/>
  <c r="W92" i="4"/>
  <c r="T92" i="4"/>
  <c r="Q92" i="4"/>
  <c r="N92" i="4"/>
  <c r="K92" i="4"/>
  <c r="H92" i="4"/>
  <c r="E92" i="4"/>
  <c r="FT79" i="4"/>
  <c r="FQ79" i="4"/>
  <c r="FN79" i="4"/>
  <c r="FK79" i="4"/>
  <c r="FH79" i="4"/>
  <c r="FE79" i="4"/>
  <c r="FB79" i="4"/>
  <c r="EY79" i="4"/>
  <c r="EV79" i="4"/>
  <c r="ES79" i="4"/>
  <c r="EP79" i="4"/>
  <c r="EM79" i="4"/>
  <c r="EJ79" i="4"/>
  <c r="EG79" i="4"/>
  <c r="ED79" i="4"/>
  <c r="EA79" i="4"/>
  <c r="DX79" i="4"/>
  <c r="DU79" i="4"/>
  <c r="DR79" i="4"/>
  <c r="DO79" i="4"/>
  <c r="DL79" i="4"/>
  <c r="DI79" i="4"/>
  <c r="DF79" i="4"/>
  <c r="DC79" i="4"/>
  <c r="CZ79" i="4"/>
  <c r="CW79" i="4"/>
  <c r="CT79" i="4"/>
  <c r="CQ79" i="4"/>
  <c r="CN79" i="4"/>
  <c r="CK79" i="4"/>
  <c r="CH79" i="4"/>
  <c r="CE79" i="4"/>
  <c r="CB79" i="4"/>
  <c r="BY79" i="4"/>
  <c r="BV79" i="4"/>
  <c r="BS79" i="4"/>
  <c r="BP79" i="4"/>
  <c r="BM79" i="4"/>
  <c r="BJ79" i="4"/>
  <c r="BG79" i="4"/>
  <c r="BD79" i="4"/>
  <c r="BA79" i="4"/>
  <c r="AX79" i="4"/>
  <c r="AU79" i="4"/>
  <c r="AR79" i="4"/>
  <c r="AO79" i="4"/>
  <c r="AL79" i="4"/>
  <c r="AI79" i="4"/>
  <c r="AF79" i="4"/>
  <c r="AC79" i="4"/>
  <c r="Z79" i="4"/>
  <c r="W79" i="4"/>
  <c r="T79" i="4"/>
  <c r="Q79" i="4"/>
  <c r="N79" i="4"/>
  <c r="K79" i="4"/>
  <c r="H79" i="4"/>
  <c r="E79" i="4"/>
  <c r="FT66" i="4"/>
  <c r="FQ66" i="4"/>
  <c r="FN66" i="4"/>
  <c r="FK66" i="4"/>
  <c r="FH66" i="4"/>
  <c r="FE66" i="4"/>
  <c r="FB66" i="4"/>
  <c r="EY66" i="4"/>
  <c r="EV66" i="4"/>
  <c r="ES66" i="4"/>
  <c r="EP66" i="4"/>
  <c r="EM66" i="4"/>
  <c r="EJ66" i="4"/>
  <c r="EG66" i="4"/>
  <c r="ED66" i="4"/>
  <c r="EA66" i="4"/>
  <c r="DX66" i="4"/>
  <c r="DU66" i="4"/>
  <c r="DR66" i="4"/>
  <c r="DO66" i="4"/>
  <c r="DL66" i="4"/>
  <c r="DI66" i="4"/>
  <c r="DF66" i="4"/>
  <c r="DC66" i="4"/>
  <c r="CZ66" i="4"/>
  <c r="CW66" i="4"/>
  <c r="CT66" i="4"/>
  <c r="CQ66" i="4"/>
  <c r="CN66" i="4"/>
  <c r="CK66" i="4"/>
  <c r="CH66" i="4"/>
  <c r="CE66" i="4"/>
  <c r="CB66" i="4"/>
  <c r="BY66" i="4"/>
  <c r="BV66" i="4"/>
  <c r="BS66" i="4"/>
  <c r="BP66" i="4"/>
  <c r="BM66" i="4"/>
  <c r="BJ66" i="4"/>
  <c r="BG66" i="4"/>
  <c r="BD66" i="4"/>
  <c r="BA66" i="4"/>
  <c r="AX66" i="4"/>
  <c r="AU66" i="4"/>
  <c r="AR66" i="4"/>
  <c r="AO66" i="4"/>
  <c r="AL66" i="4"/>
  <c r="AI66" i="4"/>
  <c r="AF66" i="4"/>
  <c r="AC66" i="4"/>
  <c r="Z66" i="4"/>
  <c r="W66" i="4"/>
  <c r="T66" i="4"/>
  <c r="Q66" i="4"/>
  <c r="N66" i="4"/>
  <c r="K66" i="4"/>
  <c r="H66" i="4"/>
  <c r="E66" i="4"/>
  <c r="FT53" i="4"/>
  <c r="FQ53" i="4"/>
  <c r="FN53" i="4"/>
  <c r="FK53" i="4"/>
  <c r="FH53" i="4"/>
  <c r="FE53" i="4"/>
  <c r="FB53" i="4"/>
  <c r="EY53" i="4"/>
  <c r="EV53" i="4"/>
  <c r="ES53" i="4"/>
  <c r="EP53" i="4"/>
  <c r="EM53" i="4"/>
  <c r="EJ53" i="4"/>
  <c r="EG53" i="4"/>
  <c r="ED53" i="4"/>
  <c r="EA53" i="4"/>
  <c r="DX53" i="4"/>
  <c r="DU53" i="4"/>
  <c r="DR53" i="4"/>
  <c r="DO53" i="4"/>
  <c r="DL53" i="4"/>
  <c r="DI53" i="4"/>
  <c r="DF53" i="4"/>
  <c r="DC53" i="4"/>
  <c r="CZ53" i="4"/>
  <c r="CW53" i="4"/>
  <c r="CT53" i="4"/>
  <c r="CQ53" i="4"/>
  <c r="CN53" i="4"/>
  <c r="CK53" i="4"/>
  <c r="CH53" i="4"/>
  <c r="CE53" i="4"/>
  <c r="CB53" i="4"/>
  <c r="BY53" i="4"/>
  <c r="BV53" i="4"/>
  <c r="BS53" i="4"/>
  <c r="BP53" i="4"/>
  <c r="BM53" i="4"/>
  <c r="BJ53" i="4"/>
  <c r="BG53" i="4"/>
  <c r="BD53" i="4"/>
  <c r="BA53" i="4"/>
  <c r="AX53" i="4"/>
  <c r="AU53" i="4"/>
  <c r="AR53" i="4"/>
  <c r="AO53" i="4"/>
  <c r="AL53" i="4"/>
  <c r="AI53" i="4"/>
  <c r="AF53" i="4"/>
  <c r="AC53" i="4"/>
  <c r="Z53" i="4"/>
  <c r="W53" i="4"/>
  <c r="T53" i="4"/>
  <c r="Q53" i="4"/>
  <c r="N53" i="4"/>
  <c r="K53" i="4"/>
  <c r="H53" i="4"/>
  <c r="E53" i="4"/>
  <c r="FT40" i="4"/>
  <c r="FQ40" i="4"/>
  <c r="FN40" i="4"/>
  <c r="FK40" i="4"/>
  <c r="FH40" i="4"/>
  <c r="FE40" i="4"/>
  <c r="FB40" i="4"/>
  <c r="EY40" i="4"/>
  <c r="EV40" i="4"/>
  <c r="ES40" i="4"/>
  <c r="EP40" i="4"/>
  <c r="EM40" i="4"/>
  <c r="EJ40" i="4"/>
  <c r="EG40" i="4"/>
  <c r="ED40" i="4"/>
  <c r="EA40" i="4"/>
  <c r="DX40" i="4"/>
  <c r="DU40" i="4"/>
  <c r="DR40" i="4"/>
  <c r="DO40" i="4"/>
  <c r="DL40" i="4"/>
  <c r="DI40" i="4"/>
  <c r="DF40" i="4"/>
  <c r="DC40" i="4"/>
  <c r="CZ40" i="4"/>
  <c r="CW40" i="4"/>
  <c r="CT40" i="4"/>
  <c r="CQ40" i="4"/>
  <c r="CN40" i="4"/>
  <c r="CK40" i="4"/>
  <c r="CH40" i="4"/>
  <c r="CE40" i="4"/>
  <c r="CB40" i="4"/>
  <c r="BY40" i="4"/>
  <c r="BV40" i="4"/>
  <c r="BS40" i="4"/>
  <c r="BP40" i="4"/>
  <c r="BM40" i="4"/>
  <c r="BJ40" i="4"/>
  <c r="BG40" i="4"/>
  <c r="BD40" i="4"/>
  <c r="BA40" i="4"/>
  <c r="AX40" i="4"/>
  <c r="AU40" i="4"/>
  <c r="AR40" i="4"/>
  <c r="AO40" i="4"/>
  <c r="AL40" i="4"/>
  <c r="AI40" i="4"/>
  <c r="AF40" i="4"/>
  <c r="AC40" i="4"/>
  <c r="Z40" i="4"/>
  <c r="W40" i="4"/>
  <c r="T40" i="4"/>
  <c r="Q40" i="4"/>
  <c r="N40" i="4"/>
  <c r="K40" i="4"/>
  <c r="H40" i="4"/>
  <c r="E40" i="4"/>
  <c r="FT27" i="4"/>
  <c r="FQ27" i="4"/>
  <c r="FN27" i="4"/>
  <c r="FK27" i="4"/>
  <c r="FH27" i="4"/>
  <c r="FE27" i="4"/>
  <c r="FB27" i="4"/>
  <c r="EY27" i="4"/>
  <c r="EV27" i="4"/>
  <c r="ES27" i="4"/>
  <c r="EP27" i="4"/>
  <c r="EM27" i="4"/>
  <c r="EJ27" i="4"/>
  <c r="EG27" i="4"/>
  <c r="ED27" i="4"/>
  <c r="EA27" i="4"/>
  <c r="DX27" i="4"/>
  <c r="DU27" i="4"/>
  <c r="DR27" i="4"/>
  <c r="DO27" i="4"/>
  <c r="DL27" i="4"/>
  <c r="DI27" i="4"/>
  <c r="DF27" i="4"/>
  <c r="DC27" i="4"/>
  <c r="CZ27" i="4"/>
  <c r="CW27" i="4"/>
  <c r="CT27" i="4"/>
  <c r="CQ27" i="4"/>
  <c r="CN27" i="4"/>
  <c r="CK27" i="4"/>
  <c r="CH27" i="4"/>
  <c r="CE27" i="4"/>
  <c r="CB27" i="4"/>
  <c r="BY27" i="4"/>
  <c r="BV27" i="4"/>
  <c r="BS27" i="4"/>
  <c r="BP27" i="4"/>
  <c r="BM27" i="4"/>
  <c r="BJ27" i="4"/>
  <c r="BG27" i="4"/>
  <c r="BD27" i="4"/>
  <c r="BA27" i="4"/>
  <c r="AX27" i="4"/>
  <c r="AU27" i="4"/>
  <c r="AR27" i="4"/>
  <c r="AO27" i="4"/>
  <c r="AL27" i="4"/>
  <c r="AI27" i="4"/>
  <c r="AF27" i="4"/>
  <c r="AC27" i="4"/>
  <c r="Z27" i="4"/>
  <c r="W27" i="4"/>
  <c r="T27" i="4"/>
  <c r="Q27" i="4"/>
  <c r="N27" i="4"/>
  <c r="K27" i="4"/>
  <c r="H27" i="4"/>
  <c r="E27" i="4"/>
  <c r="L58" i="3"/>
  <c r="K58" i="3"/>
  <c r="J58" i="3"/>
  <c r="H58" i="3"/>
  <c r="G58" i="3"/>
  <c r="L55" i="3"/>
  <c r="K55" i="3"/>
  <c r="J55" i="3"/>
  <c r="H55" i="3"/>
  <c r="G55" i="3"/>
  <c r="H54" i="3"/>
  <c r="G54" i="3"/>
  <c r="L53" i="3"/>
  <c r="K53" i="3"/>
  <c r="J53" i="3"/>
  <c r="H53" i="3"/>
  <c r="G53" i="3"/>
  <c r="L49" i="3"/>
  <c r="K49" i="3"/>
  <c r="J49" i="3"/>
  <c r="H49" i="3"/>
  <c r="G49" i="3"/>
  <c r="H44" i="3"/>
  <c r="G44" i="3"/>
  <c r="L43" i="3"/>
  <c r="K43" i="3"/>
  <c r="J43" i="3"/>
  <c r="H43" i="3"/>
  <c r="G43" i="3"/>
  <c r="L42" i="3"/>
  <c r="K42" i="3"/>
  <c r="J42" i="3"/>
  <c r="H42" i="3"/>
  <c r="G42" i="3"/>
  <c r="L40" i="3"/>
  <c r="K40" i="3"/>
  <c r="J40" i="3"/>
  <c r="H40" i="3"/>
  <c r="G40" i="3"/>
  <c r="L37" i="3"/>
  <c r="K37" i="3"/>
  <c r="J37" i="3"/>
  <c r="H37" i="3"/>
  <c r="G37" i="3"/>
  <c r="L34" i="3"/>
  <c r="K34" i="3"/>
  <c r="J34" i="3"/>
  <c r="H34" i="3"/>
  <c r="G34" i="3"/>
  <c r="L33" i="3"/>
  <c r="K33" i="3"/>
  <c r="J33" i="3"/>
  <c r="H33" i="3"/>
  <c r="G33" i="3"/>
  <c r="L32" i="3"/>
  <c r="K32" i="3"/>
  <c r="J32" i="3"/>
  <c r="H32" i="3"/>
  <c r="G32" i="3"/>
  <c r="L30" i="3"/>
  <c r="K30" i="3"/>
  <c r="J30" i="3"/>
  <c r="H30" i="3"/>
  <c r="G30" i="3"/>
  <c r="L28" i="3"/>
  <c r="K28" i="3"/>
  <c r="J28" i="3"/>
  <c r="H28" i="3"/>
  <c r="G28" i="3"/>
  <c r="L27" i="3"/>
  <c r="K27" i="3"/>
  <c r="J27" i="3"/>
  <c r="H27" i="3"/>
  <c r="G27" i="3"/>
  <c r="L26" i="3"/>
  <c r="K26" i="3"/>
  <c r="J26" i="3"/>
  <c r="H26" i="3"/>
  <c r="G26" i="3"/>
  <c r="L25" i="3"/>
  <c r="K25" i="3"/>
  <c r="J25" i="3"/>
  <c r="H25" i="3"/>
  <c r="G25" i="3"/>
  <c r="L24" i="3"/>
  <c r="K24" i="3"/>
  <c r="J24" i="3"/>
  <c r="H24" i="3"/>
  <c r="G24" i="3"/>
  <c r="L22" i="3"/>
  <c r="K22" i="3"/>
  <c r="J22" i="3"/>
  <c r="H22" i="3"/>
  <c r="G22" i="3"/>
  <c r="L17" i="3"/>
  <c r="K17" i="3"/>
  <c r="J17" i="3"/>
  <c r="H17" i="3"/>
  <c r="G17" i="3"/>
  <c r="L16" i="3"/>
  <c r="K16" i="3"/>
  <c r="J16" i="3"/>
  <c r="H16" i="3"/>
  <c r="G16" i="3"/>
  <c r="L14" i="3"/>
  <c r="K14" i="3"/>
  <c r="J14" i="3"/>
  <c r="H14" i="3"/>
  <c r="G14" i="3"/>
  <c r="L12" i="3"/>
  <c r="K12" i="3"/>
  <c r="J12" i="3"/>
  <c r="H12" i="3"/>
  <c r="G12" i="3"/>
  <c r="L11" i="3"/>
  <c r="K11" i="3"/>
  <c r="J11" i="3"/>
  <c r="H11" i="3"/>
  <c r="G11" i="3"/>
  <c r="L9" i="3"/>
  <c r="K9" i="3"/>
  <c r="J9" i="3"/>
  <c r="H9" i="3"/>
  <c r="G9" i="3"/>
  <c r="L8" i="3"/>
  <c r="K8" i="3"/>
  <c r="J8" i="3"/>
  <c r="H8" i="3"/>
  <c r="G8" i="3"/>
  <c r="L7" i="3"/>
  <c r="K7" i="3"/>
  <c r="J7" i="3"/>
  <c r="L6" i="3"/>
  <c r="K6" i="3"/>
  <c r="J6" i="3"/>
  <c r="H6" i="3"/>
  <c r="G6" i="3"/>
  <c r="L5" i="3"/>
  <c r="K5" i="3"/>
  <c r="J5" i="3"/>
  <c r="H5" i="3"/>
  <c r="G5" i="3"/>
  <c r="L4" i="3"/>
  <c r="K4" i="3"/>
  <c r="J4" i="3"/>
  <c r="H4" i="3"/>
  <c r="G4" i="3"/>
  <c r="L3" i="3"/>
  <c r="K3" i="3"/>
  <c r="J3" i="3"/>
  <c r="H3" i="3"/>
  <c r="G3" i="3"/>
  <c r="L2" i="3"/>
  <c r="K2" i="3"/>
  <c r="J2" i="3"/>
  <c r="H2" i="3"/>
  <c r="G2" i="3"/>
</calcChain>
</file>

<file path=xl/sharedStrings.xml><?xml version="1.0" encoding="utf-8"?>
<sst xmlns="http://schemas.openxmlformats.org/spreadsheetml/2006/main" count="28619" uniqueCount="689">
  <si>
    <t>Isotope</t>
  </si>
  <si>
    <t>Li7(LR)</t>
  </si>
  <si>
    <t>Be9(LR)</t>
  </si>
  <si>
    <t>Rb85(LR)</t>
  </si>
  <si>
    <t>Sr88(LR)</t>
  </si>
  <si>
    <t>Y89(LR)</t>
  </si>
  <si>
    <t>Mo95(LR)</t>
  </si>
  <si>
    <t>Rh103(LR)</t>
  </si>
  <si>
    <t>Pd105(LR)</t>
  </si>
  <si>
    <t>Ag107(LR)</t>
  </si>
  <si>
    <t>Cd111(LR)</t>
  </si>
  <si>
    <t>In115(LR)</t>
  </si>
  <si>
    <t>Sn118(LR)</t>
  </si>
  <si>
    <t>Sb121(LR)</t>
  </si>
  <si>
    <t>Cs133(LR)</t>
  </si>
  <si>
    <t>Ba137(LR)</t>
  </si>
  <si>
    <t>La139(LR)</t>
  </si>
  <si>
    <t>Ce140(LR)</t>
  </si>
  <si>
    <t>Nd146(LR)</t>
  </si>
  <si>
    <t>Sm147(LR)</t>
  </si>
  <si>
    <t>Gd157(LR)</t>
  </si>
  <si>
    <t>Tb159(LR)</t>
  </si>
  <si>
    <t>Dy163(LR)</t>
  </si>
  <si>
    <t>W182(LR)</t>
  </si>
  <si>
    <t>Ir193(LR)</t>
  </si>
  <si>
    <t>Pt195(LR)</t>
  </si>
  <si>
    <t>Tl205(LR)</t>
  </si>
  <si>
    <t>Pb206(LR)</t>
  </si>
  <si>
    <t>Pb207(LR)</t>
  </si>
  <si>
    <t>Pb208(LR)</t>
  </si>
  <si>
    <t>Bi209(LR)</t>
  </si>
  <si>
    <t>Na23(MR)</t>
  </si>
  <si>
    <t>Mg24(MR)</t>
  </si>
  <si>
    <t>Al27(MR)</t>
  </si>
  <si>
    <t>Si28(MR)</t>
  </si>
  <si>
    <t>P31(MR)</t>
  </si>
  <si>
    <t>S32(MR)</t>
  </si>
  <si>
    <t>Ca44(MR)</t>
  </si>
  <si>
    <t>Ti47(MR)</t>
  </si>
  <si>
    <t>V51(MR)</t>
  </si>
  <si>
    <t>Cr52(MR)</t>
  </si>
  <si>
    <t>Mn55(MR)</t>
  </si>
  <si>
    <t>Fe56(MR)</t>
  </si>
  <si>
    <t>Co59(MR)</t>
  </si>
  <si>
    <t>Ni60(MR)</t>
  </si>
  <si>
    <t>Cu63(MR)</t>
  </si>
  <si>
    <t>Zn66(MR)</t>
  </si>
  <si>
    <t>In115(MR)</t>
  </si>
  <si>
    <t>Sn118(MR)</t>
  </si>
  <si>
    <t>Ir193(MR)</t>
  </si>
  <si>
    <t>K39(HR)</t>
  </si>
  <si>
    <t>Ge72(HR)</t>
  </si>
  <si>
    <t>As75(HR)</t>
  </si>
  <si>
    <t>Se77(HR)</t>
  </si>
  <si>
    <t>Se78(HR)</t>
  </si>
  <si>
    <t>Kr83(HR)</t>
  </si>
  <si>
    <t>In115(HR)</t>
  </si>
  <si>
    <t>Sn118(HR)</t>
  </si>
  <si>
    <t>Ir193(HR)</t>
  </si>
  <si>
    <t>1p_pre cal rinse</t>
  </si>
  <si>
    <t>Intensity AVG</t>
  </si>
  <si>
    <t>[cps]</t>
  </si>
  <si>
    <t>Intensity STD</t>
  </si>
  <si>
    <t>Concentration AVG</t>
  </si>
  <si>
    <t>Concentration STD</t>
  </si>
  <si>
    <t>Flags</t>
  </si>
  <si>
    <t>-</t>
  </si>
  <si>
    <t>WS0_11-14-24</t>
  </si>
  <si>
    <t>WS1_11-14-24</t>
  </si>
  <si>
    <t>WS2_11-14-24</t>
  </si>
  <si>
    <t>WS3_11-14-24</t>
  </si>
  <si>
    <t>WS4_11-14-24</t>
  </si>
  <si>
    <t>WS5_11-26-24</t>
  </si>
  <si>
    <t>WS6_11-14-24</t>
  </si>
  <si>
    <t>1p_post cal rinse</t>
  </si>
  <si>
    <t>µg/L</t>
  </si>
  <si>
    <t>not calib.</t>
  </si>
  <si>
    <t>CCV_01-ICV</t>
  </si>
  <si>
    <t>CCB_01-ICB</t>
  </si>
  <si>
    <t>SRM1643_002p</t>
  </si>
  <si>
    <t>SRM1643_100p</t>
  </si>
  <si>
    <t>50 mL Matrix Blank</t>
  </si>
  <si>
    <t>50mL Matrix Blank Spike</t>
  </si>
  <si>
    <t>TF24026</t>
  </si>
  <si>
    <t>TF24029</t>
  </si>
  <si>
    <t>TF24027</t>
  </si>
  <si>
    <t>CCV_02</t>
  </si>
  <si>
    <t>CCB_02</t>
  </si>
  <si>
    <t>TF24030</t>
  </si>
  <si>
    <t>15mL Matrix Blank</t>
  </si>
  <si>
    <t>15mL Matrix Blank Spike</t>
  </si>
  <si>
    <t>Z01363</t>
  </si>
  <si>
    <t>Z01362</t>
  </si>
  <si>
    <t>TF24027_dp</t>
  </si>
  <si>
    <t>Z01361</t>
  </si>
  <si>
    <t>TF24032</t>
  </si>
  <si>
    <t>TF24035</t>
  </si>
  <si>
    <t>TF24038</t>
  </si>
  <si>
    <t>TF24041</t>
  </si>
  <si>
    <t>CCV_03</t>
  </si>
  <si>
    <t>CCB_03</t>
  </si>
  <si>
    <t>TF24044</t>
  </si>
  <si>
    <t>TF24049</t>
  </si>
  <si>
    <t>TF24051</t>
  </si>
  <si>
    <t>TF24054</t>
  </si>
  <si>
    <t>TF24033</t>
  </si>
  <si>
    <t>TF24041_dp</t>
  </si>
  <si>
    <t>TF24036</t>
  </si>
  <si>
    <t>TF24039</t>
  </si>
  <si>
    <t>TF24042</t>
  </si>
  <si>
    <t>TF24045</t>
  </si>
  <si>
    <t>TF24048</t>
  </si>
  <si>
    <t>CCV_04</t>
  </si>
  <si>
    <t>CCB_04</t>
  </si>
  <si>
    <t>TF24052</t>
  </si>
  <si>
    <t>TF24056</t>
  </si>
  <si>
    <t>Z01316</t>
  </si>
  <si>
    <t>Z01315</t>
  </si>
  <si>
    <t>Z01314</t>
  </si>
  <si>
    <t>TF24048_dp</t>
  </si>
  <si>
    <t>Z01313</t>
  </si>
  <si>
    <t>Z01312</t>
  </si>
  <si>
    <t>Z01311</t>
  </si>
  <si>
    <t>Z01310</t>
  </si>
  <si>
    <t>Z01309</t>
  </si>
  <si>
    <t>CCV_05</t>
  </si>
  <si>
    <t>CCB_05</t>
  </si>
  <si>
    <t>Z01308</t>
  </si>
  <si>
    <t>Z01307</t>
  </si>
  <si>
    <t>Z01306</t>
  </si>
  <si>
    <t>Z01305</t>
  </si>
  <si>
    <t>Z01341</t>
  </si>
  <si>
    <t>Z01309_dp</t>
  </si>
  <si>
    <t>Z01340</t>
  </si>
  <si>
    <t>Z01339</t>
  </si>
  <si>
    <t>Z01338</t>
  </si>
  <si>
    <t>Z01337</t>
  </si>
  <si>
    <t>Z01336</t>
  </si>
  <si>
    <t>CCV_06</t>
  </si>
  <si>
    <t>CCB_06</t>
  </si>
  <si>
    <t>Z01335</t>
  </si>
  <si>
    <t>Z01334</t>
  </si>
  <si>
    <t>Z01333</t>
  </si>
  <si>
    <t>Z01332</t>
  </si>
  <si>
    <t>Z01331</t>
  </si>
  <si>
    <t>Z01336_dp</t>
  </si>
  <si>
    <t>Z01317</t>
  </si>
  <si>
    <t>Z01301</t>
  </si>
  <si>
    <t>Z01300</t>
  </si>
  <si>
    <t>Z01299</t>
  </si>
  <si>
    <t>Z01298</t>
  </si>
  <si>
    <t>CCV_07</t>
  </si>
  <si>
    <t>CCB_07</t>
  </si>
  <si>
    <t>Z01297</t>
  </si>
  <si>
    <t>Z01296</t>
  </si>
  <si>
    <t>Z01295</t>
  </si>
  <si>
    <t>Z01294</t>
  </si>
  <si>
    <t>Z01293</t>
  </si>
  <si>
    <t>Z01331_dp</t>
  </si>
  <si>
    <t>Z01292</t>
  </si>
  <si>
    <t>Z01343</t>
  </si>
  <si>
    <t>Z01342</t>
  </si>
  <si>
    <t>Z01356</t>
  </si>
  <si>
    <t>Z01355</t>
  </si>
  <si>
    <t>CCV_08</t>
  </si>
  <si>
    <t>CCB_08</t>
  </si>
  <si>
    <t>Z01354</t>
  </si>
  <si>
    <t>Z01353</t>
  </si>
  <si>
    <t>Z01352</t>
  </si>
  <si>
    <t>Z01351</t>
  </si>
  <si>
    <t>Z01350</t>
  </si>
  <si>
    <t>Z01355_dp</t>
  </si>
  <si>
    <t>Z01349</t>
  </si>
  <si>
    <t>Z01348</t>
  </si>
  <si>
    <t>Z01304</t>
  </si>
  <si>
    <t>Z01303</t>
  </si>
  <si>
    <t>Z01302</t>
  </si>
  <si>
    <t>CCV_09</t>
  </si>
  <si>
    <t>CCB_09</t>
  </si>
  <si>
    <t>Z01360</t>
  </si>
  <si>
    <t>Z01359</t>
  </si>
  <si>
    <t>Z01358</t>
  </si>
  <si>
    <t>Z01357</t>
  </si>
  <si>
    <t>SRM1648a_100x</t>
  </si>
  <si>
    <t>Z01302_dp</t>
  </si>
  <si>
    <t>CCV_10</t>
  </si>
  <si>
    <t>CCB_10</t>
  </si>
  <si>
    <t>Flags:   S=Amplifier Skipped    D=Intensity Defocussed   O=Overflow</t>
  </si>
  <si>
    <t>Element</t>
  </si>
  <si>
    <t>PQL-ppb</t>
  </si>
  <si>
    <t>Reserve for MDL</t>
  </si>
  <si>
    <t>CCV_</t>
  </si>
  <si>
    <t>Check_1000_p</t>
  </si>
  <si>
    <t>SRM1640a_100p</t>
  </si>
  <si>
    <t>SRM1640_010p</t>
  </si>
  <si>
    <t>SRM1640_001p</t>
  </si>
  <si>
    <t>SRM1643_010p</t>
  </si>
  <si>
    <t>SRM1643_001p</t>
  </si>
  <si>
    <t>Ag107_LR</t>
  </si>
  <si>
    <t>Al27_MR</t>
  </si>
  <si>
    <t>As75_HR</t>
  </si>
  <si>
    <t>Ba137_LR</t>
  </si>
  <si>
    <t>Be9_LR</t>
  </si>
  <si>
    <t>Bi209_LR</t>
  </si>
  <si>
    <t>Ca44_MR</t>
  </si>
  <si>
    <t>Cd111_LR</t>
  </si>
  <si>
    <t>Ce140_LR</t>
  </si>
  <si>
    <t>Co59_MR</t>
  </si>
  <si>
    <t>Cr52_MR</t>
  </si>
  <si>
    <t>Cs133_LR</t>
  </si>
  <si>
    <t>Cu63_MR</t>
  </si>
  <si>
    <t>Dy163_LR</t>
  </si>
  <si>
    <t>Fe56_MR</t>
  </si>
  <si>
    <t>Fe57_MR</t>
  </si>
  <si>
    <t>Gd157_LR</t>
  </si>
  <si>
    <t>Ge72_HR</t>
  </si>
  <si>
    <t>Hg202_LR</t>
  </si>
  <si>
    <t>In115_LR</t>
  </si>
  <si>
    <t>K39_HR</t>
  </si>
  <si>
    <t>La139_LR</t>
  </si>
  <si>
    <t>Li7_LR</t>
  </si>
  <si>
    <t>Mg24_MR</t>
  </si>
  <si>
    <t>Mn55_MR</t>
  </si>
  <si>
    <t>Mo95_LR</t>
  </si>
  <si>
    <t>Na23_MR</t>
  </si>
  <si>
    <t>Nd146_LR</t>
  </si>
  <si>
    <t>Ni60_MR</t>
  </si>
  <si>
    <t>P31_MR</t>
  </si>
  <si>
    <t>Pb206_LR</t>
  </si>
  <si>
    <t>Pb207_LR</t>
  </si>
  <si>
    <t>Pb208_LR</t>
  </si>
  <si>
    <t>Pd105_LR</t>
  </si>
  <si>
    <t>Pt195_LR</t>
  </si>
  <si>
    <t>Rb85_LR</t>
  </si>
  <si>
    <t>Rh103_HR</t>
  </si>
  <si>
    <t>S32_MR</t>
  </si>
  <si>
    <t>Sb121_LR</t>
  </si>
  <si>
    <t>Sc45_MR</t>
  </si>
  <si>
    <t>Se77_HR</t>
  </si>
  <si>
    <t>Se78_HR</t>
  </si>
  <si>
    <t>Si28_MR</t>
  </si>
  <si>
    <t>Sm147_LR</t>
  </si>
  <si>
    <t>Sn118_HR</t>
  </si>
  <si>
    <t>Sn118_LR</t>
  </si>
  <si>
    <t>Sn118_MR</t>
  </si>
  <si>
    <t>Sr88_LR</t>
  </si>
  <si>
    <t>Tb159_LR</t>
  </si>
  <si>
    <t>Th232_LR</t>
  </si>
  <si>
    <t>Ti47_MR</t>
  </si>
  <si>
    <t>Tl205_LR</t>
  </si>
  <si>
    <t>U238_LR</t>
  </si>
  <si>
    <t>V51_MR</t>
  </si>
  <si>
    <t>W182_LR</t>
  </si>
  <si>
    <t>Y89_LR</t>
  </si>
  <si>
    <t>Zn66_MR</t>
  </si>
  <si>
    <t>1643f  certificate expires August 1, 2025</t>
  </si>
  <si>
    <r>
      <t xml:space="preserve">mass fractions, </t>
    </r>
    <r>
      <rPr>
        <sz val="10"/>
        <rFont val="Calibri"/>
        <family val="2"/>
      </rPr>
      <t>µ</t>
    </r>
    <r>
      <rPr>
        <sz val="10"/>
        <rFont val="Arial"/>
        <family val="2"/>
      </rPr>
      <t>g/kg</t>
    </r>
  </si>
  <si>
    <t>0.0001 indicates there is no certified value for that element</t>
  </si>
  <si>
    <t>PQL/Flag values based on either CCB MDL, WS1 IDL, or Lowest Cal Std</t>
  </si>
  <si>
    <t>L:\Lab\NERL_KovalcikCleanLab\2024 ATF Structure Fire - Holder\2025-03-19_ATF_Structure Fire PM_Ir193 reprocessed.xlsx</t>
  </si>
  <si>
    <t>VialID</t>
  </si>
  <si>
    <t>Li7_LR_conc</t>
  </si>
  <si>
    <t>Li7_LR_sd</t>
  </si>
  <si>
    <t>Li7_LR_flag</t>
  </si>
  <si>
    <t>Be9_LR_conc</t>
  </si>
  <si>
    <t>Be9_LR_sd</t>
  </si>
  <si>
    <t>Be9_LR_flag</t>
  </si>
  <si>
    <t>Rb85_LR_conc</t>
  </si>
  <si>
    <t>Rb85_LR_sd</t>
  </si>
  <si>
    <t>Rb85_LR_flag</t>
  </si>
  <si>
    <t>Sr88_LR_conc</t>
  </si>
  <si>
    <t>Sr88_LR_sd</t>
  </si>
  <si>
    <t>Sr88_LR_flag</t>
  </si>
  <si>
    <t>Y89_LR_conc</t>
  </si>
  <si>
    <t>Y89_LR_sd</t>
  </si>
  <si>
    <t>Y89_LR_flag</t>
  </si>
  <si>
    <t>Mo95_LR_conc</t>
  </si>
  <si>
    <t>Mo95_LR_sd</t>
  </si>
  <si>
    <t>Mo95_LR_flag</t>
  </si>
  <si>
    <t>Rh103_LR_conc</t>
  </si>
  <si>
    <t>Rh103_LR_sd</t>
  </si>
  <si>
    <t>Rh103_LR_flag</t>
  </si>
  <si>
    <t>Pd105_LR_conc</t>
  </si>
  <si>
    <t>Pd105_LR_sd</t>
  </si>
  <si>
    <t>Pd105_LR_flag</t>
  </si>
  <si>
    <t>Ag107_LR_conc</t>
  </si>
  <si>
    <t>Ag107_LR_sd</t>
  </si>
  <si>
    <t>Ag107_LR_flag</t>
  </si>
  <si>
    <t>Cd111_LR_conc</t>
  </si>
  <si>
    <t>Cd111_LR_sd</t>
  </si>
  <si>
    <t>Cd111_LR_flag</t>
  </si>
  <si>
    <t>In115_LR_conc</t>
  </si>
  <si>
    <t>In115_LR_sd</t>
  </si>
  <si>
    <t>In115_LR_flag</t>
  </si>
  <si>
    <t>Sn118_LR_conc</t>
  </si>
  <si>
    <t>Sn118_LR_sd</t>
  </si>
  <si>
    <t>Sn118_LR_flag</t>
  </si>
  <si>
    <t>Sb121_LR_conc</t>
  </si>
  <si>
    <t>Sb121_LR_sd</t>
  </si>
  <si>
    <t>Sb121_LR_flag</t>
  </si>
  <si>
    <t>Cs133_LR_conc</t>
  </si>
  <si>
    <t>Cs133_LR_sd</t>
  </si>
  <si>
    <t>Cs133_LR_flag</t>
  </si>
  <si>
    <t>Ba137_LR_conc</t>
  </si>
  <si>
    <t>Ba137_LR_sd</t>
  </si>
  <si>
    <t>Ba137_LR_flag</t>
  </si>
  <si>
    <t>La139_LR_conc</t>
  </si>
  <si>
    <t>La139_LR_sd</t>
  </si>
  <si>
    <t>La139_LR_flag</t>
  </si>
  <si>
    <t>Ce140_LR_conc</t>
  </si>
  <si>
    <t>Ce140_LR_sd</t>
  </si>
  <si>
    <t>Ce140_LR_flag</t>
  </si>
  <si>
    <t>Nd146_LR_conc</t>
  </si>
  <si>
    <t>Nd146_LR_sd</t>
  </si>
  <si>
    <t>Nd146_LR_flag</t>
  </si>
  <si>
    <t>Sm147_LR_conc</t>
  </si>
  <si>
    <t>Sm147_LR_sd</t>
  </si>
  <si>
    <t>Sm147_LR_flag</t>
  </si>
  <si>
    <t>Gd157_LR_conc</t>
  </si>
  <si>
    <t>Gd157_LR_sd</t>
  </si>
  <si>
    <t>Gd157_LR_flag</t>
  </si>
  <si>
    <t>Tb159_LR_conc</t>
  </si>
  <si>
    <t>Tb159_LR_sd</t>
  </si>
  <si>
    <t>Tb159_LR_flag</t>
  </si>
  <si>
    <t>Dy163_LR_conc</t>
  </si>
  <si>
    <t>Dy163_LR_sd</t>
  </si>
  <si>
    <t>Dy163_LR_flag</t>
  </si>
  <si>
    <t>W182_LR_conc</t>
  </si>
  <si>
    <t>W182_LR_sd</t>
  </si>
  <si>
    <t>W182_LR_flag</t>
  </si>
  <si>
    <t>Ir193_LR_conc</t>
  </si>
  <si>
    <t>Ir193_LR_sd</t>
  </si>
  <si>
    <t>Ir193_LR_flag</t>
  </si>
  <si>
    <t>Pt195_LR_conc</t>
  </si>
  <si>
    <t>Pt195_LR_sd</t>
  </si>
  <si>
    <t>Pt195_LR_flag</t>
  </si>
  <si>
    <t>Tl205_LR_conc</t>
  </si>
  <si>
    <t>Tl205_LR_sd</t>
  </si>
  <si>
    <t>Tl205_LR_flag</t>
  </si>
  <si>
    <t>Pb206_LR_conc</t>
  </si>
  <si>
    <t>Pb206_LR_sd</t>
  </si>
  <si>
    <t>Pb206_LR_flag</t>
  </si>
  <si>
    <t>Pb207_LR_conc</t>
  </si>
  <si>
    <t>Pb207_LR_sd</t>
  </si>
  <si>
    <t>Pb207_LR_flag</t>
  </si>
  <si>
    <t>Pb208_LR_conc</t>
  </si>
  <si>
    <t>Pb208_LR_sd</t>
  </si>
  <si>
    <t>Pb208_LR_flag</t>
  </si>
  <si>
    <t>Bi209_LR_conc</t>
  </si>
  <si>
    <t>Bi209_LR_sd</t>
  </si>
  <si>
    <t>Bi209_LR_flag</t>
  </si>
  <si>
    <t>Na23_MR_conc</t>
  </si>
  <si>
    <t>Na23_MR_sd</t>
  </si>
  <si>
    <t>Na23_MR_flag</t>
  </si>
  <si>
    <t>Mg24_MR_conc</t>
  </si>
  <si>
    <t>Mg24_MR_sd</t>
  </si>
  <si>
    <t>Mg24_MR_flag</t>
  </si>
  <si>
    <t>Al27_MR_conc</t>
  </si>
  <si>
    <t>Al27_MR_sd</t>
  </si>
  <si>
    <t>Al27_MR_flag</t>
  </si>
  <si>
    <t>Si28_MR_conc</t>
  </si>
  <si>
    <t>Si28_MR_sd</t>
  </si>
  <si>
    <t>Si28_MR_flag</t>
  </si>
  <si>
    <t>P31_MR_conc</t>
  </si>
  <si>
    <t>P31_MR_sd</t>
  </si>
  <si>
    <t>P31_MR_flag</t>
  </si>
  <si>
    <t>S32_MR_conc</t>
  </si>
  <si>
    <t>S32_MR_sd</t>
  </si>
  <si>
    <t>S32_MR_flag</t>
  </si>
  <si>
    <t>Ca44_MR_conc</t>
  </si>
  <si>
    <t>Ca44_MR_sd</t>
  </si>
  <si>
    <t>Ca44_MR_flag</t>
  </si>
  <si>
    <t>Ti47_MR_conc</t>
  </si>
  <si>
    <t>Ti47_MR_sd</t>
  </si>
  <si>
    <t>Ti47_MR_flag</t>
  </si>
  <si>
    <t>V51_MR_conc</t>
  </si>
  <si>
    <t>V51_MR_sd</t>
  </si>
  <si>
    <t>V51_MR_flag</t>
  </si>
  <si>
    <t>Cr52_MR_conc</t>
  </si>
  <si>
    <t>Cr52_MR_sd</t>
  </si>
  <si>
    <t>Cr52_MR_flag</t>
  </si>
  <si>
    <t>Mn55_MR_conc</t>
  </si>
  <si>
    <t>Mn55_MR_sd</t>
  </si>
  <si>
    <t>Mn55_MR_flag</t>
  </si>
  <si>
    <t>Fe56_MR_conc</t>
  </si>
  <si>
    <t>Fe56_MR_sd</t>
  </si>
  <si>
    <t>Fe56_MR_flag</t>
  </si>
  <si>
    <t>Co59_MR_conc</t>
  </si>
  <si>
    <t>Co59_MR_sd</t>
  </si>
  <si>
    <t>Co59_MR_flag</t>
  </si>
  <si>
    <t>Ni60_MR_conc</t>
  </si>
  <si>
    <t>Ni60_MR_sd</t>
  </si>
  <si>
    <t>Ni60_MR_flag</t>
  </si>
  <si>
    <t>Cu63_MR_conc</t>
  </si>
  <si>
    <t>Cu63_MR_sd</t>
  </si>
  <si>
    <t>Cu63_MR_flag</t>
  </si>
  <si>
    <t>Zn66_MR_conc</t>
  </si>
  <si>
    <t>Zn66_MR_sd</t>
  </si>
  <si>
    <t>Zn66_MR_flag</t>
  </si>
  <si>
    <t>In115_MR_conc</t>
  </si>
  <si>
    <t>In115_MR_sd</t>
  </si>
  <si>
    <t>In115_MR_flag</t>
  </si>
  <si>
    <t>Sn118_MR_conc</t>
  </si>
  <si>
    <t>Sn118_MR_sd</t>
  </si>
  <si>
    <t>Sn118_MR_flag</t>
  </si>
  <si>
    <t>Ir193_MR_conc</t>
  </si>
  <si>
    <t>Ir193_MR_sd</t>
  </si>
  <si>
    <t>Ir193_MR_flag</t>
  </si>
  <si>
    <t>K39_HR_conc</t>
  </si>
  <si>
    <t>K39_HR_sd</t>
  </si>
  <si>
    <t>K39_HR_flag</t>
  </si>
  <si>
    <t>Ge72_HR_conc</t>
  </si>
  <si>
    <t>Ge72_HR_sd</t>
  </si>
  <si>
    <t>Ge72_HR_flag</t>
  </si>
  <si>
    <t>As75_HR_conc</t>
  </si>
  <si>
    <t>As75_HR_sd</t>
  </si>
  <si>
    <t>As75_HR_flag</t>
  </si>
  <si>
    <t>Se77_HR_conc</t>
  </si>
  <si>
    <t>Se77_HR_sd</t>
  </si>
  <si>
    <t>Se77_HR_flag</t>
  </si>
  <si>
    <t>Se78_HR_conc</t>
  </si>
  <si>
    <t>Se78_HR_sd</t>
  </si>
  <si>
    <t>Se78_HR_flag</t>
  </si>
  <si>
    <t>Kr83_HR_conc</t>
  </si>
  <si>
    <t>Kr83_HR_sd</t>
  </si>
  <si>
    <t>Kr83_HR_flag</t>
  </si>
  <si>
    <t>In115_HR_conc</t>
  </si>
  <si>
    <t>In115_HR_sd</t>
  </si>
  <si>
    <t>In115_HR_flag</t>
  </si>
  <si>
    <t>Sn118_HR_conc</t>
  </si>
  <si>
    <t>Sn118_HR_sd</t>
  </si>
  <si>
    <t>Sn118_HR_flag</t>
  </si>
  <si>
    <t>Ir193_HR_conc</t>
  </si>
  <si>
    <t>Ir193_HR_sd</t>
  </si>
  <si>
    <t>Ir193_HR_flag</t>
  </si>
  <si>
    <t>QAFlag</t>
  </si>
  <si>
    <t>RepeatFlag</t>
  </si>
  <si>
    <t>AnalysisFlag</t>
  </si>
  <si>
    <t>SampleSeqNo</t>
  </si>
  <si>
    <t>V1</t>
  </si>
  <si>
    <t>M2</t>
  </si>
  <si>
    <t>R</t>
  </si>
  <si>
    <t>V0</t>
  </si>
  <si>
    <t>V0Cp</t>
  </si>
  <si>
    <t>RCp</t>
  </si>
  <si>
    <t>V1Cp</t>
  </si>
  <si>
    <t>V0Rp</t>
  </si>
  <si>
    <t>V0Ru</t>
  </si>
  <si>
    <t>V0Rf</t>
  </si>
  <si>
    <t>RRu</t>
  </si>
  <si>
    <t>V1Ru</t>
  </si>
  <si>
    <t>V1Rf</t>
  </si>
  <si>
    <t>RRf</t>
  </si>
  <si>
    <t>Li7_LR_Inten</t>
  </si>
  <si>
    <t>Li7_LR_sdInten</t>
  </si>
  <si>
    <t>Be9_LR_Inten</t>
  </si>
  <si>
    <t>Be9_LR_sdInten</t>
  </si>
  <si>
    <t>Rb85_LR_Inten</t>
  </si>
  <si>
    <t>Rb85_LR_sdInten</t>
  </si>
  <si>
    <t>Sr88_LR_Inten</t>
  </si>
  <si>
    <t>Sr88_LR_sdInten</t>
  </si>
  <si>
    <t>Y89_LR_Inten</t>
  </si>
  <si>
    <t>Y89_LR_sdInten</t>
  </si>
  <si>
    <t>Mo95_LR_Inten</t>
  </si>
  <si>
    <t>Mo95_LR_sdInten</t>
  </si>
  <si>
    <t>Rh103_LR_Inten</t>
  </si>
  <si>
    <t>Rh103_LR_sdInten</t>
  </si>
  <si>
    <t>Pd105_LR_Inten</t>
  </si>
  <si>
    <t>Pd105_LR_sdInten</t>
  </si>
  <si>
    <t>Ag107_LR_Inten</t>
  </si>
  <si>
    <t>Ag107_LR_sdInten</t>
  </si>
  <si>
    <t>Cd111_LR_Inten</t>
  </si>
  <si>
    <t>Cd111_LR_sdInten</t>
  </si>
  <si>
    <t>In115_LR_Inten</t>
  </si>
  <si>
    <t>In115_LR_sdInten</t>
  </si>
  <si>
    <t>Sn118_LR_Inten</t>
  </si>
  <si>
    <t>Sn118_LR_sdInten</t>
  </si>
  <si>
    <t>Sb121_LR_Inten</t>
  </si>
  <si>
    <t>Sb121_LR_sdInten</t>
  </si>
  <si>
    <t>Cs133_LR_Inten</t>
  </si>
  <si>
    <t>Cs133_LR_sdInten</t>
  </si>
  <si>
    <t>Ba137_LR_Inten</t>
  </si>
  <si>
    <t>Ba137_LR_sdInten</t>
  </si>
  <si>
    <t>La139_LR_Inten</t>
  </si>
  <si>
    <t>La139_LR_sdInten</t>
  </si>
  <si>
    <t>Ce140_LR_Inten</t>
  </si>
  <si>
    <t>Ce140_LR_sdInten</t>
  </si>
  <si>
    <t>Nd146_LR_Inten</t>
  </si>
  <si>
    <t>Nd146_LR_sdInten</t>
  </si>
  <si>
    <t>Sm147_LR_Inten</t>
  </si>
  <si>
    <t>Sm147_LR_sdInten</t>
  </si>
  <si>
    <t>Gd157_LR_Inten</t>
  </si>
  <si>
    <t>Gd157_LR_sdInten</t>
  </si>
  <si>
    <t>Tb159_LR_Inten</t>
  </si>
  <si>
    <t>Tb159_LR_sdInten</t>
  </si>
  <si>
    <t>Dy163_LR_Inten</t>
  </si>
  <si>
    <t>Dy163_LR_sdInten</t>
  </si>
  <si>
    <t>W182_LR_Inten</t>
  </si>
  <si>
    <t>W182_LR_sdInten</t>
  </si>
  <si>
    <t>Ir193_LR_Inten</t>
  </si>
  <si>
    <t>Ir193_LR_sdInten</t>
  </si>
  <si>
    <t>Pt195_LR_Inten</t>
  </si>
  <si>
    <t>Pt195_LR_sdInten</t>
  </si>
  <si>
    <t>Tl205_LR_Inten</t>
  </si>
  <si>
    <t>Tl205_LR_sdInten</t>
  </si>
  <si>
    <t>Pb206_LR_Inten</t>
  </si>
  <si>
    <t>Pb206_LR_sdInten</t>
  </si>
  <si>
    <t>Pb207_LR_Inten</t>
  </si>
  <si>
    <t>Pb207_LR_sdInten</t>
  </si>
  <si>
    <t>Pb208_LR_Inten</t>
  </si>
  <si>
    <t>Pb208_LR_sdInten</t>
  </si>
  <si>
    <t>Bi209_LR_Inten</t>
  </si>
  <si>
    <t>Bi209_LR_sdInten</t>
  </si>
  <si>
    <t>Na23_MR_Inten</t>
  </si>
  <si>
    <t>Na23_MR_sdInten</t>
  </si>
  <si>
    <t>Mg24_MR_Inten</t>
  </si>
  <si>
    <t>Mg24_MR_sdInten</t>
  </si>
  <si>
    <t>Al27_MR_Inten</t>
  </si>
  <si>
    <t>Al27_MR_sdInten</t>
  </si>
  <si>
    <t>Si28_MR_Inten</t>
  </si>
  <si>
    <t>Si28_MR_sdInten</t>
  </si>
  <si>
    <t>P31_MR_Inten</t>
  </si>
  <si>
    <t>P31_MR_sdInten</t>
  </si>
  <si>
    <t>S32_MR_Inten</t>
  </si>
  <si>
    <t>S32_MR_sdInten</t>
  </si>
  <si>
    <t>Ca44_MR_Inten</t>
  </si>
  <si>
    <t>Ca44_MR_sdInten</t>
  </si>
  <si>
    <t>Ti47_MR_Inten</t>
  </si>
  <si>
    <t>Ti47_MR_sdInten</t>
  </si>
  <si>
    <t>V51_MR_Inten</t>
  </si>
  <si>
    <t>V51_MR_sdInten</t>
  </si>
  <si>
    <t>Cr52_MR_Inten</t>
  </si>
  <si>
    <t>Cr52_MR_sdInten</t>
  </si>
  <si>
    <t>Mn55_MR_Inten</t>
  </si>
  <si>
    <t>Mn55_MR_sdInten</t>
  </si>
  <si>
    <t>Fe56_MR_Inten</t>
  </si>
  <si>
    <t>Fe56_MR_sdInten</t>
  </si>
  <si>
    <t>Co59_MR_Inten</t>
  </si>
  <si>
    <t>Co59_MR_sdInten</t>
  </si>
  <si>
    <t>Ni60_MR_Inten</t>
  </si>
  <si>
    <t>Ni60_MR_sdInten</t>
  </si>
  <si>
    <t>Cu63_MR_Inten</t>
  </si>
  <si>
    <t>Cu63_MR_sdInten</t>
  </si>
  <si>
    <t>Zn66_MR_Inten</t>
  </si>
  <si>
    <t>Zn66_MR_sdInten</t>
  </si>
  <si>
    <t>In115_MR_Inten</t>
  </si>
  <si>
    <t>In115_MR_sdInten</t>
  </si>
  <si>
    <t>Sn118_MR_Inten</t>
  </si>
  <si>
    <t>Sn118_MR_sdInten</t>
  </si>
  <si>
    <t>Ir193_MR_Inten</t>
  </si>
  <si>
    <t>Ir193_MR_sdInten</t>
  </si>
  <si>
    <t>K39_HR_Inten</t>
  </si>
  <si>
    <t>K39_HR_sdInten</t>
  </si>
  <si>
    <t>Ge72_HR_Inten</t>
  </si>
  <si>
    <t>Ge72_HR_sdInten</t>
  </si>
  <si>
    <t>As75_HR_Inten</t>
  </si>
  <si>
    <t>As75_HR_sdInten</t>
  </si>
  <si>
    <t>Se77_HR_Inten</t>
  </si>
  <si>
    <t>Se77_HR_sdInten</t>
  </si>
  <si>
    <t>Se78_HR_Inten</t>
  </si>
  <si>
    <t>Se78_HR_sdInten</t>
  </si>
  <si>
    <t>Kr83_HR_Inten</t>
  </si>
  <si>
    <t>Kr83_HR_sdInten</t>
  </si>
  <si>
    <t>In115_HR_Inten</t>
  </si>
  <si>
    <t>In115_HR_sdInten</t>
  </si>
  <si>
    <t>Sn118_HR_Inten</t>
  </si>
  <si>
    <t>Sn118_HR_sdInten</t>
  </si>
  <si>
    <t>Ir193_HR_Inten</t>
  </si>
  <si>
    <t>Ir193_HR_sdInten</t>
  </si>
  <si>
    <t>Dp</t>
  </si>
  <si>
    <t>Df</t>
  </si>
  <si>
    <t>LIMS ID</t>
  </si>
  <si>
    <t>AB-250410-01 Cal Std 1 1</t>
  </si>
  <si>
    <t>AB-250410-01 Cal Std 2 1</t>
  </si>
  <si>
    <t>AB-250410-01 Cal Std 3 1</t>
  </si>
  <si>
    <t>AB-250410-01 Cal Std 4 1</t>
  </si>
  <si>
    <t>AB-250410-01 Cal Std 5 1</t>
  </si>
  <si>
    <t>AB-250410-01 Cal Std 6 1</t>
  </si>
  <si>
    <t>AB-250410-01 Cal Std 7 1</t>
  </si>
  <si>
    <t>AB-250410-01 ICV 1</t>
  </si>
  <si>
    <t>AB-250410-01 ICB 1</t>
  </si>
  <si>
    <t>PB-250327-01 SRM-PM L 1b</t>
  </si>
  <si>
    <t>PB-250327-01 SRM-PM H 1b</t>
  </si>
  <si>
    <t>PB-250327-01 MB 1b</t>
  </si>
  <si>
    <t>PB-250327-01 LCS 1b</t>
  </si>
  <si>
    <t>WO-25013-01-A-1</t>
  </si>
  <si>
    <t>WO-25013-02-A-1</t>
  </si>
  <si>
    <t>WO-25026-01-A-1</t>
  </si>
  <si>
    <t>AB-250410-01 CCV 1</t>
  </si>
  <si>
    <t>AB-250410-01 CCB 1</t>
  </si>
  <si>
    <t>WO-25026-02-A-1</t>
  </si>
  <si>
    <t>PB-250327-01 MB 2b</t>
  </si>
  <si>
    <t>PB-250327-01 LCS 2</t>
  </si>
  <si>
    <t>WO-25028-55-A-1</t>
  </si>
  <si>
    <t>WO-25028-54-A-1</t>
  </si>
  <si>
    <t>AB-250410-01 AD 1</t>
  </si>
  <si>
    <t>WO-25028-53-A-1</t>
  </si>
  <si>
    <t>WO-25013-03-A-1</t>
  </si>
  <si>
    <t>WO-25013-04-A-1</t>
  </si>
  <si>
    <t>WO-25013-05-A-1</t>
  </si>
  <si>
    <t>WO-25013-06-A-1</t>
  </si>
  <si>
    <t>AB-250410-01 CCV 2</t>
  </si>
  <si>
    <t>AB-250410-01 CCB 2</t>
  </si>
  <si>
    <t>WO-25013-07-A-1</t>
  </si>
  <si>
    <t>WO-25013-08-A-1</t>
  </si>
  <si>
    <t>WO-25013-09-A-1</t>
  </si>
  <si>
    <t>WO-25013-10-A-1</t>
  </si>
  <si>
    <t>WO-25026-03-A-1</t>
  </si>
  <si>
    <t>AB-250410-01 AD 2</t>
  </si>
  <si>
    <t>WO-25026-04-A-1</t>
  </si>
  <si>
    <t>WO-25026-05-A-1</t>
  </si>
  <si>
    <t>WO-25026-06-A-1</t>
  </si>
  <si>
    <t>WO-25026-07-A-1</t>
  </si>
  <si>
    <t>WO-25026-08-A-1</t>
  </si>
  <si>
    <t>AB-250410-01 CCV 3</t>
  </si>
  <si>
    <t>AB-250410-01 CCB 3</t>
  </si>
  <si>
    <t>WO-25026-09-A-1</t>
  </si>
  <si>
    <t>WO-25026-10-A-1</t>
  </si>
  <si>
    <t>WO-25028-12-A-1</t>
  </si>
  <si>
    <t>WO-25028-11-A-1</t>
  </si>
  <si>
    <t>WO-25028-10-A-1</t>
  </si>
  <si>
    <t>AB-250410-01 AD 3</t>
  </si>
  <si>
    <t>WO-25028-09-A-1</t>
  </si>
  <si>
    <t>WO-25028-08-A-1</t>
  </si>
  <si>
    <t>WO-25028-07-A-1</t>
  </si>
  <si>
    <t>WO-25028-06-A-1</t>
  </si>
  <si>
    <t>WO-25028-05-A-1</t>
  </si>
  <si>
    <t>AB-250410-01 CCV 4</t>
  </si>
  <si>
    <t>AB-250410-01 CCB 4</t>
  </si>
  <si>
    <t>WO-25028-04-A-1</t>
  </si>
  <si>
    <t>WO-25028-03-A-1</t>
  </si>
  <si>
    <t>WO-25028-02-A-1</t>
  </si>
  <si>
    <t>WO-25028-01-A-1</t>
  </si>
  <si>
    <t>WO-25028-24-A-1</t>
  </si>
  <si>
    <t>AB-250410-01 AD 4</t>
  </si>
  <si>
    <t>WO-25028-23-A-1</t>
  </si>
  <si>
    <t>WO-25028-22-A-1</t>
  </si>
  <si>
    <t>WO-25028-21-A-1</t>
  </si>
  <si>
    <t>WO-25028-20-A-1</t>
  </si>
  <si>
    <t>WO-25028-19-A-1</t>
  </si>
  <si>
    <t>AB-250410-01 CCV 5</t>
  </si>
  <si>
    <t>AB-250410-01 CCB 5</t>
  </si>
  <si>
    <t>WO-25028-18-A-1</t>
  </si>
  <si>
    <t>WO-25028-17-A-1</t>
  </si>
  <si>
    <t>WO-25028-16-A-1</t>
  </si>
  <si>
    <t>WO-25028-15-A-1</t>
  </si>
  <si>
    <t>WO-25028-14-A-1</t>
  </si>
  <si>
    <t>AB-250410-01 AD 5</t>
  </si>
  <si>
    <t>WO-25028-13-A-1</t>
  </si>
  <si>
    <t>WO-25028-36-A-1</t>
  </si>
  <si>
    <t>WO-25028-35-A-1</t>
  </si>
  <si>
    <t>WO-25028-34-A-1</t>
  </si>
  <si>
    <t>WO-25028-33-A-1</t>
  </si>
  <si>
    <t>AB-250410-01 CCV 6</t>
  </si>
  <si>
    <t>AB-250410-01 CCB 6</t>
  </si>
  <si>
    <t>WO-25028-32-A-1</t>
  </si>
  <si>
    <t>WO-25028-31-A-1</t>
  </si>
  <si>
    <t>WO-25028-30-A-1</t>
  </si>
  <si>
    <t>WO-25028-29-A-1</t>
  </si>
  <si>
    <t>WO-25028-28-A-1</t>
  </si>
  <si>
    <t>AB-250410-01 AD 6</t>
  </si>
  <si>
    <t>WO-25028-27-A-1</t>
  </si>
  <si>
    <t>WO-25028-26-A-1</t>
  </si>
  <si>
    <t>WO-25028-25-A-1</t>
  </si>
  <si>
    <t>WO-25028-48-A-1</t>
  </si>
  <si>
    <t>WO-25028-47-A-1</t>
  </si>
  <si>
    <t>AB-250410-01 CCV 7</t>
  </si>
  <si>
    <t>AB-250410-01 CCB 7</t>
  </si>
  <si>
    <t>WO-25028-46-A-1</t>
  </si>
  <si>
    <t>WO-25028-45-A-1</t>
  </si>
  <si>
    <t>WO-25028-44-A-1</t>
  </si>
  <si>
    <t>WO-25028-43-A-1</t>
  </si>
  <si>
    <t>WO-25028-42-A-1</t>
  </si>
  <si>
    <t>AB-250410-01 AD 7</t>
  </si>
  <si>
    <t>WO-25028-41-A-1</t>
  </si>
  <si>
    <t>WO-25028-40-A-1</t>
  </si>
  <si>
    <t>WO-25028-39-A-1</t>
  </si>
  <si>
    <t>WO-25028-38-A-1</t>
  </si>
  <si>
    <t>WO-25028-37-A-1</t>
  </si>
  <si>
    <t>AB-250410-01 CCV 8</t>
  </si>
  <si>
    <t>AB-250410-01 CCB 8</t>
  </si>
  <si>
    <t>WO-25028-52-A-1</t>
  </si>
  <si>
    <t>WO-25028-51-A-1</t>
  </si>
  <si>
    <t>WO-25028-50-A-1</t>
  </si>
  <si>
    <t>WO-25028-49-A-1</t>
  </si>
  <si>
    <t>PB-250327-01 SRM-PM 1b</t>
  </si>
  <si>
    <t>AB-250410-01 AD 8</t>
  </si>
  <si>
    <t>AB-250410-01 CCV 9</t>
  </si>
  <si>
    <t>AB-250410-01 CCB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</si>
</sst>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67" formatCode="0.0"/>
    <numFmt numFmtId="168" formatCode="0.00000"/>
  </numFmts>
  <fonts count="7" x14ac:knownFonts="1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2" fillId="0" borderId="0" xfId="0" applyFont="1"/>
    <xf numFmtId="165" fontId="0" fillId="3" borderId="0" xfId="0" applyNumberFormat="1" applyFill="1"/>
    <xf numFmtId="0" fontId="4" fillId="0" borderId="0" xfId="0" applyFont="1"/>
    <xf numFmtId="166" fontId="2" fillId="0" borderId="0" xfId="0" applyNumberFormat="1" applyFont="1" applyAlignment="1">
      <alignment horizontal="center"/>
    </xf>
    <xf numFmtId="165" fontId="1" fillId="3" borderId="0" xfId="0" applyNumberFormat="1" applyFont="1" applyFill="1"/>
    <xf numFmtId="167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165" fontId="2" fillId="0" borderId="0" xfId="0" applyNumberFormat="1" applyFont="1"/>
    <xf numFmtId="168" fontId="2" fillId="0" borderId="0" xfId="0" applyNumberFormat="1" applyFont="1"/>
    <xf numFmtId="165" fontId="1" fillId="3" borderId="0" xfId="0" applyNumberFormat="1" applyFont="1" applyFill="1" applyAlignment="1">
      <alignment horizontal="right"/>
    </xf>
    <xf numFmtId="165" fontId="0" fillId="0" borderId="0" xfId="0" applyNumberFormat="1"/>
    <xf numFmtId="165" fontId="2" fillId="0" borderId="0" xfId="0" applyNumberFormat="1" applyFont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/>
    <xf numFmtId="0" fontId="4" fillId="4" borderId="0" xfId="0" applyFont="1" applyFill="1"/>
    <xf numFmtId="3" fontId="0" fillId="0" borderId="0" xfId="0" applyNumberFormat="1"/>
    <xf numFmtId="167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0-4A14-8937-28A5F0FA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09920"/>
        <c:axId val="116942336"/>
      </c:lineChart>
      <c:catAx>
        <c:axId val="11620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42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6942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209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Processed!#REF!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DC-458B-B995-CAADECF17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11616"/>
        <c:axId val="163709696"/>
      </c:lineChart>
      <c:catAx>
        <c:axId val="16371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709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3709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711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Processed!#REF!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7E-49D3-8567-CD3C03BB7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88480"/>
        <c:axId val="115598848"/>
      </c:lineChart>
      <c:catAx>
        <c:axId val="11558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598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59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588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EF-4507-9588-9D2E87A7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63232"/>
        <c:axId val="115665152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BEF-4507-9588-9D2E87A7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71040"/>
        <c:axId val="115672576"/>
      </c:lineChart>
      <c:catAx>
        <c:axId val="1156632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6651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5665152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663232"/>
        <c:crosses val="autoZero"/>
        <c:crossBetween val="between"/>
      </c:valAx>
      <c:catAx>
        <c:axId val="115671040"/>
        <c:scaling>
          <c:orientation val="minMax"/>
        </c:scaling>
        <c:delete val="1"/>
        <c:axPos val="b"/>
        <c:majorTickMark val="out"/>
        <c:minorTickMark val="none"/>
        <c:tickLblPos val="none"/>
        <c:crossAx val="115672576"/>
        <c:crosses val="autoZero"/>
        <c:auto val="0"/>
        <c:lblAlgn val="ctr"/>
        <c:lblOffset val="100"/>
        <c:noMultiLvlLbl val="0"/>
      </c:catAx>
      <c:valAx>
        <c:axId val="11567257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671040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57-4461-AFDC-9FC0CB55278D}"/>
            </c:ext>
          </c:extLst>
        </c:ser>
        <c:ser>
          <c:idx val="2"/>
          <c:order val="1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757-4461-AFDC-9FC0CB552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9344"/>
        <c:axId val="115691520"/>
      </c:lineChart>
      <c:catAx>
        <c:axId val="11568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69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691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689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550-40F2-A4D4-1BD1AB71202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550-40F2-A4D4-1BD1AB712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12384"/>
        <c:axId val="115714304"/>
      </c:lineChart>
      <c:catAx>
        <c:axId val="1157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1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714304"/>
        <c:scaling>
          <c:orientation val="minMax"/>
          <c:max val="2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12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57-4D8F-9950-5CF865176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06208"/>
        <c:axId val="115808128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557-4D8F-9950-5CF865176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09664"/>
        <c:axId val="115815552"/>
      </c:lineChart>
      <c:catAx>
        <c:axId val="1158062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081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580812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06208"/>
        <c:crosses val="autoZero"/>
        <c:crossBetween val="between"/>
      </c:valAx>
      <c:catAx>
        <c:axId val="115809664"/>
        <c:scaling>
          <c:orientation val="minMax"/>
        </c:scaling>
        <c:delete val="1"/>
        <c:axPos val="b"/>
        <c:majorTickMark val="out"/>
        <c:minorTickMark val="none"/>
        <c:tickLblPos val="none"/>
        <c:crossAx val="115815552"/>
        <c:crosses val="autoZero"/>
        <c:auto val="0"/>
        <c:lblAlgn val="ctr"/>
        <c:lblOffset val="100"/>
        <c:noMultiLvlLbl val="0"/>
      </c:catAx>
      <c:valAx>
        <c:axId val="1158155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0966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47E-42CA-ABB1-D0479079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33472"/>
        <c:axId val="115847936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47E-42CA-ABB1-D0479079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49472"/>
        <c:axId val="115863552"/>
      </c:lineChart>
      <c:catAx>
        <c:axId val="1158334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479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58479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33472"/>
        <c:crosses val="autoZero"/>
        <c:crossBetween val="between"/>
      </c:valAx>
      <c:catAx>
        <c:axId val="115849472"/>
        <c:scaling>
          <c:orientation val="minMax"/>
        </c:scaling>
        <c:delete val="1"/>
        <c:axPos val="b"/>
        <c:majorTickMark val="out"/>
        <c:minorTickMark val="none"/>
        <c:tickLblPos val="none"/>
        <c:crossAx val="115863552"/>
        <c:crosses val="autoZero"/>
        <c:auto val="0"/>
        <c:lblAlgn val="ctr"/>
        <c:lblOffset val="100"/>
        <c:noMultiLvlLbl val="0"/>
      </c:catAx>
      <c:valAx>
        <c:axId val="1158635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49472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9C-4728-AEB1-79CA8314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01952"/>
        <c:axId val="115903872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99C-4728-AEB1-79CA8314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13856"/>
        <c:axId val="115915392"/>
      </c:lineChart>
      <c:catAx>
        <c:axId val="1159019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038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5903872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01952"/>
        <c:crosses val="autoZero"/>
        <c:crossBetween val="between"/>
      </c:valAx>
      <c:catAx>
        <c:axId val="115913856"/>
        <c:scaling>
          <c:orientation val="minMax"/>
        </c:scaling>
        <c:delete val="1"/>
        <c:axPos val="b"/>
        <c:majorTickMark val="out"/>
        <c:minorTickMark val="none"/>
        <c:tickLblPos val="none"/>
        <c:crossAx val="115915392"/>
        <c:crosses val="autoZero"/>
        <c:auto val="0"/>
        <c:lblAlgn val="ctr"/>
        <c:lblOffset val="100"/>
        <c:noMultiLvlLbl val="0"/>
      </c:catAx>
      <c:valAx>
        <c:axId val="11591539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1385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241-47DF-BD72-72BA6BC07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41760"/>
        <c:axId val="115943680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241-47DF-BD72-72BA6BC07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45472"/>
        <c:axId val="115947008"/>
      </c:lineChart>
      <c:catAx>
        <c:axId val="1159417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436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5943680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41760"/>
        <c:crosses val="autoZero"/>
        <c:crossBetween val="between"/>
      </c:valAx>
      <c:catAx>
        <c:axId val="115945472"/>
        <c:scaling>
          <c:orientation val="minMax"/>
        </c:scaling>
        <c:delete val="1"/>
        <c:axPos val="b"/>
        <c:majorTickMark val="out"/>
        <c:minorTickMark val="none"/>
        <c:tickLblPos val="none"/>
        <c:crossAx val="115947008"/>
        <c:crosses val="autoZero"/>
        <c:auto val="0"/>
        <c:lblAlgn val="ctr"/>
        <c:lblOffset val="100"/>
        <c:noMultiLvlLbl val="0"/>
      </c:catAx>
      <c:valAx>
        <c:axId val="11594700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45472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CB-4BBD-80D7-D4FA93D5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77216"/>
        <c:axId val="116008064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8CB-4BBD-80D7-D4FA93D5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09600"/>
        <c:axId val="116023680"/>
      </c:lineChart>
      <c:catAx>
        <c:axId val="1159772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008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600806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77216"/>
        <c:crosses val="autoZero"/>
        <c:crossBetween val="between"/>
      </c:valAx>
      <c:catAx>
        <c:axId val="116009600"/>
        <c:scaling>
          <c:orientation val="minMax"/>
        </c:scaling>
        <c:delete val="1"/>
        <c:axPos val="b"/>
        <c:majorTickMark val="out"/>
        <c:minorTickMark val="none"/>
        <c:tickLblPos val="none"/>
        <c:crossAx val="116023680"/>
        <c:crosses val="autoZero"/>
        <c:auto val="0"/>
        <c:lblAlgn val="ctr"/>
        <c:lblOffset val="100"/>
        <c:noMultiLvlLbl val="0"/>
      </c:catAx>
      <c:valAx>
        <c:axId val="11602368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009600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7FF-4FAB-AB8C-D8A8E896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45696"/>
        <c:axId val="116056064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7FF-4FAB-AB8C-D8A8E896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7600"/>
        <c:axId val="116059136"/>
      </c:lineChart>
      <c:catAx>
        <c:axId val="1160456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056064"/>
        <c:crosses val="autoZero"/>
        <c:auto val="0"/>
        <c:lblAlgn val="ctr"/>
        <c:lblOffset val="100"/>
        <c:tickLblSkip val="10"/>
        <c:tickMarkSkip val="10"/>
        <c:noMultiLvlLbl val="0"/>
      </c:catAx>
      <c:valAx>
        <c:axId val="11605606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045696"/>
        <c:crosses val="autoZero"/>
        <c:crossBetween val="between"/>
      </c:valAx>
      <c:catAx>
        <c:axId val="116057600"/>
        <c:scaling>
          <c:orientation val="minMax"/>
        </c:scaling>
        <c:delete val="1"/>
        <c:axPos val="b"/>
        <c:majorTickMark val="out"/>
        <c:minorTickMark val="none"/>
        <c:tickLblPos val="none"/>
        <c:crossAx val="116059136"/>
        <c:crosses val="autoZero"/>
        <c:auto val="0"/>
        <c:lblAlgn val="ctr"/>
        <c:lblOffset val="100"/>
        <c:noMultiLvlLbl val="0"/>
      </c:catAx>
      <c:valAx>
        <c:axId val="11605913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057600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8AA-4F11-86D9-976366D2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54848"/>
        <c:axId val="116656768"/>
      </c:line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8AA-4F11-86D9-976366D2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18304"/>
        <c:axId val="116819840"/>
      </c:lineChart>
      <c:catAx>
        <c:axId val="1166548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6567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665676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654848"/>
        <c:crosses val="autoZero"/>
        <c:crossBetween val="between"/>
      </c:valAx>
      <c:catAx>
        <c:axId val="116818304"/>
        <c:scaling>
          <c:orientation val="minMax"/>
        </c:scaling>
        <c:delete val="1"/>
        <c:axPos val="b"/>
        <c:majorTickMark val="out"/>
        <c:minorTickMark val="none"/>
        <c:tickLblPos val="none"/>
        <c:crossAx val="116819840"/>
        <c:crosses val="autoZero"/>
        <c:auto val="0"/>
        <c:lblAlgn val="ctr"/>
        <c:lblOffset val="100"/>
        <c:noMultiLvlLbl val="0"/>
      </c:catAx>
      <c:valAx>
        <c:axId val="11681984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81830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88" r="0.75000000000000588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DD-4A04-B13B-B6B80B2E6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62432"/>
        <c:axId val="116964352"/>
      </c:lineChart>
      <c:catAx>
        <c:axId val="11696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64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6964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62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378-4759-B6F1-6DC8CEC9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06752"/>
        <c:axId val="118121216"/>
      </c:lineChart>
      <c:catAx>
        <c:axId val="11810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121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121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106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4AD-4351-A2CA-B755C0B1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1312"/>
        <c:axId val="118143232"/>
      </c:lineChart>
      <c:catAx>
        <c:axId val="11814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14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143232"/>
        <c:scaling>
          <c:orientation val="minMax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141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690-4891-96A9-8D3CB72B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14752"/>
        <c:axId val="117121024"/>
      </c:lineChart>
      <c:catAx>
        <c:axId val="11711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121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121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11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1E-4973-95E4-CA25BCE2A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28576"/>
        <c:axId val="117159424"/>
      </c:lineChart>
      <c:catAx>
        <c:axId val="1171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15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159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128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BEB-4FDA-8220-B1AA4A6A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76128"/>
        <c:axId val="117378048"/>
      </c:lineChart>
      <c:catAx>
        <c:axId val="11737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378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378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376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AD-4E10-8EAD-D52BE376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10432"/>
        <c:axId val="117416704"/>
      </c:lineChart>
      <c:catAx>
        <c:axId val="11741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416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416704"/>
        <c:scaling>
          <c:orientation val="minMax"/>
          <c:min val="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41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DDE-40EC-8C29-B588C53FF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43008"/>
        <c:axId val="118044928"/>
      </c:lineChart>
      <c:catAx>
        <c:axId val="11804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044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044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043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88" r="0.75000000000000588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0</xdr:rowOff>
    </xdr:from>
    <xdr:to>
      <xdr:col>14</xdr:col>
      <xdr:colOff>161925</xdr:colOff>
      <xdr:row>0</xdr:row>
      <xdr:rowOff>0</xdr:rowOff>
    </xdr:to>
    <xdr:graphicFrame macro="">
      <xdr:nvGraphicFramePr>
        <xdr:cNvPr id="2" name="Chart 557">
          <a:extLst>
            <a:ext uri="{FF2B5EF4-FFF2-40B4-BE49-F238E27FC236}">
              <a16:creationId xmlns:a16="http://schemas.microsoft.com/office/drawing/2014/main" id="{00000000-0008-0000-0300-000077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95250</xdr:colOff>
      <xdr:row>0</xdr:row>
      <xdr:rowOff>0</xdr:rowOff>
    </xdr:from>
    <xdr:to>
      <xdr:col>29</xdr:col>
      <xdr:colOff>266700</xdr:colOff>
      <xdr:row>0</xdr:row>
      <xdr:rowOff>0</xdr:rowOff>
    </xdr:to>
    <xdr:graphicFrame macro="">
      <xdr:nvGraphicFramePr>
        <xdr:cNvPr id="3" name="Chart 559">
          <a:extLst>
            <a:ext uri="{FF2B5EF4-FFF2-40B4-BE49-F238E27FC236}">
              <a16:creationId xmlns:a16="http://schemas.microsoft.com/office/drawing/2014/main" id="{00000000-0008-0000-0300-000078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125</xdr:col>
      <xdr:colOff>19050</xdr:colOff>
      <xdr:row>0</xdr:row>
      <xdr:rowOff>0</xdr:rowOff>
    </xdr:from>
    <xdr:to>
      <xdr:col>141</xdr:col>
      <xdr:colOff>333375</xdr:colOff>
      <xdr:row>0</xdr:row>
      <xdr:rowOff>0</xdr:rowOff>
    </xdr:to>
    <xdr:graphicFrame macro="">
      <xdr:nvGraphicFramePr>
        <xdr:cNvPr id="4" name="Chart 561">
          <a:extLst>
            <a:ext uri="{FF2B5EF4-FFF2-40B4-BE49-F238E27FC236}">
              <a16:creationId xmlns:a16="http://schemas.microsoft.com/office/drawing/2014/main" id="{00000000-0008-0000-0300-000079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171450</xdr:colOff>
      <xdr:row>0</xdr:row>
      <xdr:rowOff>0</xdr:rowOff>
    </xdr:from>
    <xdr:to>
      <xdr:col>165</xdr:col>
      <xdr:colOff>561975</xdr:colOff>
      <xdr:row>0</xdr:row>
      <xdr:rowOff>0</xdr:rowOff>
    </xdr:to>
    <xdr:graphicFrame macro="">
      <xdr:nvGraphicFramePr>
        <xdr:cNvPr id="2" name="Chart 885">
          <a:extLst>
            <a:ext uri="{FF2B5EF4-FFF2-40B4-BE49-F238E27FC236}">
              <a16:creationId xmlns:a16="http://schemas.microsoft.com/office/drawing/2014/main" id="{00000000-0008-0000-0400-00008A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163</xdr:col>
      <xdr:colOff>76200</xdr:colOff>
      <xdr:row>0</xdr:row>
      <xdr:rowOff>0</xdr:rowOff>
    </xdr:from>
    <xdr:to>
      <xdr:col>175</xdr:col>
      <xdr:colOff>247650</xdr:colOff>
      <xdr:row>0</xdr:row>
      <xdr:rowOff>0</xdr:rowOff>
    </xdr:to>
    <xdr:graphicFrame macro="">
      <xdr:nvGraphicFramePr>
        <xdr:cNvPr id="3" name="Chart 886">
          <a:extLst>
            <a:ext uri="{FF2B5EF4-FFF2-40B4-BE49-F238E27FC236}">
              <a16:creationId xmlns:a16="http://schemas.microsoft.com/office/drawing/2014/main" id="{00000000-0008-0000-0400-00008B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163</xdr:col>
      <xdr:colOff>66675</xdr:colOff>
      <xdr:row>0</xdr:row>
      <xdr:rowOff>0</xdr:rowOff>
    </xdr:from>
    <xdr:to>
      <xdr:col>175</xdr:col>
      <xdr:colOff>238125</xdr:colOff>
      <xdr:row>0</xdr:row>
      <xdr:rowOff>0</xdr:rowOff>
    </xdr:to>
    <xdr:graphicFrame macro="">
      <xdr:nvGraphicFramePr>
        <xdr:cNvPr id="4" name="Chart 887">
          <a:extLst>
            <a:ext uri="{FF2B5EF4-FFF2-40B4-BE49-F238E27FC236}">
              <a16:creationId xmlns:a16="http://schemas.microsoft.com/office/drawing/2014/main" id="{00000000-0008-0000-0400-00008C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145</xdr:col>
      <xdr:colOff>219075</xdr:colOff>
      <xdr:row>0</xdr:row>
      <xdr:rowOff>0</xdr:rowOff>
    </xdr:from>
    <xdr:to>
      <xdr:col>165</xdr:col>
      <xdr:colOff>590550</xdr:colOff>
      <xdr:row>0</xdr:row>
      <xdr:rowOff>0</xdr:rowOff>
    </xdr:to>
    <xdr:graphicFrame macro="">
      <xdr:nvGraphicFramePr>
        <xdr:cNvPr id="5" name="Chart 890">
          <a:extLst>
            <a:ext uri="{FF2B5EF4-FFF2-40B4-BE49-F238E27FC236}">
              <a16:creationId xmlns:a16="http://schemas.microsoft.com/office/drawing/2014/main" id="{00000000-0008-0000-0400-00008D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733425</xdr:colOff>
      <xdr:row>0</xdr:row>
      <xdr:rowOff>0</xdr:rowOff>
    </xdr:from>
    <xdr:to>
      <xdr:col>37</xdr:col>
      <xdr:colOff>238125</xdr:colOff>
      <xdr:row>0</xdr:row>
      <xdr:rowOff>0</xdr:rowOff>
    </xdr:to>
    <xdr:graphicFrame macro="">
      <xdr:nvGraphicFramePr>
        <xdr:cNvPr id="6" name="Chart 894">
          <a:extLst>
            <a:ext uri="{FF2B5EF4-FFF2-40B4-BE49-F238E27FC236}">
              <a16:creationId xmlns:a16="http://schemas.microsoft.com/office/drawing/2014/main" id="{00000000-0008-0000-0400-00008E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752475</xdr:colOff>
      <xdr:row>0</xdr:row>
      <xdr:rowOff>0</xdr:rowOff>
    </xdr:from>
    <xdr:to>
      <xdr:col>37</xdr:col>
      <xdr:colOff>247650</xdr:colOff>
      <xdr:row>0</xdr:row>
      <xdr:rowOff>0</xdr:rowOff>
    </xdr:to>
    <xdr:graphicFrame macro="">
      <xdr:nvGraphicFramePr>
        <xdr:cNvPr id="7" name="Chart 895">
          <a:extLst>
            <a:ext uri="{FF2B5EF4-FFF2-40B4-BE49-F238E27FC236}">
              <a16:creationId xmlns:a16="http://schemas.microsoft.com/office/drawing/2014/main" id="{00000000-0008-0000-0400-00008F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742950</xdr:colOff>
      <xdr:row>0</xdr:row>
      <xdr:rowOff>0</xdr:rowOff>
    </xdr:from>
    <xdr:to>
      <xdr:col>37</xdr:col>
      <xdr:colOff>257175</xdr:colOff>
      <xdr:row>0</xdr:row>
      <xdr:rowOff>0</xdr:rowOff>
    </xdr:to>
    <xdr:graphicFrame macro="">
      <xdr:nvGraphicFramePr>
        <xdr:cNvPr id="8" name="Chart 896">
          <a:extLst>
            <a:ext uri="{FF2B5EF4-FFF2-40B4-BE49-F238E27FC236}">
              <a16:creationId xmlns:a16="http://schemas.microsoft.com/office/drawing/2014/main" id="{00000000-0008-0000-0400-000090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466725</xdr:colOff>
      <xdr:row>0</xdr:row>
      <xdr:rowOff>0</xdr:rowOff>
    </xdr:from>
    <xdr:to>
      <xdr:col>35</xdr:col>
      <xdr:colOff>285750</xdr:colOff>
      <xdr:row>0</xdr:row>
      <xdr:rowOff>0</xdr:rowOff>
    </xdr:to>
    <xdr:graphicFrame macro="">
      <xdr:nvGraphicFramePr>
        <xdr:cNvPr id="9" name="Chart 897">
          <a:extLst>
            <a:ext uri="{FF2B5EF4-FFF2-40B4-BE49-F238E27FC236}">
              <a16:creationId xmlns:a16="http://schemas.microsoft.com/office/drawing/2014/main" id="{00000000-0008-0000-0400-000091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172</xdr:col>
      <xdr:colOff>647700</xdr:colOff>
      <xdr:row>0</xdr:row>
      <xdr:rowOff>0</xdr:rowOff>
    </xdr:from>
    <xdr:to>
      <xdr:col>184</xdr:col>
      <xdr:colOff>333375</xdr:colOff>
      <xdr:row>0</xdr:row>
      <xdr:rowOff>0</xdr:rowOff>
    </xdr:to>
    <xdr:graphicFrame macro="">
      <xdr:nvGraphicFramePr>
        <xdr:cNvPr id="10" name="Chart 911">
          <a:extLst>
            <a:ext uri="{FF2B5EF4-FFF2-40B4-BE49-F238E27FC236}">
              <a16:creationId xmlns:a16="http://schemas.microsoft.com/office/drawing/2014/main" id="{00000000-0008-0000-0400-000092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148</xdr:col>
      <xdr:colOff>809625</xdr:colOff>
      <xdr:row>0</xdr:row>
      <xdr:rowOff>0</xdr:rowOff>
    </xdr:from>
    <xdr:to>
      <xdr:col>160</xdr:col>
      <xdr:colOff>314325</xdr:colOff>
      <xdr:row>0</xdr:row>
      <xdr:rowOff>0</xdr:rowOff>
    </xdr:to>
    <xdr:graphicFrame macro="">
      <xdr:nvGraphicFramePr>
        <xdr:cNvPr id="11" name="Chart 912">
          <a:extLst>
            <a:ext uri="{FF2B5EF4-FFF2-40B4-BE49-F238E27FC236}">
              <a16:creationId xmlns:a16="http://schemas.microsoft.com/office/drawing/2014/main" id="{00000000-0008-0000-0400-000093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175</xdr:col>
      <xdr:colOff>895350</xdr:colOff>
      <xdr:row>0</xdr:row>
      <xdr:rowOff>0</xdr:rowOff>
    </xdr:from>
    <xdr:to>
      <xdr:col>182</xdr:col>
      <xdr:colOff>209550</xdr:colOff>
      <xdr:row>0</xdr:row>
      <xdr:rowOff>0</xdr:rowOff>
    </xdr:to>
    <xdr:graphicFrame macro="">
      <xdr:nvGraphicFramePr>
        <xdr:cNvPr id="12" name="Chart 913">
          <a:extLst>
            <a:ext uri="{FF2B5EF4-FFF2-40B4-BE49-F238E27FC236}">
              <a16:creationId xmlns:a16="http://schemas.microsoft.com/office/drawing/2014/main" id="{00000000-0008-0000-0400-000094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165</xdr:col>
      <xdr:colOff>333375</xdr:colOff>
      <xdr:row>0</xdr:row>
      <xdr:rowOff>0</xdr:rowOff>
    </xdr:from>
    <xdr:to>
      <xdr:col>176</xdr:col>
      <xdr:colOff>152400</xdr:colOff>
      <xdr:row>0</xdr:row>
      <xdr:rowOff>0</xdr:rowOff>
    </xdr:to>
    <xdr:graphicFrame macro="">
      <xdr:nvGraphicFramePr>
        <xdr:cNvPr id="13" name="Chart 921">
          <a:extLst>
            <a:ext uri="{FF2B5EF4-FFF2-40B4-BE49-F238E27FC236}">
              <a16:creationId xmlns:a16="http://schemas.microsoft.com/office/drawing/2014/main" id="{00000000-0008-0000-0400-000095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85725</xdr:colOff>
      <xdr:row>0</xdr:row>
      <xdr:rowOff>0</xdr:rowOff>
    </xdr:from>
    <xdr:to>
      <xdr:col>34</xdr:col>
      <xdr:colOff>400050</xdr:colOff>
      <xdr:row>0</xdr:row>
      <xdr:rowOff>0</xdr:rowOff>
    </xdr:to>
    <xdr:graphicFrame macro="">
      <xdr:nvGraphicFramePr>
        <xdr:cNvPr id="14" name="Chart 971">
          <a:extLst>
            <a:ext uri="{FF2B5EF4-FFF2-40B4-BE49-F238E27FC236}">
              <a16:creationId xmlns:a16="http://schemas.microsoft.com/office/drawing/2014/main" id="{00000000-0008-0000-0400-000096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476250</xdr:colOff>
      <xdr:row>0</xdr:row>
      <xdr:rowOff>0</xdr:rowOff>
    </xdr:from>
    <xdr:to>
      <xdr:col>33</xdr:col>
      <xdr:colOff>38100</xdr:colOff>
      <xdr:row>0</xdr:row>
      <xdr:rowOff>0</xdr:rowOff>
    </xdr:to>
    <xdr:graphicFrame macro="">
      <xdr:nvGraphicFramePr>
        <xdr:cNvPr id="15" name="Chart 972">
          <a:extLst>
            <a:ext uri="{FF2B5EF4-FFF2-40B4-BE49-F238E27FC236}">
              <a16:creationId xmlns:a16="http://schemas.microsoft.com/office/drawing/2014/main" id="{00000000-0008-0000-0400-000097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158</xdr:col>
      <xdr:colOff>57150</xdr:colOff>
      <xdr:row>0</xdr:row>
      <xdr:rowOff>0</xdr:rowOff>
    </xdr:from>
    <xdr:to>
      <xdr:col>170</xdr:col>
      <xdr:colOff>228600</xdr:colOff>
      <xdr:row>0</xdr:row>
      <xdr:rowOff>0</xdr:rowOff>
    </xdr:to>
    <xdr:graphicFrame macro="">
      <xdr:nvGraphicFramePr>
        <xdr:cNvPr id="16" name="Chart 975">
          <a:extLst>
            <a:ext uri="{FF2B5EF4-FFF2-40B4-BE49-F238E27FC236}">
              <a16:creationId xmlns:a16="http://schemas.microsoft.com/office/drawing/2014/main" id="{00000000-0008-0000-0400-000098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167</xdr:col>
      <xdr:colOff>19050</xdr:colOff>
      <xdr:row>0</xdr:row>
      <xdr:rowOff>0</xdr:rowOff>
    </xdr:from>
    <xdr:to>
      <xdr:col>179</xdr:col>
      <xdr:colOff>47625</xdr:colOff>
      <xdr:row>0</xdr:row>
      <xdr:rowOff>0</xdr:rowOff>
    </xdr:to>
    <xdr:graphicFrame macro="">
      <xdr:nvGraphicFramePr>
        <xdr:cNvPr id="17" name="Chart 983">
          <a:extLst>
            <a:ext uri="{FF2B5EF4-FFF2-40B4-BE49-F238E27FC236}">
              <a16:creationId xmlns:a16="http://schemas.microsoft.com/office/drawing/2014/main" id="{00000000-0008-0000-0400-000099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169</xdr:col>
      <xdr:colOff>485775</xdr:colOff>
      <xdr:row>0</xdr:row>
      <xdr:rowOff>0</xdr:rowOff>
    </xdr:from>
    <xdr:to>
      <xdr:col>182</xdr:col>
      <xdr:colOff>47625</xdr:colOff>
      <xdr:row>0</xdr:row>
      <xdr:rowOff>0</xdr:rowOff>
    </xdr:to>
    <xdr:graphicFrame macro="">
      <xdr:nvGraphicFramePr>
        <xdr:cNvPr id="18" name="Chart 984">
          <a:extLst>
            <a:ext uri="{FF2B5EF4-FFF2-40B4-BE49-F238E27FC236}">
              <a16:creationId xmlns:a16="http://schemas.microsoft.com/office/drawing/2014/main" id="{00000000-0008-0000-0400-00009A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169</xdr:col>
      <xdr:colOff>523875</xdr:colOff>
      <xdr:row>0</xdr:row>
      <xdr:rowOff>0</xdr:rowOff>
    </xdr:from>
    <xdr:to>
      <xdr:col>181</xdr:col>
      <xdr:colOff>342900</xdr:colOff>
      <xdr:row>0</xdr:row>
      <xdr:rowOff>0</xdr:rowOff>
    </xdr:to>
    <xdr:graphicFrame macro="">
      <xdr:nvGraphicFramePr>
        <xdr:cNvPr id="19" name="Chart 986">
          <a:extLst>
            <a:ext uri="{FF2B5EF4-FFF2-40B4-BE49-F238E27FC236}">
              <a16:creationId xmlns:a16="http://schemas.microsoft.com/office/drawing/2014/main" id="{00000000-0008-0000-0400-00009B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Q600"/>
  <sheetViews>
    <sheetView tabSelected="1" workbookViewId="0">
      <pane xSplit="1" ySplit="4" topLeftCell="B5" activePane="bottomRight" state="frozen"/>
      <selection activeCell="L25" sqref="L25"/>
      <selection pane="topRight" activeCell="L25" sqref="L25"/>
      <selection pane="bottomLeft" activeCell="L25" sqref="L25"/>
      <selection pane="bottomRight" activeCell="A566" sqref="A566"/>
    </sheetView>
  </sheetViews>
  <sheetFormatPr defaultRowHeight="12.75" x14ac:dyDescent="0.2"/>
  <cols>
    <col min="1" max="1" width="58" bestFit="1" customWidth="1"/>
  </cols>
  <sheetData>
    <row r="1" spans="1:121" x14ac:dyDescent="0.2">
      <c r="D1" t="s">
        <v>0</v>
      </c>
      <c r="G1" t="s">
        <v>1</v>
      </c>
      <c r="I1" t="s">
        <v>2</v>
      </c>
      <c r="K1" t="s">
        <v>3</v>
      </c>
      <c r="M1" t="s">
        <v>4</v>
      </c>
      <c r="O1" t="s">
        <v>5</v>
      </c>
      <c r="Q1" t="s">
        <v>6</v>
      </c>
      <c r="S1" t="s">
        <v>7</v>
      </c>
      <c r="U1" t="s">
        <v>8</v>
      </c>
      <c r="W1" t="s">
        <v>9</v>
      </c>
      <c r="Y1" t="s">
        <v>10</v>
      </c>
      <c r="AA1" t="s">
        <v>11</v>
      </c>
      <c r="AC1" t="s">
        <v>12</v>
      </c>
      <c r="AE1" t="s">
        <v>13</v>
      </c>
      <c r="AG1" t="s">
        <v>14</v>
      </c>
      <c r="AI1" t="s">
        <v>15</v>
      </c>
      <c r="AK1" t="s">
        <v>16</v>
      </c>
      <c r="AM1" t="s">
        <v>17</v>
      </c>
      <c r="AO1" t="s">
        <v>18</v>
      </c>
      <c r="AQ1" t="s">
        <v>19</v>
      </c>
      <c r="AS1" t="s">
        <v>20</v>
      </c>
      <c r="AU1" t="s">
        <v>21</v>
      </c>
      <c r="AW1" t="s">
        <v>22</v>
      </c>
      <c r="AY1" t="s">
        <v>23</v>
      </c>
      <c r="BA1" t="s">
        <v>24</v>
      </c>
      <c r="BC1" t="s">
        <v>25</v>
      </c>
      <c r="BE1" t="s">
        <v>26</v>
      </c>
      <c r="BG1" t="s">
        <v>27</v>
      </c>
      <c r="BI1" t="s">
        <v>28</v>
      </c>
      <c r="BK1" t="s">
        <v>29</v>
      </c>
      <c r="BM1" t="s">
        <v>30</v>
      </c>
      <c r="BO1" t="s">
        <v>31</v>
      </c>
      <c r="BQ1" t="s">
        <v>32</v>
      </c>
      <c r="BS1" t="s">
        <v>33</v>
      </c>
      <c r="BU1" t="s">
        <v>34</v>
      </c>
      <c r="BW1" t="s">
        <v>35</v>
      </c>
      <c r="BY1" t="s">
        <v>36</v>
      </c>
      <c r="CA1" t="s">
        <v>37</v>
      </c>
      <c r="CC1" t="s">
        <v>38</v>
      </c>
      <c r="CE1" t="s">
        <v>39</v>
      </c>
      <c r="CG1" t="s">
        <v>40</v>
      </c>
      <c r="CI1" t="s">
        <v>41</v>
      </c>
      <c r="CK1" t="s">
        <v>42</v>
      </c>
      <c r="CM1" t="s">
        <v>43</v>
      </c>
      <c r="CO1" t="s">
        <v>44</v>
      </c>
      <c r="CQ1" t="s">
        <v>45</v>
      </c>
      <c r="CS1" t="s">
        <v>46</v>
      </c>
      <c r="CU1" t="s">
        <v>47</v>
      </c>
      <c r="CW1" t="s">
        <v>48</v>
      </c>
      <c r="CY1" t="s">
        <v>49</v>
      </c>
      <c r="DA1" t="s">
        <v>50</v>
      </c>
      <c r="DC1" t="s">
        <v>51</v>
      </c>
      <c r="DE1" t="s">
        <v>52</v>
      </c>
      <c r="DG1" t="s">
        <v>53</v>
      </c>
      <c r="DI1" t="s">
        <v>54</v>
      </c>
      <c r="DK1" t="s">
        <v>55</v>
      </c>
      <c r="DM1" t="s">
        <v>56</v>
      </c>
      <c r="DO1" t="s">
        <v>57</v>
      </c>
      <c r="DQ1" t="s">
        <v>58</v>
      </c>
    </row>
    <row r="2" spans="1:121" x14ac:dyDescent="0.2">
      <c r="A2" t="s">
        <v>59</v>
      </c>
      <c r="D2" t="s">
        <v>60</v>
      </c>
      <c r="E2" t="s">
        <v>61</v>
      </c>
      <c r="G2">
        <v>10934</v>
      </c>
      <c r="I2">
        <v>983.3</v>
      </c>
      <c r="K2">
        <v>10030.1</v>
      </c>
      <c r="M2">
        <v>18787.599999999999</v>
      </c>
      <c r="O2">
        <v>508.5</v>
      </c>
      <c r="Q2">
        <v>174</v>
      </c>
      <c r="S2">
        <v>2014.1</v>
      </c>
      <c r="U2">
        <v>2527.1999999999998</v>
      </c>
      <c r="W2">
        <v>865</v>
      </c>
      <c r="Y2">
        <v>41.7</v>
      </c>
      <c r="AA2">
        <v>2756661</v>
      </c>
      <c r="AC2">
        <v>251.1</v>
      </c>
      <c r="AE2">
        <v>190.6</v>
      </c>
      <c r="AG2">
        <v>4641.3</v>
      </c>
      <c r="AI2">
        <v>3824.6</v>
      </c>
      <c r="AK2">
        <v>396.9</v>
      </c>
      <c r="AM2">
        <v>282.3</v>
      </c>
      <c r="AO2">
        <v>237.5</v>
      </c>
      <c r="AQ2">
        <v>179.2</v>
      </c>
      <c r="AS2">
        <v>438.6</v>
      </c>
      <c r="AU2">
        <v>503.2</v>
      </c>
      <c r="AW2">
        <v>347.9</v>
      </c>
      <c r="AY2">
        <v>1542.8</v>
      </c>
      <c r="BA2">
        <v>632495.9</v>
      </c>
      <c r="BC2">
        <v>669091.69999999995</v>
      </c>
      <c r="BE2">
        <v>764.9</v>
      </c>
      <c r="BG2">
        <v>981.8</v>
      </c>
      <c r="BI2">
        <v>274</v>
      </c>
      <c r="BK2">
        <v>49558.6</v>
      </c>
      <c r="BM2">
        <v>3057</v>
      </c>
      <c r="BO2">
        <v>237035.2</v>
      </c>
      <c r="BQ2">
        <v>20207.400000000001</v>
      </c>
      <c r="BS2">
        <v>23673.599999999999</v>
      </c>
      <c r="BU2">
        <v>469515</v>
      </c>
      <c r="BW2">
        <v>349.1</v>
      </c>
      <c r="BY2">
        <v>30498.2</v>
      </c>
      <c r="CA2">
        <v>6865.1</v>
      </c>
      <c r="CC2">
        <v>6.3</v>
      </c>
      <c r="CE2">
        <v>126.9</v>
      </c>
      <c r="CG2">
        <v>97.2</v>
      </c>
      <c r="CI2">
        <v>109.3</v>
      </c>
      <c r="CK2">
        <v>1457.5</v>
      </c>
      <c r="CM2">
        <v>69.400000000000006</v>
      </c>
      <c r="CO2">
        <v>173.1</v>
      </c>
      <c r="CQ2">
        <v>106.5</v>
      </c>
      <c r="CS2">
        <v>126.9</v>
      </c>
      <c r="CU2">
        <v>234791.2</v>
      </c>
      <c r="CW2">
        <v>33.799999999999997</v>
      </c>
      <c r="CY2">
        <v>54462.8</v>
      </c>
      <c r="DA2">
        <v>5384</v>
      </c>
      <c r="DC2">
        <v>1.4</v>
      </c>
      <c r="DE2">
        <v>2</v>
      </c>
      <c r="DG2">
        <v>0</v>
      </c>
      <c r="DI2">
        <v>2097.1999999999998</v>
      </c>
      <c r="DK2">
        <v>1200.3</v>
      </c>
      <c r="DM2">
        <v>74472.600000000006</v>
      </c>
      <c r="DO2">
        <v>7</v>
      </c>
      <c r="DQ2">
        <v>17260.2</v>
      </c>
    </row>
    <row r="3" spans="1:121" x14ac:dyDescent="0.2">
      <c r="D3" t="s">
        <v>62</v>
      </c>
      <c r="E3" t="s">
        <v>61</v>
      </c>
      <c r="G3">
        <v>357.7</v>
      </c>
      <c r="I3">
        <v>107.1</v>
      </c>
      <c r="K3">
        <v>166.8</v>
      </c>
      <c r="M3">
        <v>141.30000000000001</v>
      </c>
      <c r="O3">
        <v>47.1</v>
      </c>
      <c r="Q3">
        <v>42.5</v>
      </c>
      <c r="S3">
        <v>53.5</v>
      </c>
      <c r="U3">
        <v>58.5</v>
      </c>
      <c r="W3">
        <v>49.5</v>
      </c>
      <c r="Y3">
        <v>24.3</v>
      </c>
      <c r="AA3">
        <v>38344.5</v>
      </c>
      <c r="AC3">
        <v>55.6</v>
      </c>
      <c r="AE3">
        <v>35.200000000000003</v>
      </c>
      <c r="AG3">
        <v>129</v>
      </c>
      <c r="AI3">
        <v>112.9</v>
      </c>
      <c r="AK3">
        <v>46.7</v>
      </c>
      <c r="AM3">
        <v>19.100000000000001</v>
      </c>
      <c r="AO3">
        <v>44.3</v>
      </c>
      <c r="AQ3">
        <v>32.799999999999997</v>
      </c>
      <c r="AS3">
        <v>44.2</v>
      </c>
      <c r="AU3">
        <v>92.3</v>
      </c>
      <c r="AW3">
        <v>45.5</v>
      </c>
      <c r="AY3">
        <v>147.9</v>
      </c>
      <c r="BA3">
        <v>9344.7000000000007</v>
      </c>
      <c r="BC3">
        <v>3631.1</v>
      </c>
      <c r="BE3">
        <v>79.7</v>
      </c>
      <c r="BG3">
        <v>29.8</v>
      </c>
      <c r="BI3">
        <v>89.9</v>
      </c>
      <c r="BK3">
        <v>229.2</v>
      </c>
      <c r="BM3">
        <v>219.1</v>
      </c>
      <c r="BO3">
        <v>1816</v>
      </c>
      <c r="BQ3">
        <v>304.10000000000002</v>
      </c>
      <c r="BS3">
        <v>259.10000000000002</v>
      </c>
      <c r="BU3">
        <v>6594.9</v>
      </c>
      <c r="BW3">
        <v>38.299999999999997</v>
      </c>
      <c r="BY3">
        <v>497.4</v>
      </c>
      <c r="CA3">
        <v>116.4</v>
      </c>
      <c r="CC3">
        <v>4.3</v>
      </c>
      <c r="CE3">
        <v>8.9</v>
      </c>
      <c r="CG3">
        <v>15.5</v>
      </c>
      <c r="CI3">
        <v>16.7</v>
      </c>
      <c r="CK3">
        <v>71</v>
      </c>
      <c r="CM3">
        <v>10</v>
      </c>
      <c r="CO3">
        <v>15.8</v>
      </c>
      <c r="CQ3">
        <v>18.5</v>
      </c>
      <c r="CS3">
        <v>17.600000000000001</v>
      </c>
      <c r="CU3">
        <v>7464.9</v>
      </c>
      <c r="CW3">
        <v>8.1</v>
      </c>
      <c r="CY3">
        <v>2005.9</v>
      </c>
      <c r="DA3">
        <v>205.7</v>
      </c>
      <c r="DC3">
        <v>1.3</v>
      </c>
      <c r="DE3">
        <v>2.5</v>
      </c>
      <c r="DG3">
        <v>0</v>
      </c>
      <c r="DI3">
        <v>163.19999999999999</v>
      </c>
      <c r="DK3">
        <v>18.600000000000001</v>
      </c>
      <c r="DM3">
        <v>1092.4000000000001</v>
      </c>
      <c r="DO3">
        <v>2.2000000000000002</v>
      </c>
      <c r="DQ3">
        <v>196.2</v>
      </c>
    </row>
    <row r="4" spans="1:121" x14ac:dyDescent="0.2">
      <c r="D4" t="s">
        <v>63</v>
      </c>
      <c r="G4">
        <v>0</v>
      </c>
      <c r="I4">
        <v>0</v>
      </c>
      <c r="K4">
        <v>0</v>
      </c>
      <c r="M4">
        <v>0</v>
      </c>
      <c r="O4">
        <v>0</v>
      </c>
      <c r="Q4">
        <v>0</v>
      </c>
      <c r="S4">
        <v>0</v>
      </c>
      <c r="U4">
        <v>0</v>
      </c>
      <c r="W4">
        <v>0</v>
      </c>
      <c r="Y4">
        <v>0</v>
      </c>
      <c r="AC4">
        <v>0</v>
      </c>
      <c r="AE4">
        <v>0</v>
      </c>
      <c r="AG4">
        <v>0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CY4">
        <v>0</v>
      </c>
      <c r="DQ4">
        <v>0</v>
      </c>
    </row>
    <row r="5" spans="1:121" x14ac:dyDescent="0.2">
      <c r="D5" t="s">
        <v>64</v>
      </c>
      <c r="G5">
        <v>0</v>
      </c>
      <c r="I5">
        <v>0</v>
      </c>
      <c r="K5">
        <v>0</v>
      </c>
      <c r="M5">
        <v>0</v>
      </c>
      <c r="O5">
        <v>0</v>
      </c>
      <c r="Q5">
        <v>0</v>
      </c>
      <c r="S5">
        <v>0</v>
      </c>
      <c r="U5">
        <v>0</v>
      </c>
      <c r="W5">
        <v>0</v>
      </c>
      <c r="Y5">
        <v>0</v>
      </c>
      <c r="AC5">
        <v>0</v>
      </c>
      <c r="AE5">
        <v>0</v>
      </c>
      <c r="AG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C5">
        <v>0</v>
      </c>
      <c r="BE5">
        <v>0</v>
      </c>
      <c r="BG5">
        <v>0</v>
      </c>
      <c r="BI5">
        <v>0</v>
      </c>
      <c r="BK5">
        <v>0</v>
      </c>
      <c r="BM5">
        <v>0</v>
      </c>
      <c r="CY5">
        <v>0</v>
      </c>
      <c r="DQ5">
        <v>0</v>
      </c>
    </row>
    <row r="6" spans="1:121" x14ac:dyDescent="0.2">
      <c r="D6" t="s">
        <v>65</v>
      </c>
      <c r="G6" t="s">
        <v>66</v>
      </c>
      <c r="I6" t="s">
        <v>66</v>
      </c>
      <c r="K6" t="s">
        <v>66</v>
      </c>
      <c r="M6" t="s">
        <v>66</v>
      </c>
      <c r="O6" t="s">
        <v>66</v>
      </c>
      <c r="Q6" t="s">
        <v>66</v>
      </c>
      <c r="S6" t="s">
        <v>66</v>
      </c>
      <c r="U6" t="s">
        <v>66</v>
      </c>
      <c r="W6" t="s">
        <v>66</v>
      </c>
      <c r="Y6" t="s">
        <v>66</v>
      </c>
      <c r="AA6" t="s">
        <v>66</v>
      </c>
      <c r="AC6" t="s">
        <v>66</v>
      </c>
      <c r="AE6" t="s">
        <v>66</v>
      </c>
      <c r="AG6" t="s">
        <v>66</v>
      </c>
      <c r="AI6" t="s">
        <v>66</v>
      </c>
      <c r="AK6" t="s">
        <v>66</v>
      </c>
      <c r="AM6" t="s">
        <v>66</v>
      </c>
      <c r="AO6" t="s">
        <v>66</v>
      </c>
      <c r="AQ6" t="s">
        <v>66</v>
      </c>
      <c r="AS6" t="s">
        <v>66</v>
      </c>
      <c r="AU6" t="s">
        <v>66</v>
      </c>
      <c r="AW6" t="s">
        <v>66</v>
      </c>
      <c r="AY6" t="s">
        <v>66</v>
      </c>
      <c r="BA6" t="s">
        <v>66</v>
      </c>
      <c r="BC6" t="s">
        <v>66</v>
      </c>
      <c r="BE6" t="s">
        <v>66</v>
      </c>
      <c r="BG6" t="s">
        <v>66</v>
      </c>
      <c r="BI6" t="s">
        <v>66</v>
      </c>
      <c r="BK6" t="s">
        <v>66</v>
      </c>
      <c r="BM6" t="s">
        <v>66</v>
      </c>
      <c r="BO6" t="s">
        <v>66</v>
      </c>
      <c r="BQ6" t="s">
        <v>66</v>
      </c>
      <c r="BS6" t="s">
        <v>66</v>
      </c>
      <c r="BU6" t="s">
        <v>66</v>
      </c>
      <c r="BW6" t="s">
        <v>66</v>
      </c>
      <c r="BY6" t="s">
        <v>66</v>
      </c>
      <c r="CA6" t="s">
        <v>66</v>
      </c>
      <c r="CC6" t="s">
        <v>66</v>
      </c>
      <c r="CE6" t="s">
        <v>66</v>
      </c>
      <c r="CG6" t="s">
        <v>66</v>
      </c>
      <c r="CI6" t="s">
        <v>66</v>
      </c>
      <c r="CK6" t="s">
        <v>66</v>
      </c>
      <c r="CM6" t="s">
        <v>66</v>
      </c>
      <c r="CO6" t="s">
        <v>66</v>
      </c>
      <c r="CQ6" t="s">
        <v>66</v>
      </c>
      <c r="CS6" t="s">
        <v>66</v>
      </c>
      <c r="CU6" t="s">
        <v>66</v>
      </c>
      <c r="CW6" t="s">
        <v>66</v>
      </c>
      <c r="CY6" t="s">
        <v>66</v>
      </c>
      <c r="DA6" t="s">
        <v>66</v>
      </c>
      <c r="DC6" t="s">
        <v>66</v>
      </c>
      <c r="DE6" t="s">
        <v>66</v>
      </c>
      <c r="DG6" t="s">
        <v>66</v>
      </c>
      <c r="DI6" t="s">
        <v>66</v>
      </c>
      <c r="DK6" t="s">
        <v>66</v>
      </c>
      <c r="DM6" t="s">
        <v>66</v>
      </c>
      <c r="DO6" t="s">
        <v>66</v>
      </c>
      <c r="DQ6" t="s">
        <v>66</v>
      </c>
    </row>
    <row r="7" spans="1:121" x14ac:dyDescent="0.2">
      <c r="A7" t="s">
        <v>572</v>
      </c>
      <c r="D7" t="s">
        <v>60</v>
      </c>
      <c r="E7" t="s">
        <v>61</v>
      </c>
      <c r="G7">
        <v>7724.6</v>
      </c>
      <c r="I7">
        <v>690.4</v>
      </c>
      <c r="K7">
        <v>8236.7999999999993</v>
      </c>
      <c r="M7">
        <v>17438.099999999999</v>
      </c>
      <c r="O7">
        <v>254.2</v>
      </c>
      <c r="Q7">
        <v>195.8</v>
      </c>
      <c r="S7">
        <v>1703.4</v>
      </c>
      <c r="U7">
        <v>2457.3000000000002</v>
      </c>
      <c r="W7">
        <v>691.9</v>
      </c>
      <c r="Y7">
        <v>34.4</v>
      </c>
      <c r="AA7">
        <v>2786897.7</v>
      </c>
      <c r="AC7">
        <v>524.1</v>
      </c>
      <c r="AE7">
        <v>575.20000000000005</v>
      </c>
      <c r="AG7">
        <v>3981</v>
      </c>
      <c r="AI7">
        <v>3394.9</v>
      </c>
      <c r="AK7">
        <v>239.6</v>
      </c>
      <c r="AM7">
        <v>104.2</v>
      </c>
      <c r="AO7">
        <v>126.1</v>
      </c>
      <c r="AQ7">
        <v>134.4</v>
      </c>
      <c r="AS7">
        <v>304.2</v>
      </c>
      <c r="AU7">
        <v>324</v>
      </c>
      <c r="AW7">
        <v>261.5</v>
      </c>
      <c r="AY7">
        <v>1860.8</v>
      </c>
      <c r="BA7">
        <v>633375.30000000005</v>
      </c>
      <c r="BC7">
        <v>644532.69999999995</v>
      </c>
      <c r="BE7">
        <v>269.8</v>
      </c>
      <c r="BG7">
        <v>2312.4</v>
      </c>
      <c r="BI7">
        <v>1737.8</v>
      </c>
      <c r="BK7">
        <v>45006</v>
      </c>
      <c r="BM7">
        <v>2956.9</v>
      </c>
      <c r="BO7">
        <v>148629.29999999999</v>
      </c>
      <c r="BQ7">
        <v>17091.099999999999</v>
      </c>
      <c r="BS7">
        <v>20224.400000000001</v>
      </c>
      <c r="BU7">
        <v>455068.4</v>
      </c>
      <c r="BW7">
        <v>421.3</v>
      </c>
      <c r="BY7">
        <v>26709.9</v>
      </c>
      <c r="CA7">
        <v>6285.6</v>
      </c>
      <c r="CC7">
        <v>17.600000000000001</v>
      </c>
      <c r="CE7">
        <v>113.9</v>
      </c>
      <c r="CG7">
        <v>265.7</v>
      </c>
      <c r="CI7">
        <v>113.9</v>
      </c>
      <c r="CK7">
        <v>2516</v>
      </c>
      <c r="CM7">
        <v>42.6</v>
      </c>
      <c r="CO7">
        <v>160.19999999999999</v>
      </c>
      <c r="CQ7">
        <v>250.9</v>
      </c>
      <c r="CS7">
        <v>135.19999999999999</v>
      </c>
      <c r="CU7">
        <v>243589.9</v>
      </c>
      <c r="CW7">
        <v>54.2</v>
      </c>
      <c r="CY7">
        <v>55080.2</v>
      </c>
      <c r="DA7">
        <v>5306.9</v>
      </c>
      <c r="DC7">
        <v>0.8</v>
      </c>
      <c r="DE7">
        <v>2.5</v>
      </c>
      <c r="DG7">
        <v>9.4</v>
      </c>
      <c r="DI7">
        <v>287</v>
      </c>
      <c r="DK7">
        <v>964.9</v>
      </c>
      <c r="DM7">
        <v>79607.600000000006</v>
      </c>
      <c r="DO7">
        <v>14.1</v>
      </c>
      <c r="DQ7">
        <v>17824.599999999999</v>
      </c>
    </row>
    <row r="8" spans="1:121" x14ac:dyDescent="0.2">
      <c r="D8" t="s">
        <v>62</v>
      </c>
      <c r="E8" t="s">
        <v>61</v>
      </c>
      <c r="G8">
        <v>408.9</v>
      </c>
      <c r="I8">
        <v>21.7</v>
      </c>
      <c r="K8">
        <v>78.3</v>
      </c>
      <c r="M8">
        <v>420.4</v>
      </c>
      <c r="O8">
        <v>36.200000000000003</v>
      </c>
      <c r="Q8">
        <v>15.4</v>
      </c>
      <c r="S8">
        <v>49.1</v>
      </c>
      <c r="U8">
        <v>128.80000000000001</v>
      </c>
      <c r="W8">
        <v>75.599999999999994</v>
      </c>
      <c r="Y8">
        <v>18.8</v>
      </c>
      <c r="AA8">
        <v>10991.1</v>
      </c>
      <c r="AC8">
        <v>38.200000000000003</v>
      </c>
      <c r="AE8">
        <v>20.5</v>
      </c>
      <c r="AG8">
        <v>68</v>
      </c>
      <c r="AI8">
        <v>204</v>
      </c>
      <c r="AK8">
        <v>37.700000000000003</v>
      </c>
      <c r="AM8">
        <v>64.099999999999994</v>
      </c>
      <c r="AO8">
        <v>28</v>
      </c>
      <c r="AQ8">
        <v>8.3000000000000007</v>
      </c>
      <c r="AS8">
        <v>40.200000000000003</v>
      </c>
      <c r="AU8">
        <v>36.6</v>
      </c>
      <c r="AW8">
        <v>45.8</v>
      </c>
      <c r="AY8">
        <v>95.4</v>
      </c>
      <c r="BA8">
        <v>5288.5</v>
      </c>
      <c r="BC8">
        <v>8311.5</v>
      </c>
      <c r="BE8">
        <v>41.5</v>
      </c>
      <c r="BG8">
        <v>207.7</v>
      </c>
      <c r="BI8">
        <v>32.5</v>
      </c>
      <c r="BK8">
        <v>724</v>
      </c>
      <c r="BM8">
        <v>108.1</v>
      </c>
      <c r="BO8">
        <v>4560.2</v>
      </c>
      <c r="BQ8">
        <v>456.2</v>
      </c>
      <c r="BS8">
        <v>392.9</v>
      </c>
      <c r="BU8">
        <v>2137.1</v>
      </c>
      <c r="BW8">
        <v>11.6</v>
      </c>
      <c r="BY8">
        <v>117.7</v>
      </c>
      <c r="CA8">
        <v>269.39999999999998</v>
      </c>
      <c r="CC8">
        <v>4.2</v>
      </c>
      <c r="CE8">
        <v>10</v>
      </c>
      <c r="CG8">
        <v>26.7</v>
      </c>
      <c r="CI8">
        <v>5.6</v>
      </c>
      <c r="CK8">
        <v>123.8</v>
      </c>
      <c r="CM8">
        <v>15.8</v>
      </c>
      <c r="CO8">
        <v>8</v>
      </c>
      <c r="CQ8">
        <v>37</v>
      </c>
      <c r="CS8">
        <v>8</v>
      </c>
      <c r="CU8">
        <v>4998.3999999999996</v>
      </c>
      <c r="CW8">
        <v>2.8</v>
      </c>
      <c r="CY8">
        <v>1279.0999999999999</v>
      </c>
      <c r="DA8">
        <v>106.2</v>
      </c>
      <c r="DC8">
        <v>1.4</v>
      </c>
      <c r="DE8">
        <v>1.1000000000000001</v>
      </c>
      <c r="DG8">
        <v>2.2000000000000002</v>
      </c>
      <c r="DI8">
        <v>76.099999999999994</v>
      </c>
      <c r="DK8">
        <v>86.2</v>
      </c>
      <c r="DM8">
        <v>322.89999999999998</v>
      </c>
      <c r="DO8">
        <v>3.2</v>
      </c>
      <c r="DQ8">
        <v>127.2</v>
      </c>
    </row>
    <row r="9" spans="1:121" x14ac:dyDescent="0.2">
      <c r="D9" t="s">
        <v>63</v>
      </c>
    </row>
    <row r="10" spans="1:121" x14ac:dyDescent="0.2">
      <c r="D10" t="s">
        <v>64</v>
      </c>
    </row>
    <row r="11" spans="1:121" x14ac:dyDescent="0.2">
      <c r="D11" t="s">
        <v>65</v>
      </c>
      <c r="G11" t="s">
        <v>66</v>
      </c>
      <c r="I11" t="s">
        <v>66</v>
      </c>
      <c r="K11" t="s">
        <v>66</v>
      </c>
      <c r="M11" t="s">
        <v>66</v>
      </c>
      <c r="O11" t="s">
        <v>66</v>
      </c>
      <c r="Q11" t="s">
        <v>66</v>
      </c>
      <c r="S11" t="s">
        <v>66</v>
      </c>
      <c r="U11" t="s">
        <v>66</v>
      </c>
      <c r="W11" t="s">
        <v>66</v>
      </c>
      <c r="Y11" t="s">
        <v>66</v>
      </c>
      <c r="AA11" t="s">
        <v>66</v>
      </c>
      <c r="AC11" t="s">
        <v>66</v>
      </c>
      <c r="AE11" t="s">
        <v>66</v>
      </c>
      <c r="AG11" t="s">
        <v>66</v>
      </c>
      <c r="AI11" t="s">
        <v>66</v>
      </c>
      <c r="AK11" t="s">
        <v>66</v>
      </c>
      <c r="AM11" t="s">
        <v>66</v>
      </c>
      <c r="AO11" t="s">
        <v>66</v>
      </c>
      <c r="AQ11" t="s">
        <v>66</v>
      </c>
      <c r="AS11" t="s">
        <v>66</v>
      </c>
      <c r="AU11" t="s">
        <v>66</v>
      </c>
      <c r="AW11" t="s">
        <v>66</v>
      </c>
      <c r="AY11" t="s">
        <v>66</v>
      </c>
      <c r="BA11" t="s">
        <v>66</v>
      </c>
      <c r="BC11" t="s">
        <v>66</v>
      </c>
      <c r="BE11" t="s">
        <v>66</v>
      </c>
      <c r="BG11" t="s">
        <v>66</v>
      </c>
      <c r="BI11" t="s">
        <v>66</v>
      </c>
      <c r="BK11" t="s">
        <v>66</v>
      </c>
      <c r="BM11" t="s">
        <v>66</v>
      </c>
      <c r="BO11" t="s">
        <v>66</v>
      </c>
      <c r="BQ11" t="s">
        <v>66</v>
      </c>
      <c r="BS11" t="s">
        <v>66</v>
      </c>
      <c r="BU11" t="s">
        <v>66</v>
      </c>
      <c r="BW11" t="s">
        <v>66</v>
      </c>
      <c r="BY11" t="s">
        <v>66</v>
      </c>
      <c r="CA11" t="s">
        <v>66</v>
      </c>
      <c r="CC11" t="s">
        <v>66</v>
      </c>
      <c r="CE11" t="s">
        <v>66</v>
      </c>
      <c r="CG11" t="s">
        <v>66</v>
      </c>
      <c r="CI11" t="s">
        <v>66</v>
      </c>
      <c r="CK11" t="s">
        <v>66</v>
      </c>
      <c r="CM11" t="s">
        <v>66</v>
      </c>
      <c r="CO11" t="s">
        <v>66</v>
      </c>
      <c r="CQ11" t="s">
        <v>66</v>
      </c>
      <c r="CS11" t="s">
        <v>66</v>
      </c>
      <c r="CU11" t="s">
        <v>66</v>
      </c>
      <c r="CW11" t="s">
        <v>66</v>
      </c>
      <c r="CY11" t="s">
        <v>66</v>
      </c>
      <c r="DA11" t="s">
        <v>66</v>
      </c>
      <c r="DC11" t="s">
        <v>66</v>
      </c>
      <c r="DE11" t="s">
        <v>66</v>
      </c>
      <c r="DG11" t="s">
        <v>66</v>
      </c>
      <c r="DI11" t="s">
        <v>66</v>
      </c>
      <c r="DK11" t="s">
        <v>66</v>
      </c>
      <c r="DM11" t="s">
        <v>66</v>
      </c>
      <c r="DO11" t="s">
        <v>66</v>
      </c>
      <c r="DQ11" t="s">
        <v>66</v>
      </c>
    </row>
    <row r="12" spans="1:121" x14ac:dyDescent="0.2">
      <c r="A12" t="s">
        <v>573</v>
      </c>
      <c r="D12" t="s">
        <v>60</v>
      </c>
      <c r="E12" t="s">
        <v>61</v>
      </c>
      <c r="G12">
        <v>9479.6</v>
      </c>
      <c r="I12">
        <v>1105.9000000000001</v>
      </c>
      <c r="K12">
        <v>25655.4</v>
      </c>
      <c r="M12">
        <v>40401.199999999997</v>
      </c>
      <c r="O12">
        <v>27226.9</v>
      </c>
      <c r="Q12">
        <v>3694.2</v>
      </c>
      <c r="S12">
        <v>27814.799999999999</v>
      </c>
      <c r="U12">
        <v>7815.3</v>
      </c>
      <c r="W12">
        <v>11384.4</v>
      </c>
      <c r="Y12">
        <v>1594.9</v>
      </c>
      <c r="AA12">
        <v>2832220.7</v>
      </c>
      <c r="AC12">
        <v>6565.6</v>
      </c>
      <c r="AE12">
        <v>6420.7</v>
      </c>
      <c r="AG12">
        <v>33391.9</v>
      </c>
      <c r="AI12">
        <v>16119.8</v>
      </c>
      <c r="AK12">
        <v>33126.800000000003</v>
      </c>
      <c r="AM12">
        <v>29833.4</v>
      </c>
      <c r="AO12">
        <v>6413.3</v>
      </c>
      <c r="AQ12">
        <v>5741.6</v>
      </c>
      <c r="AS12">
        <v>5503.8</v>
      </c>
      <c r="AU12">
        <v>35018.5</v>
      </c>
      <c r="AW12">
        <v>10237.700000000001</v>
      </c>
      <c r="AY12">
        <v>9145.4</v>
      </c>
      <c r="BA12">
        <v>636861.69999999995</v>
      </c>
      <c r="BC12">
        <v>655186.5</v>
      </c>
      <c r="BE12">
        <v>24389.3</v>
      </c>
      <c r="BG12">
        <v>10666.5</v>
      </c>
      <c r="BI12">
        <v>8714.6</v>
      </c>
      <c r="BK12">
        <v>61846.9</v>
      </c>
      <c r="BM12">
        <v>29102.2</v>
      </c>
      <c r="BO12">
        <v>100613.9</v>
      </c>
      <c r="BQ12">
        <v>20962.8</v>
      </c>
      <c r="BS12">
        <v>22850.5</v>
      </c>
      <c r="BU12">
        <v>453781</v>
      </c>
      <c r="BW12">
        <v>513.1</v>
      </c>
      <c r="BY12">
        <v>28628.7</v>
      </c>
      <c r="CA12">
        <v>6354.3</v>
      </c>
      <c r="CC12">
        <v>100.9</v>
      </c>
      <c r="CE12">
        <v>1685.5</v>
      </c>
      <c r="CG12">
        <v>1808.8</v>
      </c>
      <c r="CI12">
        <v>1791.2</v>
      </c>
      <c r="CK12">
        <v>10661.3</v>
      </c>
      <c r="CM12">
        <v>1628</v>
      </c>
      <c r="CO12">
        <v>575.1</v>
      </c>
      <c r="CQ12">
        <v>1053.4000000000001</v>
      </c>
      <c r="CS12">
        <v>493.6</v>
      </c>
      <c r="CU12">
        <v>240435.1</v>
      </c>
      <c r="CW12">
        <v>712.7</v>
      </c>
      <c r="CY12">
        <v>55325.1</v>
      </c>
      <c r="DA12">
        <v>7987.2</v>
      </c>
      <c r="DC12">
        <v>62.2</v>
      </c>
      <c r="DE12">
        <v>82.2</v>
      </c>
      <c r="DG12">
        <v>32.299999999999997</v>
      </c>
      <c r="DI12">
        <v>1261.7</v>
      </c>
      <c r="DK12">
        <v>853.7</v>
      </c>
      <c r="DM12">
        <v>75709.3</v>
      </c>
      <c r="DO12">
        <v>194.4</v>
      </c>
      <c r="DQ12">
        <v>17391.400000000001</v>
      </c>
    </row>
    <row r="13" spans="1:121" x14ac:dyDescent="0.2">
      <c r="D13" t="s">
        <v>62</v>
      </c>
      <c r="E13" t="s">
        <v>61</v>
      </c>
      <c r="G13">
        <v>266.5</v>
      </c>
      <c r="I13">
        <v>100.4</v>
      </c>
      <c r="K13">
        <v>672.2</v>
      </c>
      <c r="M13">
        <v>685.1</v>
      </c>
      <c r="O13">
        <v>405.1</v>
      </c>
      <c r="Q13">
        <v>134.9</v>
      </c>
      <c r="S13">
        <v>179.8</v>
      </c>
      <c r="U13">
        <v>179.1</v>
      </c>
      <c r="W13">
        <v>239.1</v>
      </c>
      <c r="Y13">
        <v>193.2</v>
      </c>
      <c r="AA13">
        <v>56393.8</v>
      </c>
      <c r="AC13">
        <v>607.20000000000005</v>
      </c>
      <c r="AE13">
        <v>25.3</v>
      </c>
      <c r="AG13">
        <v>731.2</v>
      </c>
      <c r="AI13">
        <v>384.4</v>
      </c>
      <c r="AK13">
        <v>650.29999999999995</v>
      </c>
      <c r="AM13">
        <v>1186.8</v>
      </c>
      <c r="AO13">
        <v>138.1</v>
      </c>
      <c r="AQ13">
        <v>317.89999999999998</v>
      </c>
      <c r="AS13">
        <v>139.6</v>
      </c>
      <c r="AU13">
        <v>950.9</v>
      </c>
      <c r="AW13">
        <v>128.1</v>
      </c>
      <c r="AY13">
        <v>365.7</v>
      </c>
      <c r="BA13">
        <v>4318.7</v>
      </c>
      <c r="BC13">
        <v>6190.6</v>
      </c>
      <c r="BE13">
        <v>271.3</v>
      </c>
      <c r="BG13">
        <v>358.1</v>
      </c>
      <c r="BI13">
        <v>162.1</v>
      </c>
      <c r="BK13">
        <v>1183.3</v>
      </c>
      <c r="BM13">
        <v>582.20000000000005</v>
      </c>
      <c r="BO13">
        <v>3764.8</v>
      </c>
      <c r="BQ13">
        <v>394</v>
      </c>
      <c r="BS13">
        <v>312.2</v>
      </c>
      <c r="BU13">
        <v>1075.7</v>
      </c>
      <c r="BW13">
        <v>8.5</v>
      </c>
      <c r="BY13">
        <v>494.6</v>
      </c>
      <c r="CA13">
        <v>89.7</v>
      </c>
      <c r="CC13">
        <v>37</v>
      </c>
      <c r="CE13">
        <v>80.400000000000006</v>
      </c>
      <c r="CG13">
        <v>69.900000000000006</v>
      </c>
      <c r="CI13">
        <v>16.100000000000001</v>
      </c>
      <c r="CK13">
        <v>387.3</v>
      </c>
      <c r="CM13">
        <v>110</v>
      </c>
      <c r="CO13">
        <v>51.9</v>
      </c>
      <c r="CQ13">
        <v>150.5</v>
      </c>
      <c r="CS13">
        <v>63.7</v>
      </c>
      <c r="CU13">
        <v>2053.8000000000002</v>
      </c>
      <c r="CW13">
        <v>89.9</v>
      </c>
      <c r="CY13">
        <v>454.5</v>
      </c>
      <c r="DA13">
        <v>127.4</v>
      </c>
      <c r="DC13">
        <v>21.5</v>
      </c>
      <c r="DE13">
        <v>13.1</v>
      </c>
      <c r="DG13">
        <v>18.2</v>
      </c>
      <c r="DI13">
        <v>56.4</v>
      </c>
      <c r="DK13">
        <v>50.8</v>
      </c>
      <c r="DM13">
        <v>328.9</v>
      </c>
      <c r="DO13">
        <v>17.8</v>
      </c>
      <c r="DQ13">
        <v>244.2</v>
      </c>
    </row>
    <row r="14" spans="1:121" x14ac:dyDescent="0.2">
      <c r="D14" t="s">
        <v>63</v>
      </c>
    </row>
    <row r="15" spans="1:121" x14ac:dyDescent="0.2">
      <c r="D15" t="s">
        <v>64</v>
      </c>
    </row>
    <row r="16" spans="1:121" x14ac:dyDescent="0.2">
      <c r="D16" t="s">
        <v>65</v>
      </c>
      <c r="G16" t="s">
        <v>66</v>
      </c>
      <c r="I16" t="s">
        <v>66</v>
      </c>
      <c r="K16" t="s">
        <v>66</v>
      </c>
      <c r="M16" t="s">
        <v>66</v>
      </c>
      <c r="O16" t="s">
        <v>66</v>
      </c>
      <c r="Q16" t="s">
        <v>66</v>
      </c>
      <c r="S16" t="s">
        <v>66</v>
      </c>
      <c r="U16" t="s">
        <v>66</v>
      </c>
      <c r="W16" t="s">
        <v>66</v>
      </c>
      <c r="Y16" t="s">
        <v>66</v>
      </c>
      <c r="AA16" t="s">
        <v>66</v>
      </c>
      <c r="AC16" t="s">
        <v>66</v>
      </c>
      <c r="AE16" t="s">
        <v>66</v>
      </c>
      <c r="AG16" t="s">
        <v>66</v>
      </c>
      <c r="AI16" t="s">
        <v>66</v>
      </c>
      <c r="AK16" t="s">
        <v>66</v>
      </c>
      <c r="AM16" t="s">
        <v>66</v>
      </c>
      <c r="AO16" t="s">
        <v>66</v>
      </c>
      <c r="AQ16" t="s">
        <v>66</v>
      </c>
      <c r="AS16" t="s">
        <v>66</v>
      </c>
      <c r="AU16" t="s">
        <v>66</v>
      </c>
      <c r="AW16" t="s">
        <v>66</v>
      </c>
      <c r="AY16" t="s">
        <v>66</v>
      </c>
      <c r="BA16" t="s">
        <v>66</v>
      </c>
      <c r="BC16" t="s">
        <v>66</v>
      </c>
      <c r="BE16" t="s">
        <v>66</v>
      </c>
      <c r="BG16" t="s">
        <v>66</v>
      </c>
      <c r="BI16" t="s">
        <v>66</v>
      </c>
      <c r="BK16" t="s">
        <v>66</v>
      </c>
      <c r="BM16" t="s">
        <v>66</v>
      </c>
      <c r="BO16" t="s">
        <v>66</v>
      </c>
      <c r="BQ16" t="s">
        <v>66</v>
      </c>
      <c r="BS16" t="s">
        <v>66</v>
      </c>
      <c r="BU16" t="s">
        <v>66</v>
      </c>
      <c r="BW16" t="s">
        <v>66</v>
      </c>
      <c r="BY16" t="s">
        <v>66</v>
      </c>
      <c r="CA16" t="s">
        <v>66</v>
      </c>
      <c r="CC16" t="s">
        <v>66</v>
      </c>
      <c r="CE16" t="s">
        <v>66</v>
      </c>
      <c r="CG16" t="s">
        <v>66</v>
      </c>
      <c r="CI16" t="s">
        <v>66</v>
      </c>
      <c r="CK16" t="s">
        <v>66</v>
      </c>
      <c r="CM16" t="s">
        <v>66</v>
      </c>
      <c r="CO16" t="s">
        <v>66</v>
      </c>
      <c r="CQ16" t="s">
        <v>66</v>
      </c>
      <c r="CS16" t="s">
        <v>66</v>
      </c>
      <c r="CU16" t="s">
        <v>66</v>
      </c>
      <c r="CW16" t="s">
        <v>66</v>
      </c>
      <c r="CY16" t="s">
        <v>66</v>
      </c>
      <c r="DA16" t="s">
        <v>66</v>
      </c>
      <c r="DC16" t="s">
        <v>66</v>
      </c>
      <c r="DE16" t="s">
        <v>66</v>
      </c>
      <c r="DG16" t="s">
        <v>66</v>
      </c>
      <c r="DI16" t="s">
        <v>66</v>
      </c>
      <c r="DK16" t="s">
        <v>66</v>
      </c>
      <c r="DM16" t="s">
        <v>66</v>
      </c>
      <c r="DO16" t="s">
        <v>66</v>
      </c>
      <c r="DQ16" t="s">
        <v>66</v>
      </c>
    </row>
    <row r="17" spans="1:121" x14ac:dyDescent="0.2">
      <c r="A17" t="s">
        <v>574</v>
      </c>
      <c r="D17" t="s">
        <v>60</v>
      </c>
      <c r="E17" t="s">
        <v>61</v>
      </c>
      <c r="G17">
        <v>18126.2</v>
      </c>
      <c r="I17">
        <v>3693.1</v>
      </c>
      <c r="K17">
        <v>95382.8</v>
      </c>
      <c r="M17">
        <v>131014.1</v>
      </c>
      <c r="O17">
        <v>134379.5</v>
      </c>
      <c r="Q17">
        <v>17611.2</v>
      </c>
      <c r="S17">
        <v>130298.8</v>
      </c>
      <c r="U17">
        <v>29223.599999999999</v>
      </c>
      <c r="W17">
        <v>54317.7</v>
      </c>
      <c r="Y17">
        <v>7869.5</v>
      </c>
      <c r="AA17">
        <v>2807209.3</v>
      </c>
      <c r="AC17">
        <v>31390.5</v>
      </c>
      <c r="AE17">
        <v>29886.7</v>
      </c>
      <c r="AG17">
        <v>150918.20000000001</v>
      </c>
      <c r="AI17">
        <v>66576.3</v>
      </c>
      <c r="AK17">
        <v>166002</v>
      </c>
      <c r="AM17">
        <v>151571.79999999999</v>
      </c>
      <c r="AO17">
        <v>32179.200000000001</v>
      </c>
      <c r="AQ17">
        <v>27899</v>
      </c>
      <c r="AS17">
        <v>26840</v>
      </c>
      <c r="AU17">
        <v>173907.7</v>
      </c>
      <c r="AW17">
        <v>49368.3</v>
      </c>
      <c r="AY17">
        <v>39338.699999999997</v>
      </c>
      <c r="BA17">
        <v>643415.6</v>
      </c>
      <c r="BC17">
        <v>696911.2</v>
      </c>
      <c r="BE17">
        <v>121583.4</v>
      </c>
      <c r="BG17">
        <v>43130.8</v>
      </c>
      <c r="BI17">
        <v>36222</v>
      </c>
      <c r="BK17">
        <v>132278.79999999999</v>
      </c>
      <c r="BM17">
        <v>130764.7</v>
      </c>
      <c r="BO17">
        <v>155272.20000000001</v>
      </c>
      <c r="BQ17">
        <v>39575.199999999997</v>
      </c>
      <c r="BS17">
        <v>37513.1</v>
      </c>
      <c r="BU17">
        <v>482174.1</v>
      </c>
      <c r="BW17">
        <v>715.1</v>
      </c>
      <c r="BY17">
        <v>35543.599999999999</v>
      </c>
      <c r="CA17">
        <v>7986.2</v>
      </c>
      <c r="CC17">
        <v>543.6</v>
      </c>
      <c r="CE17">
        <v>7672.7</v>
      </c>
      <c r="CG17">
        <v>7518.8</v>
      </c>
      <c r="CI17">
        <v>9065.4</v>
      </c>
      <c r="CK17">
        <v>44232.3</v>
      </c>
      <c r="CM17">
        <v>8186.4</v>
      </c>
      <c r="CO17">
        <v>2114.6</v>
      </c>
      <c r="CQ17">
        <v>4055.9</v>
      </c>
      <c r="CS17">
        <v>1670.7</v>
      </c>
      <c r="CU17">
        <v>245136.3</v>
      </c>
      <c r="CW17">
        <v>3185.4</v>
      </c>
      <c r="CY17">
        <v>55704.2</v>
      </c>
      <c r="DA17">
        <v>21161.3</v>
      </c>
      <c r="DC17">
        <v>316.2</v>
      </c>
      <c r="DE17">
        <v>317</v>
      </c>
      <c r="DG17">
        <v>28.3</v>
      </c>
      <c r="DI17">
        <v>446.6</v>
      </c>
      <c r="DK17">
        <v>988.9</v>
      </c>
      <c r="DM17">
        <v>80562.100000000006</v>
      </c>
      <c r="DO17">
        <v>974.1</v>
      </c>
      <c r="DQ17">
        <v>17771.400000000001</v>
      </c>
    </row>
    <row r="18" spans="1:121" x14ac:dyDescent="0.2">
      <c r="D18" t="s">
        <v>62</v>
      </c>
      <c r="E18" t="s">
        <v>61</v>
      </c>
      <c r="G18">
        <v>413.7</v>
      </c>
      <c r="I18">
        <v>91.3</v>
      </c>
      <c r="K18">
        <v>1603.5</v>
      </c>
      <c r="M18">
        <v>439</v>
      </c>
      <c r="O18">
        <v>1261.2</v>
      </c>
      <c r="Q18">
        <v>290.2</v>
      </c>
      <c r="S18">
        <v>1191.8</v>
      </c>
      <c r="U18">
        <v>513.79999999999995</v>
      </c>
      <c r="W18">
        <v>628.6</v>
      </c>
      <c r="Y18">
        <v>95.7</v>
      </c>
      <c r="AA18">
        <v>19775.7</v>
      </c>
      <c r="AC18">
        <v>388.7</v>
      </c>
      <c r="AE18">
        <v>524.70000000000005</v>
      </c>
      <c r="AG18">
        <v>1973.8</v>
      </c>
      <c r="AI18">
        <v>613</v>
      </c>
      <c r="AK18">
        <v>2484.1999999999998</v>
      </c>
      <c r="AM18">
        <v>2612</v>
      </c>
      <c r="AO18">
        <v>204.9</v>
      </c>
      <c r="AQ18">
        <v>451.8</v>
      </c>
      <c r="AS18">
        <v>274.10000000000002</v>
      </c>
      <c r="AU18">
        <v>4119.2</v>
      </c>
      <c r="AW18">
        <v>996</v>
      </c>
      <c r="AY18">
        <v>235</v>
      </c>
      <c r="BA18">
        <v>8954.6</v>
      </c>
      <c r="BC18">
        <v>5954.7</v>
      </c>
      <c r="BE18">
        <v>2145.3000000000002</v>
      </c>
      <c r="BG18">
        <v>910.9</v>
      </c>
      <c r="BI18">
        <v>434.1</v>
      </c>
      <c r="BK18">
        <v>891.3</v>
      </c>
      <c r="BM18">
        <v>870.4</v>
      </c>
      <c r="BO18">
        <v>9149.6</v>
      </c>
      <c r="BQ18">
        <v>877.5</v>
      </c>
      <c r="BS18">
        <v>604.9</v>
      </c>
      <c r="BU18">
        <v>5084.7</v>
      </c>
      <c r="BW18">
        <v>48.7</v>
      </c>
      <c r="BY18">
        <v>563.79999999999995</v>
      </c>
      <c r="CA18">
        <v>187</v>
      </c>
      <c r="CC18">
        <v>36.700000000000003</v>
      </c>
      <c r="CE18">
        <v>164.4</v>
      </c>
      <c r="CG18">
        <v>28.6</v>
      </c>
      <c r="CI18">
        <v>12.5</v>
      </c>
      <c r="CK18">
        <v>525.6</v>
      </c>
      <c r="CM18">
        <v>225.1</v>
      </c>
      <c r="CO18">
        <v>43.3</v>
      </c>
      <c r="CQ18">
        <v>106.1</v>
      </c>
      <c r="CS18">
        <v>79.8</v>
      </c>
      <c r="CU18">
        <v>5770.5</v>
      </c>
      <c r="CW18">
        <v>83.5</v>
      </c>
      <c r="CY18">
        <v>1581.7</v>
      </c>
      <c r="DA18">
        <v>263.8</v>
      </c>
      <c r="DC18">
        <v>36</v>
      </c>
      <c r="DE18">
        <v>22.5</v>
      </c>
      <c r="DG18">
        <v>10.1</v>
      </c>
      <c r="DI18">
        <v>67.2</v>
      </c>
      <c r="DK18">
        <v>26.8</v>
      </c>
      <c r="DM18">
        <v>768.2</v>
      </c>
      <c r="DO18">
        <v>70.099999999999994</v>
      </c>
      <c r="DQ18">
        <v>133.69999999999999</v>
      </c>
    </row>
    <row r="19" spans="1:121" x14ac:dyDescent="0.2">
      <c r="D19" t="s">
        <v>63</v>
      </c>
    </row>
    <row r="20" spans="1:121" x14ac:dyDescent="0.2">
      <c r="D20" t="s">
        <v>64</v>
      </c>
    </row>
    <row r="21" spans="1:121" x14ac:dyDescent="0.2">
      <c r="D21" t="s">
        <v>65</v>
      </c>
      <c r="G21" t="s">
        <v>66</v>
      </c>
      <c r="I21" t="s">
        <v>66</v>
      </c>
      <c r="K21" t="s">
        <v>66</v>
      </c>
      <c r="M21" t="s">
        <v>66</v>
      </c>
      <c r="O21" t="s">
        <v>66</v>
      </c>
      <c r="Q21" t="s">
        <v>66</v>
      </c>
      <c r="S21" t="s">
        <v>66</v>
      </c>
      <c r="U21" t="s">
        <v>66</v>
      </c>
      <c r="W21" t="s">
        <v>66</v>
      </c>
      <c r="Y21" t="s">
        <v>66</v>
      </c>
      <c r="AA21" t="s">
        <v>66</v>
      </c>
      <c r="AC21" t="s">
        <v>66</v>
      </c>
      <c r="AE21" t="s">
        <v>66</v>
      </c>
      <c r="AG21" t="s">
        <v>66</v>
      </c>
      <c r="AI21" t="s">
        <v>66</v>
      </c>
      <c r="AK21" t="s">
        <v>66</v>
      </c>
      <c r="AM21" t="s">
        <v>66</v>
      </c>
      <c r="AO21" t="s">
        <v>66</v>
      </c>
      <c r="AQ21" t="s">
        <v>66</v>
      </c>
      <c r="AS21" t="s">
        <v>66</v>
      </c>
      <c r="AU21" t="s">
        <v>66</v>
      </c>
      <c r="AW21" t="s">
        <v>66</v>
      </c>
      <c r="AY21" t="s">
        <v>66</v>
      </c>
      <c r="BA21" t="s">
        <v>66</v>
      </c>
      <c r="BC21" t="s">
        <v>66</v>
      </c>
      <c r="BE21" t="s">
        <v>66</v>
      </c>
      <c r="BG21" t="s">
        <v>66</v>
      </c>
      <c r="BI21" t="s">
        <v>66</v>
      </c>
      <c r="BK21" t="s">
        <v>66</v>
      </c>
      <c r="BM21" t="s">
        <v>66</v>
      </c>
      <c r="BO21" t="s">
        <v>66</v>
      </c>
      <c r="BQ21" t="s">
        <v>66</v>
      </c>
      <c r="BS21" t="s">
        <v>66</v>
      </c>
      <c r="BU21" t="s">
        <v>66</v>
      </c>
      <c r="BW21" t="s">
        <v>66</v>
      </c>
      <c r="BY21" t="s">
        <v>66</v>
      </c>
      <c r="CA21" t="s">
        <v>66</v>
      </c>
      <c r="CC21" t="s">
        <v>66</v>
      </c>
      <c r="CE21" t="s">
        <v>66</v>
      </c>
      <c r="CG21" t="s">
        <v>66</v>
      </c>
      <c r="CI21" t="s">
        <v>66</v>
      </c>
      <c r="CK21" t="s">
        <v>66</v>
      </c>
      <c r="CM21" t="s">
        <v>66</v>
      </c>
      <c r="CO21" t="s">
        <v>66</v>
      </c>
      <c r="CQ21" t="s">
        <v>66</v>
      </c>
      <c r="CS21" t="s">
        <v>66</v>
      </c>
      <c r="CU21" t="s">
        <v>66</v>
      </c>
      <c r="CW21" t="s">
        <v>66</v>
      </c>
      <c r="CY21" t="s">
        <v>66</v>
      </c>
      <c r="DA21" t="s">
        <v>66</v>
      </c>
      <c r="DC21" t="s">
        <v>66</v>
      </c>
      <c r="DE21" t="s">
        <v>66</v>
      </c>
      <c r="DG21" t="s">
        <v>66</v>
      </c>
      <c r="DI21" t="s">
        <v>66</v>
      </c>
      <c r="DK21" t="s">
        <v>66</v>
      </c>
      <c r="DM21" t="s">
        <v>66</v>
      </c>
      <c r="DO21" t="s">
        <v>66</v>
      </c>
      <c r="DQ21" t="s">
        <v>66</v>
      </c>
    </row>
    <row r="22" spans="1:121" x14ac:dyDescent="0.2">
      <c r="A22" t="s">
        <v>575</v>
      </c>
      <c r="D22" t="s">
        <v>60</v>
      </c>
      <c r="E22" t="s">
        <v>61</v>
      </c>
      <c r="G22">
        <v>77558.399999999994</v>
      </c>
      <c r="I22">
        <v>17561.400000000001</v>
      </c>
      <c r="K22">
        <v>463538.1</v>
      </c>
      <c r="M22">
        <v>600563</v>
      </c>
      <c r="O22">
        <v>696521.1</v>
      </c>
      <c r="Q22">
        <v>89783.4</v>
      </c>
      <c r="S22">
        <v>665189.80000000005</v>
      </c>
      <c r="U22">
        <v>140711.6</v>
      </c>
      <c r="W22">
        <v>277223.2</v>
      </c>
      <c r="Y22">
        <v>40025.699999999997</v>
      </c>
      <c r="AA22">
        <v>2879881.7</v>
      </c>
      <c r="AC22">
        <v>157199.79999999999</v>
      </c>
      <c r="AE22">
        <v>149948</v>
      </c>
      <c r="AG22">
        <v>772017.5</v>
      </c>
      <c r="AI22">
        <v>322914.90000000002</v>
      </c>
      <c r="AK22">
        <v>855773</v>
      </c>
      <c r="AM22">
        <v>788884.3</v>
      </c>
      <c r="AO22">
        <v>164143.70000000001</v>
      </c>
      <c r="AQ22">
        <v>141611.6</v>
      </c>
      <c r="AS22">
        <v>136829.5</v>
      </c>
      <c r="AU22">
        <v>920215.3</v>
      </c>
      <c r="AW22">
        <v>251908</v>
      </c>
      <c r="AY22">
        <v>195677</v>
      </c>
      <c r="BA22">
        <v>657789.30000000005</v>
      </c>
      <c r="BC22">
        <v>860421.2</v>
      </c>
      <c r="BE22">
        <v>623880.19999999995</v>
      </c>
      <c r="BG22">
        <v>213692.6</v>
      </c>
      <c r="BI22">
        <v>182865.9</v>
      </c>
      <c r="BK22">
        <v>493848.9</v>
      </c>
      <c r="BM22">
        <v>675397.8</v>
      </c>
      <c r="BO22">
        <v>264503.59999999998</v>
      </c>
      <c r="BQ22">
        <v>135779.6</v>
      </c>
      <c r="BS22">
        <v>110642.1</v>
      </c>
      <c r="BU22">
        <v>565298.80000000005</v>
      </c>
      <c r="BW22">
        <v>1847.7</v>
      </c>
      <c r="BY22">
        <v>67958.8</v>
      </c>
      <c r="CA22">
        <v>14455.8</v>
      </c>
      <c r="CC22">
        <v>2769.1</v>
      </c>
      <c r="CE22">
        <v>38333</v>
      </c>
      <c r="CG22">
        <v>35992.5</v>
      </c>
      <c r="CI22">
        <v>44163.199999999997</v>
      </c>
      <c r="CK22">
        <v>214167</v>
      </c>
      <c r="CM22">
        <v>40386.800000000003</v>
      </c>
      <c r="CO22">
        <v>10149.4</v>
      </c>
      <c r="CQ22">
        <v>19362.3</v>
      </c>
      <c r="CS22">
        <v>8131.7</v>
      </c>
      <c r="CU22">
        <v>240699.2</v>
      </c>
      <c r="CW22">
        <v>15967.2</v>
      </c>
      <c r="CY22">
        <v>55305.5</v>
      </c>
      <c r="DA22">
        <v>87379.6</v>
      </c>
      <c r="DC22">
        <v>1560.9</v>
      </c>
      <c r="DE22">
        <v>1648.1</v>
      </c>
      <c r="DG22">
        <v>152.19999999999999</v>
      </c>
      <c r="DI22">
        <v>1625.8</v>
      </c>
      <c r="DK22">
        <v>935.4</v>
      </c>
      <c r="DM22">
        <v>76405.3</v>
      </c>
      <c r="DO22">
        <v>4811.3999999999996</v>
      </c>
      <c r="DQ22">
        <v>17881.400000000001</v>
      </c>
    </row>
    <row r="23" spans="1:121" x14ac:dyDescent="0.2">
      <c r="D23" t="s">
        <v>62</v>
      </c>
      <c r="E23" t="s">
        <v>61</v>
      </c>
      <c r="G23">
        <v>1203.3</v>
      </c>
      <c r="I23">
        <v>520.79999999999995</v>
      </c>
      <c r="K23">
        <v>2319.6</v>
      </c>
      <c r="M23">
        <v>5930.2</v>
      </c>
      <c r="O23">
        <v>10809.1</v>
      </c>
      <c r="Q23">
        <v>1240</v>
      </c>
      <c r="S23">
        <v>13942.6</v>
      </c>
      <c r="U23">
        <v>864.2</v>
      </c>
      <c r="W23">
        <v>1627.3</v>
      </c>
      <c r="Y23">
        <v>284.8</v>
      </c>
      <c r="AA23">
        <v>14624</v>
      </c>
      <c r="AC23">
        <v>928.4</v>
      </c>
      <c r="AE23">
        <v>2017.4</v>
      </c>
      <c r="AG23">
        <v>11672.3</v>
      </c>
      <c r="AI23">
        <v>3221.8</v>
      </c>
      <c r="AK23">
        <v>5558.2</v>
      </c>
      <c r="AM23">
        <v>8763.5</v>
      </c>
      <c r="AO23">
        <v>1920.8</v>
      </c>
      <c r="AQ23">
        <v>1649.8</v>
      </c>
      <c r="AS23">
        <v>1430.2</v>
      </c>
      <c r="AU23">
        <v>16020.7</v>
      </c>
      <c r="AW23">
        <v>5685.6</v>
      </c>
      <c r="AY23">
        <v>1599.5</v>
      </c>
      <c r="BA23">
        <v>7431.2</v>
      </c>
      <c r="BC23">
        <v>4604</v>
      </c>
      <c r="BE23">
        <v>4435.7</v>
      </c>
      <c r="BG23">
        <v>1096</v>
      </c>
      <c r="BI23">
        <v>1742.3</v>
      </c>
      <c r="BK23">
        <v>7640.1</v>
      </c>
      <c r="BM23">
        <v>7544.6</v>
      </c>
      <c r="BO23">
        <v>1977.7</v>
      </c>
      <c r="BQ23">
        <v>2380.3000000000002</v>
      </c>
      <c r="BS23">
        <v>1414.9</v>
      </c>
      <c r="BU23">
        <v>4670.2</v>
      </c>
      <c r="BW23">
        <v>44.2</v>
      </c>
      <c r="BY23">
        <v>729.4</v>
      </c>
      <c r="CA23">
        <v>198.5</v>
      </c>
      <c r="CC23">
        <v>65.400000000000006</v>
      </c>
      <c r="CE23">
        <v>819.5</v>
      </c>
      <c r="CG23">
        <v>646.20000000000005</v>
      </c>
      <c r="CI23">
        <v>599.5</v>
      </c>
      <c r="CK23">
        <v>2070.3000000000002</v>
      </c>
      <c r="CM23">
        <v>677</v>
      </c>
      <c r="CO23">
        <v>170.4</v>
      </c>
      <c r="CQ23">
        <v>342.5</v>
      </c>
      <c r="CS23">
        <v>204.7</v>
      </c>
      <c r="CU23">
        <v>822.9</v>
      </c>
      <c r="CW23">
        <v>230.3</v>
      </c>
      <c r="CY23">
        <v>602.29999999999995</v>
      </c>
      <c r="DA23">
        <v>1123.9000000000001</v>
      </c>
      <c r="DC23">
        <v>70.400000000000006</v>
      </c>
      <c r="DE23">
        <v>34.700000000000003</v>
      </c>
      <c r="DG23">
        <v>28.7</v>
      </c>
      <c r="DI23">
        <v>147.30000000000001</v>
      </c>
      <c r="DK23">
        <v>23.4</v>
      </c>
      <c r="DM23">
        <v>3397.8</v>
      </c>
      <c r="DO23">
        <v>130.80000000000001</v>
      </c>
      <c r="DQ23">
        <v>118.9</v>
      </c>
    </row>
    <row r="24" spans="1:121" x14ac:dyDescent="0.2">
      <c r="D24" t="s">
        <v>63</v>
      </c>
    </row>
    <row r="25" spans="1:121" x14ac:dyDescent="0.2">
      <c r="D25" t="s">
        <v>64</v>
      </c>
    </row>
    <row r="26" spans="1:121" x14ac:dyDescent="0.2">
      <c r="D26" t="s">
        <v>65</v>
      </c>
      <c r="G26" t="s">
        <v>66</v>
      </c>
      <c r="I26" t="s">
        <v>66</v>
      </c>
      <c r="K26" t="s">
        <v>66</v>
      </c>
      <c r="M26" t="s">
        <v>66</v>
      </c>
      <c r="O26" t="s">
        <v>66</v>
      </c>
      <c r="Q26" t="s">
        <v>66</v>
      </c>
      <c r="S26" t="s">
        <v>66</v>
      </c>
      <c r="U26" t="s">
        <v>66</v>
      </c>
      <c r="W26" t="s">
        <v>66</v>
      </c>
      <c r="Y26" t="s">
        <v>66</v>
      </c>
      <c r="AA26" t="s">
        <v>66</v>
      </c>
      <c r="AC26" t="s">
        <v>66</v>
      </c>
      <c r="AE26" t="s">
        <v>66</v>
      </c>
      <c r="AG26" t="s">
        <v>66</v>
      </c>
      <c r="AI26" t="s">
        <v>66</v>
      </c>
      <c r="AK26" t="s">
        <v>66</v>
      </c>
      <c r="AM26" t="s">
        <v>66</v>
      </c>
      <c r="AO26" t="s">
        <v>66</v>
      </c>
      <c r="AQ26" t="s">
        <v>66</v>
      </c>
      <c r="AS26" t="s">
        <v>66</v>
      </c>
      <c r="AU26" t="s">
        <v>66</v>
      </c>
      <c r="AW26" t="s">
        <v>66</v>
      </c>
      <c r="AY26" t="s">
        <v>66</v>
      </c>
      <c r="BA26" t="s">
        <v>66</v>
      </c>
      <c r="BC26" t="s">
        <v>66</v>
      </c>
      <c r="BE26" t="s">
        <v>66</v>
      </c>
      <c r="BG26" t="s">
        <v>66</v>
      </c>
      <c r="BI26" t="s">
        <v>66</v>
      </c>
      <c r="BK26" t="s">
        <v>66</v>
      </c>
      <c r="BM26" t="s">
        <v>66</v>
      </c>
      <c r="BO26" t="s">
        <v>66</v>
      </c>
      <c r="BQ26" t="s">
        <v>66</v>
      </c>
      <c r="BS26" t="s">
        <v>66</v>
      </c>
      <c r="BU26" t="s">
        <v>66</v>
      </c>
      <c r="BW26" t="s">
        <v>66</v>
      </c>
      <c r="BY26" t="s">
        <v>66</v>
      </c>
      <c r="CA26" t="s">
        <v>66</v>
      </c>
      <c r="CC26" t="s">
        <v>66</v>
      </c>
      <c r="CE26" t="s">
        <v>66</v>
      </c>
      <c r="CG26" t="s">
        <v>66</v>
      </c>
      <c r="CI26" t="s">
        <v>66</v>
      </c>
      <c r="CK26" t="s">
        <v>66</v>
      </c>
      <c r="CM26" t="s">
        <v>66</v>
      </c>
      <c r="CO26" t="s">
        <v>66</v>
      </c>
      <c r="CQ26" t="s">
        <v>66</v>
      </c>
      <c r="CS26" t="s">
        <v>66</v>
      </c>
      <c r="CU26" t="s">
        <v>66</v>
      </c>
      <c r="CW26" t="s">
        <v>66</v>
      </c>
      <c r="CY26" t="s">
        <v>66</v>
      </c>
      <c r="DA26" t="s">
        <v>66</v>
      </c>
      <c r="DC26" t="s">
        <v>66</v>
      </c>
      <c r="DE26" t="s">
        <v>66</v>
      </c>
      <c r="DG26" t="s">
        <v>66</v>
      </c>
      <c r="DI26" t="s">
        <v>66</v>
      </c>
      <c r="DK26" t="s">
        <v>66</v>
      </c>
      <c r="DM26" t="s">
        <v>66</v>
      </c>
      <c r="DO26" t="s">
        <v>66</v>
      </c>
      <c r="DQ26" t="s">
        <v>66</v>
      </c>
    </row>
    <row r="27" spans="1:121" x14ac:dyDescent="0.2">
      <c r="A27" t="s">
        <v>576</v>
      </c>
      <c r="D27" t="s">
        <v>60</v>
      </c>
      <c r="E27" t="s">
        <v>61</v>
      </c>
      <c r="G27">
        <v>188416.4</v>
      </c>
      <c r="I27">
        <v>42658.400000000001</v>
      </c>
      <c r="K27">
        <v>1181380.5</v>
      </c>
      <c r="M27">
        <v>1536067.8</v>
      </c>
      <c r="O27">
        <v>1817274.3</v>
      </c>
      <c r="Q27">
        <v>226633</v>
      </c>
      <c r="S27">
        <v>1746804.5</v>
      </c>
      <c r="U27">
        <v>352666.6</v>
      </c>
      <c r="W27">
        <v>704675.2</v>
      </c>
      <c r="Y27">
        <v>98761.4</v>
      </c>
      <c r="AA27">
        <v>2863079.3</v>
      </c>
      <c r="AC27">
        <v>392329.1</v>
      </c>
      <c r="AE27">
        <v>377286</v>
      </c>
      <c r="AG27">
        <v>2013178.7</v>
      </c>
      <c r="AI27">
        <v>825387</v>
      </c>
      <c r="AK27">
        <v>2236369.7000000002</v>
      </c>
      <c r="AM27">
        <v>2062371</v>
      </c>
      <c r="AO27">
        <v>409211.7</v>
      </c>
      <c r="AQ27">
        <v>324109.5</v>
      </c>
      <c r="AS27">
        <v>300723.7</v>
      </c>
      <c r="AU27">
        <v>2116282.7000000002</v>
      </c>
      <c r="AW27">
        <v>595056.19999999995</v>
      </c>
      <c r="AY27">
        <v>464657.6</v>
      </c>
      <c r="BA27">
        <v>648208.5</v>
      </c>
      <c r="BC27">
        <v>1160050.5</v>
      </c>
      <c r="BE27">
        <v>1565627.8</v>
      </c>
      <c r="BG27">
        <v>518696.8</v>
      </c>
      <c r="BI27">
        <v>440076.4</v>
      </c>
      <c r="BK27">
        <v>1169988.5</v>
      </c>
      <c r="BM27">
        <v>1702391.7</v>
      </c>
      <c r="BO27">
        <v>526343.4</v>
      </c>
      <c r="BQ27">
        <v>310836.09999999998</v>
      </c>
      <c r="BS27">
        <v>249019</v>
      </c>
      <c r="BU27">
        <v>726256.7</v>
      </c>
      <c r="BW27">
        <v>4115.2</v>
      </c>
      <c r="BY27">
        <v>128736.9</v>
      </c>
      <c r="CA27">
        <v>25773.9</v>
      </c>
      <c r="CC27">
        <v>6784.4</v>
      </c>
      <c r="CE27">
        <v>94543.5</v>
      </c>
      <c r="CG27">
        <v>88416.6</v>
      </c>
      <c r="CI27">
        <v>109121.4</v>
      </c>
      <c r="CK27">
        <v>530530.1</v>
      </c>
      <c r="CM27">
        <v>101097.3</v>
      </c>
      <c r="CO27">
        <v>24740.7</v>
      </c>
      <c r="CQ27">
        <v>48640.2</v>
      </c>
      <c r="CS27">
        <v>20463.5</v>
      </c>
      <c r="CU27">
        <v>243915</v>
      </c>
      <c r="CW27">
        <v>39876.800000000003</v>
      </c>
      <c r="CY27">
        <v>56531.199999999997</v>
      </c>
      <c r="DA27">
        <v>213833.4</v>
      </c>
      <c r="DC27">
        <v>4423.3</v>
      </c>
      <c r="DE27">
        <v>3930.3</v>
      </c>
      <c r="DG27">
        <v>356.8</v>
      </c>
      <c r="DI27">
        <v>1170.3</v>
      </c>
      <c r="DK27">
        <v>922.7</v>
      </c>
      <c r="DM27">
        <v>82064.2</v>
      </c>
      <c r="DO27">
        <v>11968.3</v>
      </c>
      <c r="DQ27">
        <v>18435.8</v>
      </c>
    </row>
    <row r="28" spans="1:121" x14ac:dyDescent="0.2">
      <c r="D28" t="s">
        <v>62</v>
      </c>
      <c r="E28" t="s">
        <v>61</v>
      </c>
      <c r="G28">
        <v>1010.5</v>
      </c>
      <c r="I28">
        <v>857</v>
      </c>
      <c r="K28">
        <v>19421</v>
      </c>
      <c r="M28">
        <v>39757.1</v>
      </c>
      <c r="O28">
        <v>51904.4</v>
      </c>
      <c r="Q28">
        <v>6829.9</v>
      </c>
      <c r="S28">
        <v>62491.5</v>
      </c>
      <c r="U28">
        <v>7771</v>
      </c>
      <c r="W28">
        <v>15122.8</v>
      </c>
      <c r="Y28">
        <v>2109.5</v>
      </c>
      <c r="AA28">
        <v>107911.1</v>
      </c>
      <c r="AC28">
        <v>7621.1</v>
      </c>
      <c r="AE28">
        <v>6945.5</v>
      </c>
      <c r="AG28">
        <v>76008.899999999994</v>
      </c>
      <c r="AI28">
        <v>22506.1</v>
      </c>
      <c r="AK28">
        <v>44158.2</v>
      </c>
      <c r="AM28">
        <v>39892.5</v>
      </c>
      <c r="AO28">
        <v>7590.6</v>
      </c>
      <c r="AQ28">
        <v>51670.8</v>
      </c>
      <c r="AS28">
        <v>70020.2</v>
      </c>
      <c r="AU28">
        <v>443226.9</v>
      </c>
      <c r="AW28">
        <v>73781</v>
      </c>
      <c r="AY28">
        <v>32721.9</v>
      </c>
      <c r="BA28">
        <v>21847</v>
      </c>
      <c r="BC28">
        <v>8883.2000000000007</v>
      </c>
      <c r="BE28">
        <v>57392.6</v>
      </c>
      <c r="BG28">
        <v>11528.7</v>
      </c>
      <c r="BI28">
        <v>11499.9</v>
      </c>
      <c r="BK28">
        <v>6405.5</v>
      </c>
      <c r="BM28">
        <v>27274.1</v>
      </c>
      <c r="BO28">
        <v>3057.2</v>
      </c>
      <c r="BQ28">
        <v>1632.5</v>
      </c>
      <c r="BS28">
        <v>517.79999999999995</v>
      </c>
      <c r="BU28">
        <v>10912.7</v>
      </c>
      <c r="BW28">
        <v>73.7</v>
      </c>
      <c r="BY28">
        <v>719.6</v>
      </c>
      <c r="CA28">
        <v>308</v>
      </c>
      <c r="CC28">
        <v>56.3</v>
      </c>
      <c r="CE28">
        <v>1298.7</v>
      </c>
      <c r="CG28">
        <v>2262.5</v>
      </c>
      <c r="CI28">
        <v>956.7</v>
      </c>
      <c r="CK28">
        <v>8025.9</v>
      </c>
      <c r="CM28">
        <v>728.2</v>
      </c>
      <c r="CO28">
        <v>167.4</v>
      </c>
      <c r="CQ28">
        <v>486.6</v>
      </c>
      <c r="CS28">
        <v>165.4</v>
      </c>
      <c r="CU28">
        <v>2504.6999999999998</v>
      </c>
      <c r="CW28">
        <v>260.5</v>
      </c>
      <c r="CY28">
        <v>939.5</v>
      </c>
      <c r="DA28">
        <v>1966.6</v>
      </c>
      <c r="DC28">
        <v>202.1</v>
      </c>
      <c r="DE28">
        <v>59.3</v>
      </c>
      <c r="DG28">
        <v>17.7</v>
      </c>
      <c r="DI28">
        <v>50</v>
      </c>
      <c r="DK28">
        <v>26</v>
      </c>
      <c r="DM28">
        <v>592</v>
      </c>
      <c r="DO28">
        <v>135.5</v>
      </c>
      <c r="DQ28">
        <v>570.9</v>
      </c>
    </row>
    <row r="29" spans="1:121" x14ac:dyDescent="0.2">
      <c r="D29" t="s">
        <v>63</v>
      </c>
    </row>
    <row r="30" spans="1:121" x14ac:dyDescent="0.2">
      <c r="D30" t="s">
        <v>64</v>
      </c>
    </row>
    <row r="31" spans="1:121" x14ac:dyDescent="0.2">
      <c r="D31" t="s">
        <v>65</v>
      </c>
      <c r="G31" t="s">
        <v>66</v>
      </c>
      <c r="I31" t="s">
        <v>66</v>
      </c>
      <c r="K31" t="s">
        <v>66</v>
      </c>
      <c r="M31" t="s">
        <v>66</v>
      </c>
      <c r="O31" t="s">
        <v>66</v>
      </c>
      <c r="Q31" t="s">
        <v>66</v>
      </c>
      <c r="S31" t="s">
        <v>66</v>
      </c>
      <c r="U31" t="s">
        <v>66</v>
      </c>
      <c r="W31" t="s">
        <v>66</v>
      </c>
      <c r="Y31" t="s">
        <v>66</v>
      </c>
      <c r="AA31" t="s">
        <v>66</v>
      </c>
      <c r="AC31" t="s">
        <v>66</v>
      </c>
      <c r="AE31" t="s">
        <v>66</v>
      </c>
      <c r="AG31" t="s">
        <v>66</v>
      </c>
      <c r="AI31" t="s">
        <v>66</v>
      </c>
      <c r="AK31" t="s">
        <v>66</v>
      </c>
      <c r="AM31" t="s">
        <v>66</v>
      </c>
      <c r="AO31" t="s">
        <v>66</v>
      </c>
      <c r="AQ31" t="s">
        <v>66</v>
      </c>
      <c r="AS31" t="s">
        <v>66</v>
      </c>
      <c r="AU31" t="s">
        <v>66</v>
      </c>
      <c r="AW31" t="s">
        <v>66</v>
      </c>
      <c r="AY31" t="s">
        <v>66</v>
      </c>
      <c r="BA31" t="s">
        <v>66</v>
      </c>
      <c r="BC31" t="s">
        <v>66</v>
      </c>
      <c r="BE31" t="s">
        <v>66</v>
      </c>
      <c r="BG31" t="s">
        <v>66</v>
      </c>
      <c r="BI31" t="s">
        <v>66</v>
      </c>
      <c r="BK31" t="s">
        <v>66</v>
      </c>
      <c r="BM31" t="s">
        <v>66</v>
      </c>
      <c r="BO31" t="s">
        <v>66</v>
      </c>
      <c r="BQ31" t="s">
        <v>66</v>
      </c>
      <c r="BS31" t="s">
        <v>66</v>
      </c>
      <c r="BU31" t="s">
        <v>66</v>
      </c>
      <c r="BW31" t="s">
        <v>66</v>
      </c>
      <c r="BY31" t="s">
        <v>66</v>
      </c>
      <c r="CA31" t="s">
        <v>66</v>
      </c>
      <c r="CC31" t="s">
        <v>66</v>
      </c>
      <c r="CE31" t="s">
        <v>66</v>
      </c>
      <c r="CG31" t="s">
        <v>66</v>
      </c>
      <c r="CI31" t="s">
        <v>66</v>
      </c>
      <c r="CK31" t="s">
        <v>66</v>
      </c>
      <c r="CM31" t="s">
        <v>66</v>
      </c>
      <c r="CO31" t="s">
        <v>66</v>
      </c>
      <c r="CQ31" t="s">
        <v>66</v>
      </c>
      <c r="CS31" t="s">
        <v>66</v>
      </c>
      <c r="CU31" t="s">
        <v>66</v>
      </c>
      <c r="CW31" t="s">
        <v>66</v>
      </c>
      <c r="CY31" t="s">
        <v>66</v>
      </c>
      <c r="DA31" t="s">
        <v>66</v>
      </c>
      <c r="DC31" t="s">
        <v>66</v>
      </c>
      <c r="DE31" t="s">
        <v>66</v>
      </c>
      <c r="DG31" t="s">
        <v>66</v>
      </c>
      <c r="DI31" t="s">
        <v>66</v>
      </c>
      <c r="DK31" t="s">
        <v>66</v>
      </c>
      <c r="DM31" t="s">
        <v>66</v>
      </c>
      <c r="DO31" t="s">
        <v>66</v>
      </c>
      <c r="DQ31" t="s">
        <v>66</v>
      </c>
    </row>
    <row r="32" spans="1:121" x14ac:dyDescent="0.2">
      <c r="A32" t="s">
        <v>577</v>
      </c>
      <c r="D32" t="s">
        <v>60</v>
      </c>
      <c r="E32" t="s">
        <v>61</v>
      </c>
      <c r="G32">
        <v>791090.3</v>
      </c>
      <c r="I32">
        <v>179022.8</v>
      </c>
      <c r="K32">
        <v>4908993.5999999996</v>
      </c>
      <c r="M32">
        <v>6264686.4000000004</v>
      </c>
      <c r="O32">
        <v>7477240.7000000002</v>
      </c>
      <c r="Q32">
        <v>949172.7</v>
      </c>
      <c r="S32">
        <v>7128044</v>
      </c>
      <c r="U32">
        <v>1509380.2</v>
      </c>
      <c r="W32">
        <v>3106153.3</v>
      </c>
      <c r="Y32">
        <v>420556.2</v>
      </c>
      <c r="AA32">
        <v>2958505.7</v>
      </c>
      <c r="AC32">
        <v>1708266.5</v>
      </c>
      <c r="AE32">
        <v>1619289.8</v>
      </c>
      <c r="AG32">
        <v>7946861.7000000002</v>
      </c>
      <c r="AI32">
        <v>3562831.3</v>
      </c>
      <c r="AK32">
        <v>9084876.4000000004</v>
      </c>
      <c r="AM32">
        <v>8298086.0999999996</v>
      </c>
      <c r="AO32">
        <v>1767296.3</v>
      </c>
      <c r="AQ32">
        <v>1509977.8</v>
      </c>
      <c r="AS32">
        <v>1438453.3</v>
      </c>
      <c r="AU32">
        <v>9159507.1999999993</v>
      </c>
      <c r="AW32">
        <v>2789906.7</v>
      </c>
      <c r="AY32">
        <v>2128628.7000000002</v>
      </c>
      <c r="BA32">
        <v>676877</v>
      </c>
      <c r="BC32">
        <v>2616955.7000000002</v>
      </c>
      <c r="BE32">
        <v>6256619.2000000002</v>
      </c>
      <c r="BG32">
        <v>2295195.7000000002</v>
      </c>
      <c r="BI32">
        <v>1954451</v>
      </c>
      <c r="BK32">
        <v>4571173.9000000004</v>
      </c>
      <c r="BM32">
        <v>6787951</v>
      </c>
      <c r="BO32">
        <v>2033021.6</v>
      </c>
      <c r="BQ32">
        <v>1283178.3999999999</v>
      </c>
      <c r="BS32">
        <v>995935.6</v>
      </c>
      <c r="BU32">
        <v>1531039.7</v>
      </c>
      <c r="BW32">
        <v>15364.7</v>
      </c>
      <c r="BY32">
        <v>460796.1</v>
      </c>
      <c r="CA32">
        <v>86954.3</v>
      </c>
      <c r="CC32">
        <v>28871.9</v>
      </c>
      <c r="CE32">
        <v>412466.6</v>
      </c>
      <c r="CG32">
        <v>378811.9</v>
      </c>
      <c r="CI32">
        <v>477463.6</v>
      </c>
      <c r="CK32">
        <v>2365614.2000000002</v>
      </c>
      <c r="CM32">
        <v>432849.8</v>
      </c>
      <c r="CO32">
        <v>105912.9</v>
      </c>
      <c r="CQ32">
        <v>205617.6</v>
      </c>
      <c r="CS32">
        <v>84943.2</v>
      </c>
      <c r="CU32">
        <v>254092</v>
      </c>
      <c r="CW32">
        <v>167087.4</v>
      </c>
      <c r="CY32">
        <v>57139</v>
      </c>
      <c r="DA32">
        <v>871500.7</v>
      </c>
      <c r="DC32">
        <v>17371.7</v>
      </c>
      <c r="DE32">
        <v>16430.3</v>
      </c>
      <c r="DG32">
        <v>1374</v>
      </c>
      <c r="DI32">
        <v>4396.5</v>
      </c>
      <c r="DK32">
        <v>989.4</v>
      </c>
      <c r="DM32">
        <v>80944.600000000006</v>
      </c>
      <c r="DO32">
        <v>48568.9</v>
      </c>
      <c r="DQ32">
        <v>18709.3</v>
      </c>
    </row>
    <row r="33" spans="1:121" x14ac:dyDescent="0.2">
      <c r="D33" t="s">
        <v>62</v>
      </c>
      <c r="E33" t="s">
        <v>61</v>
      </c>
      <c r="G33">
        <v>6562.9</v>
      </c>
      <c r="I33">
        <v>1207.4000000000001</v>
      </c>
      <c r="K33">
        <v>45801.599999999999</v>
      </c>
      <c r="M33">
        <v>96943.8</v>
      </c>
      <c r="O33">
        <v>132096.29999999999</v>
      </c>
      <c r="Q33">
        <v>8606.4</v>
      </c>
      <c r="S33">
        <v>79781</v>
      </c>
      <c r="U33">
        <v>9458.5</v>
      </c>
      <c r="W33">
        <v>37156.9</v>
      </c>
      <c r="Y33">
        <v>3438.5</v>
      </c>
      <c r="AA33">
        <v>17785.900000000001</v>
      </c>
      <c r="AC33">
        <v>14862.7</v>
      </c>
      <c r="AE33">
        <v>5297.2</v>
      </c>
      <c r="AG33">
        <v>103177.60000000001</v>
      </c>
      <c r="AI33">
        <v>39193.4</v>
      </c>
      <c r="AK33">
        <v>115967.9</v>
      </c>
      <c r="AM33">
        <v>49116.800000000003</v>
      </c>
      <c r="AO33">
        <v>23195.8</v>
      </c>
      <c r="AQ33">
        <v>25937.1</v>
      </c>
      <c r="AS33">
        <v>6374.9</v>
      </c>
      <c r="AU33">
        <v>137851.79999999999</v>
      </c>
      <c r="AW33">
        <v>30106.400000000001</v>
      </c>
      <c r="AY33">
        <v>33072.300000000003</v>
      </c>
      <c r="BA33">
        <v>6040.1</v>
      </c>
      <c r="BC33">
        <v>23819.5</v>
      </c>
      <c r="BE33">
        <v>89531.3</v>
      </c>
      <c r="BG33">
        <v>48825.8</v>
      </c>
      <c r="BI33">
        <v>20913.5</v>
      </c>
      <c r="BK33">
        <v>21202.6</v>
      </c>
      <c r="BM33">
        <v>37090.699999999997</v>
      </c>
      <c r="BO33">
        <v>53493.7</v>
      </c>
      <c r="BQ33">
        <v>37253.300000000003</v>
      </c>
      <c r="BS33">
        <v>23337.5</v>
      </c>
      <c r="BU33">
        <v>12599.6</v>
      </c>
      <c r="BW33">
        <v>281.3</v>
      </c>
      <c r="BY33">
        <v>4878.5</v>
      </c>
      <c r="CA33">
        <v>1065.8</v>
      </c>
      <c r="CC33">
        <v>497.2</v>
      </c>
      <c r="CE33">
        <v>6991.8</v>
      </c>
      <c r="CG33">
        <v>7962.2</v>
      </c>
      <c r="CI33">
        <v>11656.1</v>
      </c>
      <c r="CK33">
        <v>24023.8</v>
      </c>
      <c r="CM33">
        <v>4825.2</v>
      </c>
      <c r="CO33">
        <v>2315.3000000000002</v>
      </c>
      <c r="CQ33">
        <v>4094.8</v>
      </c>
      <c r="CS33">
        <v>1574.4</v>
      </c>
      <c r="CU33">
        <v>6545.7</v>
      </c>
      <c r="CW33">
        <v>5432</v>
      </c>
      <c r="CY33">
        <v>2104.4</v>
      </c>
      <c r="DA33">
        <v>4071.8</v>
      </c>
      <c r="DC33">
        <v>285.10000000000002</v>
      </c>
      <c r="DE33">
        <v>43.9</v>
      </c>
      <c r="DG33">
        <v>55.4</v>
      </c>
      <c r="DI33">
        <v>100.3</v>
      </c>
      <c r="DK33">
        <v>119.3</v>
      </c>
      <c r="DM33">
        <v>1170.3</v>
      </c>
      <c r="DO33">
        <v>874</v>
      </c>
      <c r="DQ33">
        <v>189.4</v>
      </c>
    </row>
    <row r="34" spans="1:121" x14ac:dyDescent="0.2">
      <c r="D34" t="s">
        <v>63</v>
      </c>
    </row>
    <row r="35" spans="1:121" x14ac:dyDescent="0.2">
      <c r="D35" t="s">
        <v>64</v>
      </c>
    </row>
    <row r="36" spans="1:121" x14ac:dyDescent="0.2">
      <c r="D36" t="s">
        <v>65</v>
      </c>
      <c r="G36" t="s">
        <v>66</v>
      </c>
      <c r="I36" t="s">
        <v>66</v>
      </c>
      <c r="K36" t="s">
        <v>66</v>
      </c>
      <c r="M36" t="s">
        <v>66</v>
      </c>
      <c r="O36" t="s">
        <v>66</v>
      </c>
      <c r="Q36" t="s">
        <v>66</v>
      </c>
      <c r="S36" t="s">
        <v>66</v>
      </c>
      <c r="U36" t="s">
        <v>66</v>
      </c>
      <c r="W36" t="s">
        <v>66</v>
      </c>
      <c r="Y36" t="s">
        <v>66</v>
      </c>
      <c r="AA36" t="s">
        <v>66</v>
      </c>
      <c r="AC36" t="s">
        <v>66</v>
      </c>
      <c r="AE36" t="s">
        <v>66</v>
      </c>
      <c r="AG36" t="s">
        <v>66</v>
      </c>
      <c r="AI36" t="s">
        <v>66</v>
      </c>
      <c r="AK36" t="s">
        <v>66</v>
      </c>
      <c r="AM36" t="s">
        <v>66</v>
      </c>
      <c r="AO36" t="s">
        <v>66</v>
      </c>
      <c r="AQ36" t="s">
        <v>66</v>
      </c>
      <c r="AS36" t="s">
        <v>66</v>
      </c>
      <c r="AU36" t="s">
        <v>66</v>
      </c>
      <c r="AW36" t="s">
        <v>66</v>
      </c>
      <c r="AY36" t="s">
        <v>66</v>
      </c>
      <c r="BA36" t="s">
        <v>66</v>
      </c>
      <c r="BC36" t="s">
        <v>66</v>
      </c>
      <c r="BE36" t="s">
        <v>66</v>
      </c>
      <c r="BG36" t="s">
        <v>66</v>
      </c>
      <c r="BI36" t="s">
        <v>66</v>
      </c>
      <c r="BK36" t="s">
        <v>66</v>
      </c>
      <c r="BM36" t="s">
        <v>66</v>
      </c>
      <c r="BO36" t="s">
        <v>66</v>
      </c>
      <c r="BQ36" t="s">
        <v>66</v>
      </c>
      <c r="BS36" t="s">
        <v>66</v>
      </c>
      <c r="BU36" t="s">
        <v>66</v>
      </c>
      <c r="BW36" t="s">
        <v>66</v>
      </c>
      <c r="BY36" t="s">
        <v>66</v>
      </c>
      <c r="CA36" t="s">
        <v>66</v>
      </c>
      <c r="CC36" t="s">
        <v>66</v>
      </c>
      <c r="CE36" t="s">
        <v>66</v>
      </c>
      <c r="CG36" t="s">
        <v>66</v>
      </c>
      <c r="CI36" t="s">
        <v>66</v>
      </c>
      <c r="CK36" t="s">
        <v>66</v>
      </c>
      <c r="CM36" t="s">
        <v>66</v>
      </c>
      <c r="CO36" t="s">
        <v>66</v>
      </c>
      <c r="CQ36" t="s">
        <v>66</v>
      </c>
      <c r="CS36" t="s">
        <v>66</v>
      </c>
      <c r="CU36" t="s">
        <v>66</v>
      </c>
      <c r="CW36" t="s">
        <v>66</v>
      </c>
      <c r="CY36" t="s">
        <v>66</v>
      </c>
      <c r="DA36" t="s">
        <v>66</v>
      </c>
      <c r="DC36" t="s">
        <v>66</v>
      </c>
      <c r="DE36" t="s">
        <v>66</v>
      </c>
      <c r="DG36" t="s">
        <v>66</v>
      </c>
      <c r="DI36" t="s">
        <v>66</v>
      </c>
      <c r="DK36" t="s">
        <v>66</v>
      </c>
      <c r="DM36" t="s">
        <v>66</v>
      </c>
      <c r="DO36" t="s">
        <v>66</v>
      </c>
      <c r="DQ36" t="s">
        <v>66</v>
      </c>
    </row>
    <row r="37" spans="1:121" x14ac:dyDescent="0.2">
      <c r="A37" t="s">
        <v>578</v>
      </c>
      <c r="D37" t="s">
        <v>60</v>
      </c>
      <c r="E37" t="s">
        <v>61</v>
      </c>
      <c r="G37">
        <v>1622328.3</v>
      </c>
      <c r="I37">
        <v>361281.7</v>
      </c>
      <c r="K37">
        <v>9509040.1999999993</v>
      </c>
      <c r="M37">
        <v>12098020.300000001</v>
      </c>
      <c r="O37">
        <v>14504173.199999999</v>
      </c>
      <c r="Q37">
        <v>1909697</v>
      </c>
      <c r="S37">
        <v>13680434.199999999</v>
      </c>
      <c r="U37">
        <v>3086795.7</v>
      </c>
      <c r="W37">
        <v>5590480.7999999998</v>
      </c>
      <c r="Y37">
        <v>828816.8</v>
      </c>
      <c r="AA37">
        <v>2982768</v>
      </c>
      <c r="AC37">
        <v>3466198</v>
      </c>
      <c r="AE37">
        <v>3294492</v>
      </c>
      <c r="AG37">
        <v>15412130.6</v>
      </c>
      <c r="AI37">
        <v>6557098</v>
      </c>
      <c r="AK37">
        <v>17693346.199999999</v>
      </c>
      <c r="AM37">
        <v>16222915.6</v>
      </c>
      <c r="AO37">
        <v>3639755.3</v>
      </c>
      <c r="AQ37">
        <v>3160063.7</v>
      </c>
      <c r="AS37">
        <v>3046236.7</v>
      </c>
      <c r="AU37">
        <v>18106614.899999999</v>
      </c>
      <c r="AW37">
        <v>5234333.7</v>
      </c>
      <c r="AY37">
        <v>3911079.2</v>
      </c>
      <c r="BA37">
        <v>667342.5</v>
      </c>
      <c r="BC37">
        <v>3883237.9</v>
      </c>
      <c r="BE37">
        <v>12171482.9</v>
      </c>
      <c r="BG37">
        <v>4240595.3</v>
      </c>
      <c r="BI37">
        <v>3699481.1</v>
      </c>
      <c r="BK37">
        <v>8838598.6999999993</v>
      </c>
      <c r="BM37">
        <v>13102479.199999999</v>
      </c>
      <c r="BO37">
        <v>3903742.8</v>
      </c>
      <c r="BQ37">
        <v>2629312.6</v>
      </c>
      <c r="BS37">
        <v>1987106.7</v>
      </c>
      <c r="BU37">
        <v>2618204.4</v>
      </c>
      <c r="BW37">
        <v>29171.9</v>
      </c>
      <c r="BY37">
        <v>900513.8</v>
      </c>
      <c r="CA37">
        <v>158623.79999999999</v>
      </c>
      <c r="CC37">
        <v>57288.3</v>
      </c>
      <c r="CE37">
        <v>820643.3</v>
      </c>
      <c r="CG37">
        <v>722164.9</v>
      </c>
      <c r="CI37">
        <v>935997.3</v>
      </c>
      <c r="CK37">
        <v>3145748.1</v>
      </c>
      <c r="CM37">
        <v>860781</v>
      </c>
      <c r="CO37">
        <v>191006.6</v>
      </c>
      <c r="CQ37">
        <v>403807.6</v>
      </c>
      <c r="CS37">
        <v>168412.79999999999</v>
      </c>
      <c r="CU37">
        <v>260481.3</v>
      </c>
      <c r="CW37">
        <v>329108.40000000002</v>
      </c>
      <c r="CY37">
        <v>58647.3</v>
      </c>
      <c r="DA37">
        <v>1775256.3</v>
      </c>
      <c r="DC37">
        <v>35538.1</v>
      </c>
      <c r="DE37">
        <v>31089</v>
      </c>
      <c r="DG37">
        <v>2632.2</v>
      </c>
      <c r="DI37">
        <v>8328</v>
      </c>
      <c r="DK37">
        <v>978.3</v>
      </c>
      <c r="DM37">
        <v>84003.9</v>
      </c>
      <c r="DO37">
        <v>95047.5</v>
      </c>
      <c r="DQ37">
        <v>18336.400000000001</v>
      </c>
    </row>
    <row r="38" spans="1:121" x14ac:dyDescent="0.2">
      <c r="D38" t="s">
        <v>62</v>
      </c>
      <c r="E38" t="s">
        <v>61</v>
      </c>
      <c r="G38">
        <v>1343.3</v>
      </c>
      <c r="I38">
        <v>3031.5</v>
      </c>
      <c r="K38">
        <v>72992.7</v>
      </c>
      <c r="M38">
        <v>19699.5</v>
      </c>
      <c r="O38">
        <v>204609.1</v>
      </c>
      <c r="Q38">
        <v>26577.5</v>
      </c>
      <c r="S38">
        <v>182050</v>
      </c>
      <c r="U38">
        <v>29535.8</v>
      </c>
      <c r="W38">
        <v>42504.4</v>
      </c>
      <c r="Y38">
        <v>9144.5</v>
      </c>
      <c r="AA38">
        <v>28280</v>
      </c>
      <c r="AC38">
        <v>18489.400000000001</v>
      </c>
      <c r="AE38">
        <v>26336.9</v>
      </c>
      <c r="AG38">
        <v>46478.8</v>
      </c>
      <c r="AI38">
        <v>13868.9</v>
      </c>
      <c r="AK38">
        <v>67429.399999999994</v>
      </c>
      <c r="AM38">
        <v>72400</v>
      </c>
      <c r="AO38">
        <v>24926.2</v>
      </c>
      <c r="AQ38">
        <v>13848.5</v>
      </c>
      <c r="AS38">
        <v>17342.5</v>
      </c>
      <c r="AU38">
        <v>78426.100000000006</v>
      </c>
      <c r="AW38">
        <v>96995.4</v>
      </c>
      <c r="AY38">
        <v>51771.5</v>
      </c>
      <c r="BA38">
        <v>3917.8</v>
      </c>
      <c r="BC38">
        <v>37181.199999999997</v>
      </c>
      <c r="BE38">
        <v>127491.3</v>
      </c>
      <c r="BG38">
        <v>45813.8</v>
      </c>
      <c r="BI38">
        <v>126318.1</v>
      </c>
      <c r="BK38">
        <v>63410.5</v>
      </c>
      <c r="BM38">
        <v>186038.7</v>
      </c>
      <c r="BO38">
        <v>59954.7</v>
      </c>
      <c r="BQ38">
        <v>56528.3</v>
      </c>
      <c r="BS38">
        <v>53058.2</v>
      </c>
      <c r="BU38">
        <v>37837.5</v>
      </c>
      <c r="BW38">
        <v>379.6</v>
      </c>
      <c r="BY38">
        <v>12969.6</v>
      </c>
      <c r="CA38">
        <v>5272.9</v>
      </c>
      <c r="CC38">
        <v>89.7</v>
      </c>
      <c r="CE38">
        <v>20602.7</v>
      </c>
      <c r="CG38">
        <v>14022.7</v>
      </c>
      <c r="CI38">
        <v>17736</v>
      </c>
      <c r="CK38">
        <v>51695.3</v>
      </c>
      <c r="CM38">
        <v>15826.5</v>
      </c>
      <c r="CO38">
        <v>2960.5</v>
      </c>
      <c r="CQ38">
        <v>3164.1</v>
      </c>
      <c r="CS38">
        <v>2228.6999999999998</v>
      </c>
      <c r="CU38">
        <v>5070.6000000000004</v>
      </c>
      <c r="CW38">
        <v>2661.5</v>
      </c>
      <c r="CY38">
        <v>1555.5</v>
      </c>
      <c r="DA38">
        <v>25739.8</v>
      </c>
      <c r="DC38">
        <v>1043.9000000000001</v>
      </c>
      <c r="DE38">
        <v>419.8</v>
      </c>
      <c r="DG38">
        <v>67.599999999999994</v>
      </c>
      <c r="DI38">
        <v>79</v>
      </c>
      <c r="DK38">
        <v>65.3</v>
      </c>
      <c r="DM38">
        <v>375.7</v>
      </c>
      <c r="DO38">
        <v>983.4</v>
      </c>
      <c r="DQ38">
        <v>447.9</v>
      </c>
    </row>
    <row r="39" spans="1:121" x14ac:dyDescent="0.2">
      <c r="D39" t="s">
        <v>63</v>
      </c>
    </row>
    <row r="40" spans="1:121" x14ac:dyDescent="0.2">
      <c r="D40" t="s">
        <v>64</v>
      </c>
    </row>
    <row r="41" spans="1:121" x14ac:dyDescent="0.2">
      <c r="D41" t="s">
        <v>65</v>
      </c>
      <c r="G41" t="s">
        <v>66</v>
      </c>
      <c r="I41" t="s">
        <v>66</v>
      </c>
      <c r="K41" t="s">
        <v>66</v>
      </c>
      <c r="M41" t="s">
        <v>66</v>
      </c>
      <c r="O41" t="s">
        <v>66</v>
      </c>
      <c r="Q41" t="s">
        <v>66</v>
      </c>
      <c r="S41" t="s">
        <v>66</v>
      </c>
      <c r="U41" t="s">
        <v>66</v>
      </c>
      <c r="W41" t="s">
        <v>66</v>
      </c>
      <c r="Y41" t="s">
        <v>66</v>
      </c>
      <c r="AA41" t="s">
        <v>66</v>
      </c>
      <c r="AC41" t="s">
        <v>66</v>
      </c>
      <c r="AE41" t="s">
        <v>66</v>
      </c>
      <c r="AG41" t="s">
        <v>66</v>
      </c>
      <c r="AI41" t="s">
        <v>66</v>
      </c>
      <c r="AK41" t="s">
        <v>66</v>
      </c>
      <c r="AM41" t="s">
        <v>66</v>
      </c>
      <c r="AO41" t="s">
        <v>66</v>
      </c>
      <c r="AQ41" t="s">
        <v>66</v>
      </c>
      <c r="AS41" t="s">
        <v>66</v>
      </c>
      <c r="AU41" t="s">
        <v>66</v>
      </c>
      <c r="AW41" t="s">
        <v>66</v>
      </c>
      <c r="AY41" t="s">
        <v>66</v>
      </c>
      <c r="BA41" t="s">
        <v>66</v>
      </c>
      <c r="BC41" t="s">
        <v>66</v>
      </c>
      <c r="BE41" t="s">
        <v>66</v>
      </c>
      <c r="BG41" t="s">
        <v>66</v>
      </c>
      <c r="BI41" t="s">
        <v>66</v>
      </c>
      <c r="BK41" t="s">
        <v>66</v>
      </c>
      <c r="BM41" t="s">
        <v>66</v>
      </c>
      <c r="BO41" t="s">
        <v>66</v>
      </c>
      <c r="BQ41" t="s">
        <v>66</v>
      </c>
      <c r="BS41" t="s">
        <v>66</v>
      </c>
      <c r="BU41" t="s">
        <v>66</v>
      </c>
      <c r="BW41" t="s">
        <v>66</v>
      </c>
      <c r="BY41" t="s">
        <v>66</v>
      </c>
      <c r="CA41" t="s">
        <v>66</v>
      </c>
      <c r="CC41" t="s">
        <v>66</v>
      </c>
      <c r="CE41" t="s">
        <v>66</v>
      </c>
      <c r="CG41" t="s">
        <v>66</v>
      </c>
      <c r="CI41" t="s">
        <v>66</v>
      </c>
      <c r="CK41" t="s">
        <v>66</v>
      </c>
      <c r="CM41" t="s">
        <v>66</v>
      </c>
      <c r="CO41" t="s">
        <v>66</v>
      </c>
      <c r="CQ41" t="s">
        <v>66</v>
      </c>
      <c r="CS41" t="s">
        <v>66</v>
      </c>
      <c r="CU41" t="s">
        <v>66</v>
      </c>
      <c r="CW41" t="s">
        <v>66</v>
      </c>
      <c r="CY41" t="s">
        <v>66</v>
      </c>
      <c r="DA41" t="s">
        <v>66</v>
      </c>
      <c r="DC41" t="s">
        <v>66</v>
      </c>
      <c r="DE41" t="s">
        <v>66</v>
      </c>
      <c r="DG41" t="s">
        <v>66</v>
      </c>
      <c r="DI41" t="s">
        <v>66</v>
      </c>
      <c r="DK41" t="s">
        <v>66</v>
      </c>
      <c r="DM41" t="s">
        <v>66</v>
      </c>
      <c r="DO41" t="s">
        <v>66</v>
      </c>
      <c r="DQ41" t="s">
        <v>66</v>
      </c>
    </row>
    <row r="42" spans="1:121" x14ac:dyDescent="0.2">
      <c r="A42" t="s">
        <v>74</v>
      </c>
      <c r="D42" t="s">
        <v>60</v>
      </c>
      <c r="E42" t="s">
        <v>61</v>
      </c>
      <c r="G42">
        <v>14086.4</v>
      </c>
      <c r="I42">
        <v>1095.5</v>
      </c>
      <c r="K42">
        <v>28288.1</v>
      </c>
      <c r="M42">
        <v>27870</v>
      </c>
      <c r="O42">
        <v>1043.3</v>
      </c>
      <c r="Q42">
        <v>2706.5</v>
      </c>
      <c r="S42">
        <v>4954.1000000000004</v>
      </c>
      <c r="U42">
        <v>3105</v>
      </c>
      <c r="W42">
        <v>1717.9</v>
      </c>
      <c r="Y42">
        <v>95.8</v>
      </c>
      <c r="AA42">
        <v>2719205.3</v>
      </c>
      <c r="AC42">
        <v>724.3</v>
      </c>
      <c r="AE42">
        <v>770.2</v>
      </c>
      <c r="AG42">
        <v>21240.799999999999</v>
      </c>
      <c r="AI42">
        <v>6356</v>
      </c>
      <c r="AK42">
        <v>1047.5</v>
      </c>
      <c r="AM42">
        <v>809.7</v>
      </c>
      <c r="AO42">
        <v>385.5</v>
      </c>
      <c r="AQ42">
        <v>329.2</v>
      </c>
      <c r="AS42">
        <v>704.4</v>
      </c>
      <c r="AU42">
        <v>1264.3</v>
      </c>
      <c r="AW42">
        <v>556.4</v>
      </c>
      <c r="AY42">
        <v>9594</v>
      </c>
      <c r="BA42">
        <v>605562.6</v>
      </c>
      <c r="BC42">
        <v>714944.3</v>
      </c>
      <c r="BE42">
        <v>3435.6</v>
      </c>
      <c r="BG42">
        <v>1323.8</v>
      </c>
      <c r="BI42">
        <v>396.9</v>
      </c>
      <c r="BK42">
        <v>55386.8</v>
      </c>
      <c r="BM42">
        <v>3924.7</v>
      </c>
      <c r="BO42">
        <v>124040.9</v>
      </c>
      <c r="BQ42">
        <v>17407.400000000001</v>
      </c>
      <c r="BS42">
        <v>23371.1</v>
      </c>
      <c r="BU42">
        <v>497674.2</v>
      </c>
      <c r="BW42">
        <v>359.3</v>
      </c>
      <c r="BY42">
        <v>30048.1</v>
      </c>
      <c r="CA42">
        <v>8326.4</v>
      </c>
      <c r="CC42">
        <v>22.2</v>
      </c>
      <c r="CE42">
        <v>242.6</v>
      </c>
      <c r="CG42">
        <v>272.2</v>
      </c>
      <c r="CI42">
        <v>219.4</v>
      </c>
      <c r="CK42">
        <v>1657.7</v>
      </c>
      <c r="CM42">
        <v>94.4</v>
      </c>
      <c r="CO42">
        <v>160.19999999999999</v>
      </c>
      <c r="CQ42">
        <v>132.4</v>
      </c>
      <c r="CS42">
        <v>82.4</v>
      </c>
      <c r="CU42">
        <v>236476.2</v>
      </c>
      <c r="CW42">
        <v>164.4</v>
      </c>
      <c r="CY42">
        <v>54676.1</v>
      </c>
      <c r="DA42">
        <v>11990.2</v>
      </c>
      <c r="DC42">
        <v>1.1000000000000001</v>
      </c>
      <c r="DE42">
        <v>3.3</v>
      </c>
      <c r="DG42">
        <v>0</v>
      </c>
      <c r="DI42">
        <v>1840.3</v>
      </c>
      <c r="DK42">
        <v>1212.5999999999999</v>
      </c>
      <c r="DM42">
        <v>70778</v>
      </c>
      <c r="DO42">
        <v>18.5</v>
      </c>
      <c r="DQ42">
        <v>16618.3</v>
      </c>
    </row>
    <row r="43" spans="1:121" x14ac:dyDescent="0.2">
      <c r="D43" t="s">
        <v>62</v>
      </c>
      <c r="E43" t="s">
        <v>61</v>
      </c>
      <c r="G43">
        <v>191.9</v>
      </c>
      <c r="I43">
        <v>101.6</v>
      </c>
      <c r="K43">
        <v>640.29999999999995</v>
      </c>
      <c r="M43">
        <v>333.4</v>
      </c>
      <c r="O43">
        <v>161.19999999999999</v>
      </c>
      <c r="Q43">
        <v>259.10000000000002</v>
      </c>
      <c r="S43">
        <v>425.2</v>
      </c>
      <c r="U43">
        <v>73.3</v>
      </c>
      <c r="W43">
        <v>273.89999999999998</v>
      </c>
      <c r="Y43">
        <v>28.4</v>
      </c>
      <c r="AA43">
        <v>86555.1</v>
      </c>
      <c r="AC43">
        <v>120.2</v>
      </c>
      <c r="AE43">
        <v>64.2</v>
      </c>
      <c r="AG43">
        <v>245.1</v>
      </c>
      <c r="AI43">
        <v>314.7</v>
      </c>
      <c r="AK43">
        <v>281.7</v>
      </c>
      <c r="AM43">
        <v>279.60000000000002</v>
      </c>
      <c r="AO43">
        <v>47.3</v>
      </c>
      <c r="AQ43">
        <v>37.799999999999997</v>
      </c>
      <c r="AS43">
        <v>83</v>
      </c>
      <c r="AU43">
        <v>237.1</v>
      </c>
      <c r="AW43">
        <v>91.6</v>
      </c>
      <c r="AY43">
        <v>667.6</v>
      </c>
      <c r="BA43">
        <v>18279.599999999999</v>
      </c>
      <c r="BC43">
        <v>8378.6</v>
      </c>
      <c r="BE43">
        <v>532.9</v>
      </c>
      <c r="BG43">
        <v>112.7</v>
      </c>
      <c r="BI43">
        <v>60.9</v>
      </c>
      <c r="BK43">
        <v>1465.5</v>
      </c>
      <c r="BM43">
        <v>182.8</v>
      </c>
      <c r="BO43">
        <v>963.6</v>
      </c>
      <c r="BQ43">
        <v>133.6</v>
      </c>
      <c r="BS43">
        <v>454.3</v>
      </c>
      <c r="BU43">
        <v>4291.8999999999996</v>
      </c>
      <c r="BW43">
        <v>107.7</v>
      </c>
      <c r="BY43">
        <v>107.2</v>
      </c>
      <c r="CA43">
        <v>488.4</v>
      </c>
      <c r="CC43">
        <v>12.1</v>
      </c>
      <c r="CE43">
        <v>10.5</v>
      </c>
      <c r="CG43">
        <v>9.6</v>
      </c>
      <c r="CI43">
        <v>8.3000000000000007</v>
      </c>
      <c r="CK43">
        <v>83.8</v>
      </c>
      <c r="CM43">
        <v>21</v>
      </c>
      <c r="CO43">
        <v>40.5</v>
      </c>
      <c r="CQ43">
        <v>21</v>
      </c>
      <c r="CS43">
        <v>8.9</v>
      </c>
      <c r="CU43">
        <v>2871.8</v>
      </c>
      <c r="CW43">
        <v>149.5</v>
      </c>
      <c r="CY43">
        <v>378.7</v>
      </c>
      <c r="DA43">
        <v>288.39999999999998</v>
      </c>
      <c r="DC43">
        <v>1</v>
      </c>
      <c r="DE43">
        <v>1.4</v>
      </c>
      <c r="DG43">
        <v>0</v>
      </c>
      <c r="DI43">
        <v>179.1</v>
      </c>
      <c r="DK43">
        <v>2.5</v>
      </c>
      <c r="DM43">
        <v>1608.3</v>
      </c>
      <c r="DO43">
        <v>2.1</v>
      </c>
      <c r="DQ43">
        <v>486</v>
      </c>
    </row>
    <row r="44" spans="1:121" x14ac:dyDescent="0.2">
      <c r="D44" t="s">
        <v>63</v>
      </c>
      <c r="G44">
        <v>9.0999999999999998E-2</v>
      </c>
      <c r="H44" t="s">
        <v>75</v>
      </c>
      <c r="I44">
        <v>3.0300000000000001E-2</v>
      </c>
      <c r="J44" t="s">
        <v>75</v>
      </c>
      <c r="K44">
        <v>3.6830000000000002E-2</v>
      </c>
      <c r="L44" t="s">
        <v>75</v>
      </c>
      <c r="M44">
        <v>-2.49E-3</v>
      </c>
      <c r="N44" t="s">
        <v>75</v>
      </c>
      <c r="O44">
        <v>3.9100000000000003E-3</v>
      </c>
      <c r="P44" t="s">
        <v>75</v>
      </c>
      <c r="Q44">
        <v>4.061E-2</v>
      </c>
      <c r="R44" t="s">
        <v>75</v>
      </c>
      <c r="S44">
        <v>4.1700000000000001E-3</v>
      </c>
      <c r="T44" t="s">
        <v>75</v>
      </c>
      <c r="U44">
        <v>2.0039999999999999E-2</v>
      </c>
      <c r="V44" t="s">
        <v>75</v>
      </c>
      <c r="W44">
        <v>7.6400000000000001E-3</v>
      </c>
      <c r="X44" t="s">
        <v>75</v>
      </c>
      <c r="Y44">
        <v>1.6000000000000001E-3</v>
      </c>
      <c r="Z44" t="s">
        <v>75</v>
      </c>
      <c r="AB44" t="s">
        <v>76</v>
      </c>
      <c r="AC44">
        <v>4.4600000000000001E-2</v>
      </c>
      <c r="AD44" t="s">
        <v>75</v>
      </c>
      <c r="AE44">
        <v>4.2459999999999998E-2</v>
      </c>
      <c r="AF44" t="s">
        <v>75</v>
      </c>
      <c r="AG44">
        <v>2.33E-3</v>
      </c>
      <c r="AH44" t="s">
        <v>75</v>
      </c>
      <c r="AI44">
        <v>4.5039999999999997E-2</v>
      </c>
      <c r="AJ44" t="s">
        <v>75</v>
      </c>
      <c r="AK44">
        <v>-1.34E-3</v>
      </c>
      <c r="AL44" t="s">
        <v>75</v>
      </c>
      <c r="AM44">
        <v>-5.0000000000000001E-3</v>
      </c>
      <c r="AN44" t="s">
        <v>75</v>
      </c>
      <c r="AO44">
        <v>3.0100000000000001E-3</v>
      </c>
      <c r="AP44" t="s">
        <v>75</v>
      </c>
      <c r="AQ44">
        <v>6.3000000000000003E-4</v>
      </c>
      <c r="AR44" t="s">
        <v>75</v>
      </c>
      <c r="AS44">
        <v>2.47E-3</v>
      </c>
      <c r="AT44" t="s">
        <v>75</v>
      </c>
      <c r="AU44">
        <v>2.2899999999999999E-3</v>
      </c>
      <c r="AV44" t="s">
        <v>75</v>
      </c>
      <c r="AW44">
        <v>7.1000000000000002E-4</v>
      </c>
      <c r="AX44" t="s">
        <v>75</v>
      </c>
      <c r="AY44">
        <v>2.436E-2</v>
      </c>
      <c r="AZ44" t="s">
        <v>75</v>
      </c>
      <c r="BC44">
        <v>0.33617999999999998</v>
      </c>
      <c r="BD44" t="s">
        <v>75</v>
      </c>
      <c r="BE44">
        <v>6.2599999999999999E-3</v>
      </c>
      <c r="BF44" t="s">
        <v>75</v>
      </c>
      <c r="BG44">
        <v>-3.4529999999999998E-2</v>
      </c>
      <c r="BH44" t="s">
        <v>75</v>
      </c>
      <c r="BI44">
        <v>-1.4659999999999999E-2</v>
      </c>
      <c r="BJ44" t="s">
        <v>75</v>
      </c>
      <c r="BK44">
        <v>-9.5E-4</v>
      </c>
      <c r="BL44" t="s">
        <v>75</v>
      </c>
      <c r="BM44">
        <v>-5.8700000000000002E-3</v>
      </c>
      <c r="BN44" t="s">
        <v>75</v>
      </c>
      <c r="BO44">
        <v>1.25603</v>
      </c>
      <c r="BP44" t="s">
        <v>75</v>
      </c>
      <c r="BQ44">
        <v>0.22286</v>
      </c>
      <c r="BR44" t="s">
        <v>75</v>
      </c>
      <c r="BS44">
        <v>0.11128</v>
      </c>
      <c r="BT44" t="s">
        <v>75</v>
      </c>
      <c r="BU44">
        <v>1.97468</v>
      </c>
      <c r="BV44" t="s">
        <v>75</v>
      </c>
      <c r="BW44">
        <v>-8.5540000000000005E-2</v>
      </c>
      <c r="BX44" t="s">
        <v>75</v>
      </c>
      <c r="BY44">
        <v>1.0750599999999999</v>
      </c>
      <c r="BZ44" t="s">
        <v>75</v>
      </c>
      <c r="CA44">
        <v>1.25949</v>
      </c>
      <c r="CB44" t="s">
        <v>75</v>
      </c>
      <c r="CC44">
        <v>-9.1000000000000004E-3</v>
      </c>
      <c r="CD44" t="s">
        <v>75</v>
      </c>
      <c r="CE44">
        <v>2.3E-3</v>
      </c>
      <c r="CF44" t="s">
        <v>75</v>
      </c>
      <c r="CG44">
        <v>-1.23E-2</v>
      </c>
      <c r="CH44" t="s">
        <v>75</v>
      </c>
      <c r="CI44">
        <v>-2.5590000000000002E-2</v>
      </c>
      <c r="CJ44" t="s">
        <v>75</v>
      </c>
      <c r="CK44">
        <v>-0.30403000000000002</v>
      </c>
      <c r="CL44" t="s">
        <v>75</v>
      </c>
      <c r="CM44">
        <v>-5.5199999999999997E-3</v>
      </c>
      <c r="CN44" t="s">
        <v>75</v>
      </c>
      <c r="CO44">
        <v>2.017E-2</v>
      </c>
      <c r="CP44" t="s">
        <v>75</v>
      </c>
      <c r="CQ44">
        <v>-2.3009999999999999E-2</v>
      </c>
      <c r="CR44" t="s">
        <v>75</v>
      </c>
      <c r="CS44">
        <v>-7.553E-2</v>
      </c>
      <c r="CT44" t="s">
        <v>75</v>
      </c>
      <c r="CV44" t="s">
        <v>76</v>
      </c>
      <c r="CW44">
        <v>-1.9089999999999999E-2</v>
      </c>
      <c r="CX44" t="s">
        <v>75</v>
      </c>
      <c r="DA44">
        <v>0.47449999999999998</v>
      </c>
      <c r="DB44" t="s">
        <v>75</v>
      </c>
      <c r="DC44">
        <v>-5.8E-4</v>
      </c>
      <c r="DD44" t="s">
        <v>75</v>
      </c>
      <c r="DE44">
        <v>-1.6820000000000002E-2</v>
      </c>
      <c r="DF44" t="s">
        <v>75</v>
      </c>
      <c r="DG44">
        <v>-6.191E-2</v>
      </c>
      <c r="DH44" t="s">
        <v>75</v>
      </c>
      <c r="DI44">
        <v>2.7117</v>
      </c>
      <c r="DJ44" t="s">
        <v>75</v>
      </c>
      <c r="DL44" t="s">
        <v>76</v>
      </c>
      <c r="DN44" t="s">
        <v>76</v>
      </c>
      <c r="DO44">
        <v>-5.47E-3</v>
      </c>
      <c r="DP44" t="s">
        <v>75</v>
      </c>
    </row>
    <row r="45" spans="1:121" x14ac:dyDescent="0.2">
      <c r="D45" t="s">
        <v>64</v>
      </c>
      <c r="G45">
        <v>4.9100000000000003E-3</v>
      </c>
      <c r="H45" t="s">
        <v>75</v>
      </c>
      <c r="I45">
        <v>5.1700000000000001E-3</v>
      </c>
      <c r="J45" t="s">
        <v>75</v>
      </c>
      <c r="K45">
        <v>1.9599999999999999E-3</v>
      </c>
      <c r="L45" t="s">
        <v>75</v>
      </c>
      <c r="M45">
        <v>1.1100000000000001E-3</v>
      </c>
      <c r="N45" t="s">
        <v>75</v>
      </c>
      <c r="O45">
        <v>1.8000000000000001E-4</v>
      </c>
      <c r="P45" t="s">
        <v>75</v>
      </c>
      <c r="Q45">
        <v>2.4499999999999999E-3</v>
      </c>
      <c r="R45" t="s">
        <v>75</v>
      </c>
      <c r="S45">
        <v>5.2999999999999998E-4</v>
      </c>
      <c r="T45" t="s">
        <v>75</v>
      </c>
      <c r="U45">
        <v>7.6000000000000004E-4</v>
      </c>
      <c r="V45" t="s">
        <v>75</v>
      </c>
      <c r="W45">
        <v>7.6999999999999996E-4</v>
      </c>
      <c r="X45" t="s">
        <v>75</v>
      </c>
      <c r="Y45">
        <v>5.1999999999999995E-4</v>
      </c>
      <c r="Z45" t="s">
        <v>75</v>
      </c>
      <c r="AC45">
        <v>5.5999999999999995E-4</v>
      </c>
      <c r="AD45" t="s">
        <v>75</v>
      </c>
      <c r="AE45">
        <v>3.6999999999999999E-4</v>
      </c>
      <c r="AF45" t="s">
        <v>75</v>
      </c>
      <c r="AG45">
        <v>7.6999999999999996E-4</v>
      </c>
      <c r="AH45" t="s">
        <v>75</v>
      </c>
      <c r="AI45">
        <v>3.5100000000000001E-3</v>
      </c>
      <c r="AJ45" t="s">
        <v>75</v>
      </c>
      <c r="AK45">
        <v>2.4000000000000001E-4</v>
      </c>
      <c r="AL45" t="s">
        <v>75</v>
      </c>
      <c r="AM45">
        <v>2.5999999999999998E-4</v>
      </c>
      <c r="AN45" t="s">
        <v>75</v>
      </c>
      <c r="AO45">
        <v>2.4000000000000001E-4</v>
      </c>
      <c r="AP45" t="s">
        <v>75</v>
      </c>
      <c r="AQ45">
        <v>2.3000000000000001E-4</v>
      </c>
      <c r="AR45" t="s">
        <v>75</v>
      </c>
      <c r="AS45">
        <v>4.6999999999999999E-4</v>
      </c>
      <c r="AT45" t="s">
        <v>75</v>
      </c>
      <c r="AU45">
        <v>2.0000000000000001E-4</v>
      </c>
      <c r="AV45" t="s">
        <v>75</v>
      </c>
      <c r="AW45">
        <v>2.9E-4</v>
      </c>
      <c r="AX45" t="s">
        <v>75</v>
      </c>
      <c r="AY45">
        <v>3.3600000000000001E-3</v>
      </c>
      <c r="AZ45" t="s">
        <v>75</v>
      </c>
      <c r="BC45">
        <v>4.6240000000000003E-2</v>
      </c>
      <c r="BD45" t="s">
        <v>75</v>
      </c>
      <c r="BE45">
        <v>6.8000000000000005E-4</v>
      </c>
      <c r="BF45" t="s">
        <v>75</v>
      </c>
      <c r="BG45">
        <v>4.6999999999999999E-4</v>
      </c>
      <c r="BH45" t="s">
        <v>75</v>
      </c>
      <c r="BI45">
        <v>2.3000000000000001E-4</v>
      </c>
      <c r="BJ45" t="s">
        <v>75</v>
      </c>
      <c r="BK45">
        <v>3.1E-4</v>
      </c>
      <c r="BL45" t="s">
        <v>75</v>
      </c>
      <c r="BM45">
        <v>2.1000000000000001E-4</v>
      </c>
      <c r="BN45" t="s">
        <v>75</v>
      </c>
      <c r="BO45">
        <v>3.2099999999999997E-2</v>
      </c>
      <c r="BP45" t="s">
        <v>75</v>
      </c>
      <c r="BQ45">
        <v>8.2799999999999992E-3</v>
      </c>
      <c r="BR45" t="s">
        <v>75</v>
      </c>
      <c r="BS45">
        <v>9.6399999999999993E-3</v>
      </c>
      <c r="BT45" t="s">
        <v>75</v>
      </c>
      <c r="BU45">
        <v>0.26623000000000002</v>
      </c>
      <c r="BV45" t="s">
        <v>75</v>
      </c>
      <c r="BW45">
        <v>4.8660000000000002E-2</v>
      </c>
      <c r="BX45" t="s">
        <v>75</v>
      </c>
      <c r="BY45">
        <v>6.9290000000000004E-2</v>
      </c>
      <c r="BZ45" t="s">
        <v>75</v>
      </c>
      <c r="CA45">
        <v>0.29853000000000002</v>
      </c>
      <c r="CB45" t="s">
        <v>75</v>
      </c>
      <c r="CC45">
        <v>2.82E-3</v>
      </c>
      <c r="CD45" t="s">
        <v>75</v>
      </c>
      <c r="CE45">
        <v>1.9000000000000001E-4</v>
      </c>
      <c r="CF45" t="s">
        <v>75</v>
      </c>
      <c r="CG45">
        <v>2.1000000000000001E-4</v>
      </c>
      <c r="CH45" t="s">
        <v>75</v>
      </c>
      <c r="CI45">
        <v>1.2999999999999999E-4</v>
      </c>
      <c r="CJ45" t="s">
        <v>75</v>
      </c>
      <c r="CK45">
        <v>1.24E-3</v>
      </c>
      <c r="CL45" t="s">
        <v>75</v>
      </c>
      <c r="CM45">
        <v>3.2000000000000003E-4</v>
      </c>
      <c r="CN45" t="s">
        <v>75</v>
      </c>
      <c r="CO45">
        <v>2.48E-3</v>
      </c>
      <c r="CP45" t="s">
        <v>75</v>
      </c>
      <c r="CQ45">
        <v>6.7000000000000002E-4</v>
      </c>
      <c r="CR45" t="s">
        <v>75</v>
      </c>
      <c r="CS45">
        <v>2.5699999999999998E-3</v>
      </c>
      <c r="CT45" t="s">
        <v>75</v>
      </c>
      <c r="CW45">
        <v>5.9899999999999997E-3</v>
      </c>
      <c r="CX45" t="s">
        <v>75</v>
      </c>
      <c r="DA45">
        <v>3.7080000000000002E-2</v>
      </c>
      <c r="DB45" t="s">
        <v>75</v>
      </c>
      <c r="DC45">
        <v>4.2000000000000002E-4</v>
      </c>
      <c r="DD45" t="s">
        <v>75</v>
      </c>
      <c r="DE45">
        <v>5.8E-4</v>
      </c>
      <c r="DF45" t="s">
        <v>75</v>
      </c>
      <c r="DG45">
        <v>0</v>
      </c>
      <c r="DH45" t="s">
        <v>75</v>
      </c>
      <c r="DI45">
        <v>0.34304000000000001</v>
      </c>
      <c r="DJ45" t="s">
        <v>75</v>
      </c>
      <c r="DO45">
        <v>3.4000000000000002E-4</v>
      </c>
      <c r="DP45" t="s">
        <v>75</v>
      </c>
    </row>
    <row r="46" spans="1:121" x14ac:dyDescent="0.2">
      <c r="D46" t="s">
        <v>65</v>
      </c>
      <c r="G46" t="s">
        <v>66</v>
      </c>
      <c r="I46" t="s">
        <v>66</v>
      </c>
      <c r="K46" t="s">
        <v>66</v>
      </c>
      <c r="M46" t="s">
        <v>66</v>
      </c>
      <c r="O46" t="s">
        <v>66</v>
      </c>
      <c r="Q46" t="s">
        <v>66</v>
      </c>
      <c r="S46" t="s">
        <v>66</v>
      </c>
      <c r="U46" t="s">
        <v>66</v>
      </c>
      <c r="W46" t="s">
        <v>66</v>
      </c>
      <c r="Y46" t="s">
        <v>66</v>
      </c>
      <c r="AA46" t="s">
        <v>66</v>
      </c>
      <c r="AC46" t="s">
        <v>66</v>
      </c>
      <c r="AE46" t="s">
        <v>66</v>
      </c>
      <c r="AG46" t="s">
        <v>66</v>
      </c>
      <c r="AI46" t="s">
        <v>66</v>
      </c>
      <c r="AK46" t="s">
        <v>66</v>
      </c>
      <c r="AM46" t="s">
        <v>66</v>
      </c>
      <c r="AO46" t="s">
        <v>66</v>
      </c>
      <c r="AQ46" t="s">
        <v>66</v>
      </c>
      <c r="AS46" t="s">
        <v>66</v>
      </c>
      <c r="AU46" t="s">
        <v>66</v>
      </c>
      <c r="AW46" t="s">
        <v>66</v>
      </c>
      <c r="AY46" t="s">
        <v>66</v>
      </c>
      <c r="BA46" t="s">
        <v>66</v>
      </c>
      <c r="BC46" t="s">
        <v>66</v>
      </c>
      <c r="BE46" t="s">
        <v>66</v>
      </c>
      <c r="BG46" t="s">
        <v>66</v>
      </c>
      <c r="BI46" t="s">
        <v>66</v>
      </c>
      <c r="BK46" t="s">
        <v>66</v>
      </c>
      <c r="BM46" t="s">
        <v>66</v>
      </c>
      <c r="BO46" t="s">
        <v>66</v>
      </c>
      <c r="BQ46" t="s">
        <v>66</v>
      </c>
      <c r="BS46" t="s">
        <v>66</v>
      </c>
      <c r="BU46" t="s">
        <v>66</v>
      </c>
      <c r="BW46" t="s">
        <v>66</v>
      </c>
      <c r="BY46" t="s">
        <v>66</v>
      </c>
      <c r="CA46" t="s">
        <v>66</v>
      </c>
      <c r="CC46" t="s">
        <v>66</v>
      </c>
      <c r="CE46" t="s">
        <v>66</v>
      </c>
      <c r="CG46" t="s">
        <v>66</v>
      </c>
      <c r="CI46" t="s">
        <v>66</v>
      </c>
      <c r="CK46" t="s">
        <v>66</v>
      </c>
      <c r="CM46" t="s">
        <v>66</v>
      </c>
      <c r="CO46" t="s">
        <v>66</v>
      </c>
      <c r="CQ46" t="s">
        <v>66</v>
      </c>
      <c r="CS46" t="s">
        <v>66</v>
      </c>
      <c r="CU46" t="s">
        <v>66</v>
      </c>
      <c r="CW46" t="s">
        <v>66</v>
      </c>
      <c r="CY46" t="s">
        <v>66</v>
      </c>
      <c r="DA46" t="s">
        <v>66</v>
      </c>
      <c r="DC46" t="s">
        <v>66</v>
      </c>
      <c r="DE46" t="s">
        <v>66</v>
      </c>
      <c r="DG46" t="s">
        <v>66</v>
      </c>
      <c r="DI46" t="s">
        <v>66</v>
      </c>
      <c r="DK46" t="s">
        <v>66</v>
      </c>
      <c r="DM46" t="s">
        <v>66</v>
      </c>
      <c r="DO46" t="s">
        <v>66</v>
      </c>
      <c r="DQ46" t="s">
        <v>66</v>
      </c>
    </row>
    <row r="47" spans="1:121" x14ac:dyDescent="0.2">
      <c r="A47" t="s">
        <v>579</v>
      </c>
      <c r="D47" t="s">
        <v>60</v>
      </c>
      <c r="E47" t="s">
        <v>61</v>
      </c>
      <c r="G47">
        <v>151617</v>
      </c>
      <c r="I47">
        <v>34137.699999999997</v>
      </c>
      <c r="K47">
        <v>933148.4</v>
      </c>
      <c r="M47">
        <v>1208091.8</v>
      </c>
      <c r="O47">
        <v>1413801.5</v>
      </c>
      <c r="Q47">
        <v>175980</v>
      </c>
      <c r="S47">
        <v>1354521.5</v>
      </c>
      <c r="U47">
        <v>274103.2</v>
      </c>
      <c r="W47">
        <v>546108.6</v>
      </c>
      <c r="Y47">
        <v>78621.8</v>
      </c>
      <c r="AA47">
        <v>2858802.3</v>
      </c>
      <c r="AC47">
        <v>307790.7</v>
      </c>
      <c r="AE47">
        <v>298227.3</v>
      </c>
      <c r="AG47">
        <v>1574444.5</v>
      </c>
      <c r="AI47">
        <v>642174.19999999995</v>
      </c>
      <c r="AK47">
        <v>1734539.5</v>
      </c>
      <c r="AM47">
        <v>1590466</v>
      </c>
      <c r="AO47">
        <v>325157.09999999998</v>
      </c>
      <c r="AQ47">
        <v>280926.2</v>
      </c>
      <c r="AS47">
        <v>270422.40000000002</v>
      </c>
      <c r="AU47">
        <v>1867085.7</v>
      </c>
      <c r="AW47">
        <v>507059.6</v>
      </c>
      <c r="AY47">
        <v>391133.8</v>
      </c>
      <c r="BA47">
        <v>658191.5</v>
      </c>
      <c r="BC47">
        <v>1100141.3</v>
      </c>
      <c r="BE47">
        <v>1247031.8</v>
      </c>
      <c r="BG47">
        <v>418358.3</v>
      </c>
      <c r="BI47">
        <v>352419.3</v>
      </c>
      <c r="BK47">
        <v>934368.3</v>
      </c>
      <c r="BM47">
        <v>1353441.7</v>
      </c>
      <c r="BO47">
        <v>438674.6</v>
      </c>
      <c r="BQ47">
        <v>252691.9</v>
      </c>
      <c r="BS47">
        <v>201765.9</v>
      </c>
      <c r="BU47">
        <v>678002.8</v>
      </c>
      <c r="BW47">
        <v>3329.1</v>
      </c>
      <c r="BY47">
        <v>106330.4</v>
      </c>
      <c r="CA47">
        <v>22111.7</v>
      </c>
      <c r="CC47">
        <v>5646.8</v>
      </c>
      <c r="CE47">
        <v>78060.3</v>
      </c>
      <c r="CG47">
        <v>68254.100000000006</v>
      </c>
      <c r="CI47">
        <v>87484.2</v>
      </c>
      <c r="CK47">
        <v>279108.7</v>
      </c>
      <c r="CM47">
        <v>81957.7</v>
      </c>
      <c r="CO47">
        <v>18672.900000000001</v>
      </c>
      <c r="CQ47">
        <v>38629.199999999997</v>
      </c>
      <c r="CS47">
        <v>16171.8</v>
      </c>
      <c r="CU47">
        <v>247818.4</v>
      </c>
      <c r="CW47">
        <v>32204.9</v>
      </c>
      <c r="CY47">
        <v>56724.4</v>
      </c>
      <c r="DA47">
        <v>171685.5</v>
      </c>
      <c r="DC47">
        <v>3723.7</v>
      </c>
      <c r="DE47">
        <v>3038.4</v>
      </c>
      <c r="DG47">
        <v>271.39999999999998</v>
      </c>
      <c r="DI47">
        <v>943.8</v>
      </c>
      <c r="DK47">
        <v>978.3</v>
      </c>
      <c r="DM47">
        <v>80253.7</v>
      </c>
      <c r="DO47">
        <v>9407.7999999999993</v>
      </c>
      <c r="DQ47">
        <v>17409</v>
      </c>
    </row>
    <row r="48" spans="1:121" x14ac:dyDescent="0.2">
      <c r="D48" t="s">
        <v>62</v>
      </c>
      <c r="E48" t="s">
        <v>61</v>
      </c>
      <c r="G48">
        <v>487.8</v>
      </c>
      <c r="I48">
        <v>248.2</v>
      </c>
      <c r="K48">
        <v>4039.3</v>
      </c>
      <c r="M48">
        <v>7249.3</v>
      </c>
      <c r="O48">
        <v>6661.1</v>
      </c>
      <c r="Q48">
        <v>2299.3000000000002</v>
      </c>
      <c r="S48">
        <v>11012.6</v>
      </c>
      <c r="U48">
        <v>1713.5</v>
      </c>
      <c r="W48">
        <v>4741.1000000000004</v>
      </c>
      <c r="Y48">
        <v>487.6</v>
      </c>
      <c r="AA48">
        <v>80652.600000000006</v>
      </c>
      <c r="AC48">
        <v>7974.1</v>
      </c>
      <c r="AE48">
        <v>3878.4</v>
      </c>
      <c r="AG48">
        <v>25083</v>
      </c>
      <c r="AI48">
        <v>10867.4</v>
      </c>
      <c r="AK48">
        <v>19299.3</v>
      </c>
      <c r="AM48">
        <v>22823.200000000001</v>
      </c>
      <c r="AO48">
        <v>1261.9000000000001</v>
      </c>
      <c r="AQ48">
        <v>3050.4</v>
      </c>
      <c r="AS48">
        <v>3745.1</v>
      </c>
      <c r="AU48">
        <v>25201.599999999999</v>
      </c>
      <c r="AW48">
        <v>6965.9</v>
      </c>
      <c r="AY48">
        <v>1160.5999999999999</v>
      </c>
      <c r="BA48">
        <v>2796</v>
      </c>
      <c r="BC48">
        <v>5415.4</v>
      </c>
      <c r="BE48">
        <v>19062.099999999999</v>
      </c>
      <c r="BG48">
        <v>5975.5</v>
      </c>
      <c r="BI48">
        <v>1569.7</v>
      </c>
      <c r="BK48">
        <v>9612</v>
      </c>
      <c r="BM48">
        <v>2624.1</v>
      </c>
      <c r="BO48">
        <v>5196.1000000000004</v>
      </c>
      <c r="BQ48">
        <v>4835.6000000000004</v>
      </c>
      <c r="BS48">
        <v>5121.1000000000004</v>
      </c>
      <c r="BU48">
        <v>2585.8000000000002</v>
      </c>
      <c r="BW48">
        <v>139.9</v>
      </c>
      <c r="BY48">
        <v>299.8</v>
      </c>
      <c r="CA48">
        <v>345.1</v>
      </c>
      <c r="CC48">
        <v>42.5</v>
      </c>
      <c r="CE48">
        <v>771.3</v>
      </c>
      <c r="CG48">
        <v>1285.8</v>
      </c>
      <c r="CI48">
        <v>277.8</v>
      </c>
      <c r="CK48">
        <v>1358.4</v>
      </c>
      <c r="CM48">
        <v>1033</v>
      </c>
      <c r="CO48">
        <v>647.20000000000005</v>
      </c>
      <c r="CQ48">
        <v>469.9</v>
      </c>
      <c r="CS48">
        <v>158.30000000000001</v>
      </c>
      <c r="CU48">
        <v>2070.6</v>
      </c>
      <c r="CW48">
        <v>612.5</v>
      </c>
      <c r="CY48">
        <v>745.1</v>
      </c>
      <c r="DA48">
        <v>3513.4</v>
      </c>
      <c r="DC48">
        <v>101.3</v>
      </c>
      <c r="DE48">
        <v>164.1</v>
      </c>
      <c r="DG48">
        <v>12.7</v>
      </c>
      <c r="DI48">
        <v>48.6</v>
      </c>
      <c r="DK48">
        <v>62.8</v>
      </c>
      <c r="DM48">
        <v>790.7</v>
      </c>
      <c r="DO48">
        <v>137.80000000000001</v>
      </c>
      <c r="DQ48">
        <v>345.1</v>
      </c>
    </row>
    <row r="49" spans="1:121" x14ac:dyDescent="0.2">
      <c r="D49" t="s">
        <v>63</v>
      </c>
      <c r="G49">
        <v>1.2061200000000001</v>
      </c>
      <c r="H49" t="s">
        <v>75</v>
      </c>
      <c r="I49">
        <v>1.21617</v>
      </c>
      <c r="J49" t="s">
        <v>75</v>
      </c>
      <c r="K49">
        <v>1.2189099999999999</v>
      </c>
      <c r="L49" t="s">
        <v>75</v>
      </c>
      <c r="M49">
        <v>1.2299</v>
      </c>
      <c r="N49" t="s">
        <v>75</v>
      </c>
      <c r="O49">
        <v>1.21665</v>
      </c>
      <c r="P49" t="s">
        <v>75</v>
      </c>
      <c r="Q49">
        <v>1.19129</v>
      </c>
      <c r="R49" t="s">
        <v>75</v>
      </c>
      <c r="S49">
        <v>1.2195</v>
      </c>
      <c r="T49" t="s">
        <v>75</v>
      </c>
      <c r="U49">
        <v>1.1735100000000001</v>
      </c>
      <c r="V49" t="s">
        <v>75</v>
      </c>
      <c r="W49">
        <v>1.1965699999999999</v>
      </c>
      <c r="X49" t="s">
        <v>75</v>
      </c>
      <c r="Y49">
        <v>1.2023999999999999</v>
      </c>
      <c r="Z49" t="s">
        <v>75</v>
      </c>
      <c r="AB49" t="s">
        <v>76</v>
      </c>
      <c r="AC49">
        <v>1.1694899999999999</v>
      </c>
      <c r="AD49" t="s">
        <v>75</v>
      </c>
      <c r="AE49">
        <v>1.18967</v>
      </c>
      <c r="AF49" t="s">
        <v>75</v>
      </c>
      <c r="AG49">
        <v>1.25678</v>
      </c>
      <c r="AH49" t="s">
        <v>75</v>
      </c>
      <c r="AI49">
        <v>4.1804600000000001</v>
      </c>
      <c r="AJ49" t="s">
        <v>75</v>
      </c>
      <c r="AK49">
        <v>1.2237100000000001</v>
      </c>
      <c r="AL49" t="s">
        <v>75</v>
      </c>
      <c r="AM49">
        <v>1.2250099999999999</v>
      </c>
      <c r="AN49" t="s">
        <v>75</v>
      </c>
      <c r="AO49">
        <v>1.2242999999999999</v>
      </c>
      <c r="AP49" t="s">
        <v>75</v>
      </c>
      <c r="AQ49">
        <v>1.2398100000000001</v>
      </c>
      <c r="AR49" t="s">
        <v>75</v>
      </c>
      <c r="AS49">
        <v>1.2354499999999999</v>
      </c>
      <c r="AT49" t="s">
        <v>75</v>
      </c>
      <c r="AU49">
        <v>1.2667999999999999</v>
      </c>
      <c r="AV49" t="s">
        <v>75</v>
      </c>
      <c r="AW49">
        <v>1.25796</v>
      </c>
      <c r="AX49" t="s">
        <v>75</v>
      </c>
      <c r="AY49">
        <v>1.28966</v>
      </c>
      <c r="AZ49" t="s">
        <v>75</v>
      </c>
      <c r="BC49">
        <v>1.3310299999999999</v>
      </c>
      <c r="BD49" t="s">
        <v>75</v>
      </c>
      <c r="BE49">
        <v>1.22895</v>
      </c>
      <c r="BF49" t="s">
        <v>75</v>
      </c>
      <c r="BG49">
        <v>1.2000200000000001</v>
      </c>
      <c r="BH49" t="s">
        <v>75</v>
      </c>
      <c r="BI49">
        <v>1.1836500000000001</v>
      </c>
      <c r="BJ49" t="s">
        <v>75</v>
      </c>
      <c r="BK49">
        <v>1.24451</v>
      </c>
      <c r="BL49" t="s">
        <v>75</v>
      </c>
      <c r="BM49">
        <v>1.30016</v>
      </c>
      <c r="BN49" t="s">
        <v>75</v>
      </c>
      <c r="BO49">
        <v>8.4497900000000001</v>
      </c>
      <c r="BP49" t="s">
        <v>75</v>
      </c>
      <c r="BQ49">
        <v>8.5688600000000008</v>
      </c>
      <c r="BR49" t="s">
        <v>75</v>
      </c>
      <c r="BS49">
        <v>4.2934799999999997</v>
      </c>
      <c r="BT49" t="s">
        <v>75</v>
      </c>
      <c r="BU49">
        <v>9.0062099999999994</v>
      </c>
      <c r="BV49" t="s">
        <v>75</v>
      </c>
      <c r="BW49">
        <v>1.2336100000000001</v>
      </c>
      <c r="BX49" t="s">
        <v>75</v>
      </c>
      <c r="BY49">
        <v>23.27167</v>
      </c>
      <c r="BZ49" t="s">
        <v>75</v>
      </c>
      <c r="CA49">
        <v>8.8469800000000003</v>
      </c>
      <c r="CB49" t="s">
        <v>75</v>
      </c>
      <c r="CC49">
        <v>1.25251</v>
      </c>
      <c r="CD49" t="s">
        <v>75</v>
      </c>
      <c r="CE49">
        <v>1.22068</v>
      </c>
      <c r="CF49" t="s">
        <v>75</v>
      </c>
      <c r="CG49">
        <v>1.2053700000000001</v>
      </c>
      <c r="CH49" t="s">
        <v>75</v>
      </c>
      <c r="CI49">
        <v>1.17117</v>
      </c>
      <c r="CJ49" t="s">
        <v>75</v>
      </c>
      <c r="CK49">
        <v>3.8248099999999998</v>
      </c>
      <c r="CL49" t="s">
        <v>75</v>
      </c>
      <c r="CM49">
        <v>1.2166300000000001</v>
      </c>
      <c r="CN49" t="s">
        <v>75</v>
      </c>
      <c r="CO49">
        <v>1.1200399999999999</v>
      </c>
      <c r="CP49" t="s">
        <v>75</v>
      </c>
      <c r="CQ49">
        <v>1.20095</v>
      </c>
      <c r="CR49" t="s">
        <v>75</v>
      </c>
      <c r="CS49">
        <v>4.3483599999999996</v>
      </c>
      <c r="CT49" t="s">
        <v>75</v>
      </c>
      <c r="CV49" t="s">
        <v>76</v>
      </c>
      <c r="CW49">
        <v>1.2312799999999999</v>
      </c>
      <c r="CX49" t="s">
        <v>75</v>
      </c>
      <c r="DA49">
        <v>9.3603000000000005</v>
      </c>
      <c r="DB49" t="s">
        <v>75</v>
      </c>
      <c r="DC49">
        <v>1.53312</v>
      </c>
      <c r="DD49" t="s">
        <v>75</v>
      </c>
      <c r="DE49">
        <v>1.2697400000000001</v>
      </c>
      <c r="DF49" t="s">
        <v>75</v>
      </c>
      <c r="DG49">
        <v>1.27481</v>
      </c>
      <c r="DH49" t="s">
        <v>75</v>
      </c>
      <c r="DI49">
        <v>1.09988</v>
      </c>
      <c r="DJ49" t="s">
        <v>75</v>
      </c>
      <c r="DL49" t="s">
        <v>76</v>
      </c>
      <c r="DN49" t="s">
        <v>76</v>
      </c>
      <c r="DO49">
        <v>1.2957099999999999</v>
      </c>
      <c r="DP49" t="s">
        <v>75</v>
      </c>
    </row>
    <row r="50" spans="1:121" x14ac:dyDescent="0.2">
      <c r="D50" t="s">
        <v>64</v>
      </c>
      <c r="G50">
        <v>1.2899999999999999E-3</v>
      </c>
      <c r="H50" t="s">
        <v>75</v>
      </c>
      <c r="I50">
        <v>1.256E-2</v>
      </c>
      <c r="J50" t="s">
        <v>75</v>
      </c>
      <c r="K50">
        <v>5.0200000000000002E-3</v>
      </c>
      <c r="L50" t="s">
        <v>75</v>
      </c>
      <c r="M50">
        <v>3.0999999999999999E-3</v>
      </c>
      <c r="N50" t="s">
        <v>75</v>
      </c>
      <c r="O50">
        <v>5.4400000000000004E-3</v>
      </c>
      <c r="P50" t="s">
        <v>75</v>
      </c>
      <c r="Q50">
        <v>1.7010000000000001E-2</v>
      </c>
      <c r="R50" t="s">
        <v>75</v>
      </c>
      <c r="S50">
        <v>8.5100000000000002E-3</v>
      </c>
      <c r="T50" t="s">
        <v>75</v>
      </c>
      <c r="U50">
        <v>1.1599999999999999E-2</v>
      </c>
      <c r="V50" t="s">
        <v>75</v>
      </c>
      <c r="W50">
        <v>7.7499999999999999E-3</v>
      </c>
      <c r="X50" t="s">
        <v>75</v>
      </c>
      <c r="Y50">
        <v>6.45E-3</v>
      </c>
      <c r="Z50" t="s">
        <v>75</v>
      </c>
      <c r="AC50">
        <v>3.116E-2</v>
      </c>
      <c r="AD50" t="s">
        <v>75</v>
      </c>
      <c r="AE50">
        <v>1.932E-2</v>
      </c>
      <c r="AF50" t="s">
        <v>75</v>
      </c>
      <c r="AG50">
        <v>2.223E-2</v>
      </c>
      <c r="AH50" t="s">
        <v>75</v>
      </c>
      <c r="AI50">
        <v>6.9470000000000004E-2</v>
      </c>
      <c r="AJ50" t="s">
        <v>75</v>
      </c>
      <c r="AK50">
        <v>1.5630000000000002E-2</v>
      </c>
      <c r="AL50" t="s">
        <v>75</v>
      </c>
      <c r="AM50">
        <v>1.652E-2</v>
      </c>
      <c r="AN50" t="s">
        <v>75</v>
      </c>
      <c r="AO50">
        <v>4.2900000000000004E-3</v>
      </c>
      <c r="AP50" t="s">
        <v>75</v>
      </c>
      <c r="AQ50">
        <v>9.7300000000000008E-3</v>
      </c>
      <c r="AR50" t="s">
        <v>75</v>
      </c>
      <c r="AS50">
        <v>1.4489999999999999E-2</v>
      </c>
      <c r="AT50" t="s">
        <v>75</v>
      </c>
      <c r="AU50">
        <v>1.206E-2</v>
      </c>
      <c r="AV50" t="s">
        <v>75</v>
      </c>
      <c r="AW50">
        <v>2.2579999999999999E-2</v>
      </c>
      <c r="AX50" t="s">
        <v>75</v>
      </c>
      <c r="AY50">
        <v>9.11E-3</v>
      </c>
      <c r="AZ50" t="s">
        <v>75</v>
      </c>
      <c r="BC50">
        <v>5.5700000000000003E-3</v>
      </c>
      <c r="BD50" t="s">
        <v>75</v>
      </c>
      <c r="BE50">
        <v>1.9310000000000001E-2</v>
      </c>
      <c r="BF50" t="s">
        <v>75</v>
      </c>
      <c r="BG50">
        <v>1.269E-2</v>
      </c>
      <c r="BH50" t="s">
        <v>75</v>
      </c>
      <c r="BI50">
        <v>9.8899999999999995E-3</v>
      </c>
      <c r="BJ50" t="s">
        <v>75</v>
      </c>
      <c r="BK50">
        <v>7.4000000000000003E-3</v>
      </c>
      <c r="BL50" t="s">
        <v>75</v>
      </c>
      <c r="BM50">
        <v>6.94E-3</v>
      </c>
      <c r="BN50" t="s">
        <v>75</v>
      </c>
      <c r="BO50">
        <v>6.9849999999999995E-2</v>
      </c>
      <c r="BP50" t="s">
        <v>75</v>
      </c>
      <c r="BQ50">
        <v>8.0890000000000004E-2</v>
      </c>
      <c r="BR50" t="s">
        <v>75</v>
      </c>
      <c r="BS50">
        <v>0.10483000000000001</v>
      </c>
      <c r="BT50" t="s">
        <v>75</v>
      </c>
      <c r="BU50">
        <v>0.40934999999999999</v>
      </c>
      <c r="BV50" t="s">
        <v>75</v>
      </c>
      <c r="BW50">
        <v>5.6279999999999997E-2</v>
      </c>
      <c r="BX50" t="s">
        <v>75</v>
      </c>
      <c r="BY50">
        <v>0.50351000000000001</v>
      </c>
      <c r="BZ50" t="s">
        <v>75</v>
      </c>
      <c r="CA50">
        <v>0.12078999999999999</v>
      </c>
      <c r="CB50" t="s">
        <v>75</v>
      </c>
      <c r="CC50">
        <v>2.4279999999999999E-2</v>
      </c>
      <c r="CD50" t="s">
        <v>75</v>
      </c>
      <c r="CE50">
        <v>1.018E-2</v>
      </c>
      <c r="CF50" t="s">
        <v>75</v>
      </c>
      <c r="CG50">
        <v>7.0699999999999999E-3</v>
      </c>
      <c r="CH50" t="s">
        <v>75</v>
      </c>
      <c r="CI50">
        <v>1.6590000000000001E-2</v>
      </c>
      <c r="CJ50" t="s">
        <v>75</v>
      </c>
      <c r="CK50">
        <v>6.5740000000000007E-2</v>
      </c>
      <c r="CL50" t="s">
        <v>75</v>
      </c>
      <c r="CM50">
        <v>2.726E-2</v>
      </c>
      <c r="CN50" t="s">
        <v>75</v>
      </c>
      <c r="CO50">
        <v>2.7830000000000001E-2</v>
      </c>
      <c r="CP50" t="s">
        <v>75</v>
      </c>
      <c r="CQ50">
        <v>1.8319999999999999E-2</v>
      </c>
      <c r="CR50" t="s">
        <v>75</v>
      </c>
      <c r="CS50">
        <v>8.6679999999999993E-2</v>
      </c>
      <c r="CT50" t="s">
        <v>75</v>
      </c>
      <c r="CW50">
        <v>4.0469999999999999E-2</v>
      </c>
      <c r="CX50" t="s">
        <v>75</v>
      </c>
      <c r="DA50">
        <v>0.30048999999999998</v>
      </c>
      <c r="DB50" t="s">
        <v>75</v>
      </c>
      <c r="DC50">
        <v>7.1360000000000007E-2</v>
      </c>
      <c r="DD50" t="s">
        <v>75</v>
      </c>
      <c r="DE50">
        <v>7.2730000000000003E-2</v>
      </c>
      <c r="DF50" t="s">
        <v>75</v>
      </c>
      <c r="DG50">
        <v>3.8580000000000003E-2</v>
      </c>
      <c r="DH50" t="s">
        <v>75</v>
      </c>
      <c r="DI50">
        <v>9.8239999999999994E-2</v>
      </c>
      <c r="DJ50" t="s">
        <v>75</v>
      </c>
      <c r="DO50">
        <v>4.0570000000000002E-2</v>
      </c>
      <c r="DP50" t="s">
        <v>75</v>
      </c>
    </row>
    <row r="51" spans="1:121" x14ac:dyDescent="0.2">
      <c r="D51" t="s">
        <v>65</v>
      </c>
      <c r="G51" t="s">
        <v>66</v>
      </c>
      <c r="I51" t="s">
        <v>66</v>
      </c>
      <c r="K51" t="s">
        <v>66</v>
      </c>
      <c r="M51" t="s">
        <v>66</v>
      </c>
      <c r="O51" t="s">
        <v>66</v>
      </c>
      <c r="Q51" t="s">
        <v>66</v>
      </c>
      <c r="S51" t="s">
        <v>66</v>
      </c>
      <c r="U51" t="s">
        <v>66</v>
      </c>
      <c r="W51" t="s">
        <v>66</v>
      </c>
      <c r="Y51" t="s">
        <v>66</v>
      </c>
      <c r="AA51" t="s">
        <v>66</v>
      </c>
      <c r="AC51" t="s">
        <v>66</v>
      </c>
      <c r="AE51" t="s">
        <v>66</v>
      </c>
      <c r="AG51" t="s">
        <v>66</v>
      </c>
      <c r="AI51" t="s">
        <v>66</v>
      </c>
      <c r="AK51" t="s">
        <v>66</v>
      </c>
      <c r="AM51" t="s">
        <v>66</v>
      </c>
      <c r="AO51" t="s">
        <v>66</v>
      </c>
      <c r="AQ51" t="s">
        <v>66</v>
      </c>
      <c r="AS51" t="s">
        <v>66</v>
      </c>
      <c r="AU51" t="s">
        <v>66</v>
      </c>
      <c r="AW51" t="s">
        <v>66</v>
      </c>
      <c r="AY51" t="s">
        <v>66</v>
      </c>
      <c r="BA51" t="s">
        <v>66</v>
      </c>
      <c r="BC51" t="s">
        <v>66</v>
      </c>
      <c r="BE51" t="s">
        <v>66</v>
      </c>
      <c r="BG51" t="s">
        <v>66</v>
      </c>
      <c r="BI51" t="s">
        <v>66</v>
      </c>
      <c r="BK51" t="s">
        <v>66</v>
      </c>
      <c r="BM51" t="s">
        <v>66</v>
      </c>
      <c r="BO51" t="s">
        <v>66</v>
      </c>
      <c r="BQ51" t="s">
        <v>66</v>
      </c>
      <c r="BS51" t="s">
        <v>66</v>
      </c>
      <c r="BU51" t="s">
        <v>66</v>
      </c>
      <c r="BW51" t="s">
        <v>66</v>
      </c>
      <c r="BY51" t="s">
        <v>66</v>
      </c>
      <c r="CA51" t="s">
        <v>66</v>
      </c>
      <c r="CC51" t="s">
        <v>66</v>
      </c>
      <c r="CE51" t="s">
        <v>66</v>
      </c>
      <c r="CG51" t="s">
        <v>66</v>
      </c>
      <c r="CI51" t="s">
        <v>66</v>
      </c>
      <c r="CK51" t="s">
        <v>66</v>
      </c>
      <c r="CM51" t="s">
        <v>66</v>
      </c>
      <c r="CO51" t="s">
        <v>66</v>
      </c>
      <c r="CQ51" t="s">
        <v>66</v>
      </c>
      <c r="CS51" t="s">
        <v>66</v>
      </c>
      <c r="CU51" t="s">
        <v>66</v>
      </c>
      <c r="CW51" t="s">
        <v>66</v>
      </c>
      <c r="CY51" t="s">
        <v>66</v>
      </c>
      <c r="DA51" t="s">
        <v>66</v>
      </c>
      <c r="DC51" t="s">
        <v>66</v>
      </c>
      <c r="DE51" t="s">
        <v>66</v>
      </c>
      <c r="DG51" t="s">
        <v>66</v>
      </c>
      <c r="DI51" t="s">
        <v>66</v>
      </c>
      <c r="DK51" t="s">
        <v>66</v>
      </c>
      <c r="DM51" t="s">
        <v>66</v>
      </c>
      <c r="DO51" t="s">
        <v>66</v>
      </c>
      <c r="DQ51" t="s">
        <v>66</v>
      </c>
    </row>
    <row r="52" spans="1:121" x14ac:dyDescent="0.2">
      <c r="A52" t="s">
        <v>580</v>
      </c>
      <c r="D52" t="s">
        <v>60</v>
      </c>
      <c r="E52" t="s">
        <v>61</v>
      </c>
      <c r="G52">
        <v>9431.2000000000007</v>
      </c>
      <c r="I52">
        <v>766.9</v>
      </c>
      <c r="K52">
        <v>21136.799999999999</v>
      </c>
      <c r="M52">
        <v>26000.9</v>
      </c>
      <c r="O52">
        <v>731.7</v>
      </c>
      <c r="Q52">
        <v>720</v>
      </c>
      <c r="S52">
        <v>3889.3</v>
      </c>
      <c r="U52">
        <v>2314.4</v>
      </c>
      <c r="W52">
        <v>1214.3</v>
      </c>
      <c r="Y52">
        <v>64.599999999999994</v>
      </c>
      <c r="AA52">
        <v>2839956</v>
      </c>
      <c r="AC52">
        <v>706.6</v>
      </c>
      <c r="AE52">
        <v>868.1</v>
      </c>
      <c r="AG52">
        <v>16569.8</v>
      </c>
      <c r="AI52">
        <v>5009.3999999999996</v>
      </c>
      <c r="AK52">
        <v>334.4</v>
      </c>
      <c r="AM52">
        <v>168.8</v>
      </c>
      <c r="AO52">
        <v>143.80000000000001</v>
      </c>
      <c r="AQ52">
        <v>140.6</v>
      </c>
      <c r="AS52">
        <v>391.7</v>
      </c>
      <c r="AU52">
        <v>364.6</v>
      </c>
      <c r="AW52">
        <v>276.10000000000002</v>
      </c>
      <c r="AY52">
        <v>5237.8999999999996</v>
      </c>
      <c r="BA52">
        <v>636473.5</v>
      </c>
      <c r="BC52">
        <v>799996.3</v>
      </c>
      <c r="BE52">
        <v>876.5</v>
      </c>
      <c r="BG52">
        <v>2849.5</v>
      </c>
      <c r="BI52">
        <v>1871.3</v>
      </c>
      <c r="BK52">
        <v>55440.5</v>
      </c>
      <c r="BM52">
        <v>3526.3</v>
      </c>
      <c r="BO52">
        <v>77428</v>
      </c>
      <c r="BQ52">
        <v>12835.2</v>
      </c>
      <c r="BS52">
        <v>18167.3</v>
      </c>
      <c r="BU52">
        <v>467696.7</v>
      </c>
      <c r="BW52">
        <v>425</v>
      </c>
      <c r="BY52">
        <v>25900.7</v>
      </c>
      <c r="CA52">
        <v>7192.4</v>
      </c>
      <c r="CC52">
        <v>25</v>
      </c>
      <c r="CE52">
        <v>245.4</v>
      </c>
      <c r="CG52">
        <v>375.9</v>
      </c>
      <c r="CI52">
        <v>150.9</v>
      </c>
      <c r="CK52">
        <v>2678.3</v>
      </c>
      <c r="CM52">
        <v>48.1</v>
      </c>
      <c r="CO52">
        <v>154.6</v>
      </c>
      <c r="CQ52">
        <v>232.4</v>
      </c>
      <c r="CS52">
        <v>163</v>
      </c>
      <c r="CU52">
        <v>246478.1</v>
      </c>
      <c r="CW52">
        <v>74.099999999999994</v>
      </c>
      <c r="CY52">
        <v>56078.7</v>
      </c>
      <c r="DA52">
        <v>9515.4</v>
      </c>
      <c r="DC52">
        <v>0.6</v>
      </c>
      <c r="DE52">
        <v>15</v>
      </c>
      <c r="DG52">
        <v>32.1</v>
      </c>
      <c r="DI52">
        <v>1399.5</v>
      </c>
      <c r="DK52">
        <v>845.9</v>
      </c>
      <c r="DM52">
        <v>75692.399999999994</v>
      </c>
      <c r="DO52">
        <v>20.7</v>
      </c>
      <c r="DQ52">
        <v>17560.599999999999</v>
      </c>
    </row>
    <row r="53" spans="1:121" x14ac:dyDescent="0.2">
      <c r="D53" t="s">
        <v>62</v>
      </c>
      <c r="E53" t="s">
        <v>61</v>
      </c>
      <c r="G53">
        <v>696.2</v>
      </c>
      <c r="I53">
        <v>54.4</v>
      </c>
      <c r="K53">
        <v>1751.4</v>
      </c>
      <c r="M53">
        <v>579.6</v>
      </c>
      <c r="O53">
        <v>780.2</v>
      </c>
      <c r="Q53">
        <v>84.6</v>
      </c>
      <c r="S53">
        <v>500.2</v>
      </c>
      <c r="U53">
        <v>261.10000000000002</v>
      </c>
      <c r="W53">
        <v>237.8</v>
      </c>
      <c r="Y53">
        <v>23</v>
      </c>
      <c r="AA53">
        <v>28587.5</v>
      </c>
      <c r="AC53">
        <v>47.2</v>
      </c>
      <c r="AE53">
        <v>68</v>
      </c>
      <c r="AG53">
        <v>677.9</v>
      </c>
      <c r="AI53">
        <v>277.7</v>
      </c>
      <c r="AK53">
        <v>49.1</v>
      </c>
      <c r="AM53">
        <v>19</v>
      </c>
      <c r="AO53">
        <v>27.8</v>
      </c>
      <c r="AQ53">
        <v>43.4</v>
      </c>
      <c r="AS53">
        <v>27.3</v>
      </c>
      <c r="AU53">
        <v>87.8</v>
      </c>
      <c r="AW53">
        <v>58.9</v>
      </c>
      <c r="AY53">
        <v>77.2</v>
      </c>
      <c r="BA53">
        <v>2697.5</v>
      </c>
      <c r="BC53">
        <v>9367.9</v>
      </c>
      <c r="BE53">
        <v>29</v>
      </c>
      <c r="BG53">
        <v>183.2</v>
      </c>
      <c r="BI53">
        <v>23</v>
      </c>
      <c r="BK53">
        <v>643.6</v>
      </c>
      <c r="BM53">
        <v>34.6</v>
      </c>
      <c r="BO53">
        <v>1602.8</v>
      </c>
      <c r="BQ53">
        <v>241.1</v>
      </c>
      <c r="BS53">
        <v>703.4</v>
      </c>
      <c r="BU53">
        <v>1672.3</v>
      </c>
      <c r="BW53">
        <v>51</v>
      </c>
      <c r="BY53">
        <v>327</v>
      </c>
      <c r="CA53">
        <v>127.3</v>
      </c>
      <c r="CC53">
        <v>16.899999999999999</v>
      </c>
      <c r="CE53">
        <v>31.6</v>
      </c>
      <c r="CG53">
        <v>15.3</v>
      </c>
      <c r="CI53">
        <v>28</v>
      </c>
      <c r="CK53">
        <v>104.5</v>
      </c>
      <c r="CM53">
        <v>16.3</v>
      </c>
      <c r="CO53">
        <v>8.5</v>
      </c>
      <c r="CQ53">
        <v>36.299999999999997</v>
      </c>
      <c r="CS53">
        <v>47.7</v>
      </c>
      <c r="CU53">
        <v>8881.2000000000007</v>
      </c>
      <c r="CW53">
        <v>0.8</v>
      </c>
      <c r="CY53">
        <v>1399.1</v>
      </c>
      <c r="DA53">
        <v>223.7</v>
      </c>
      <c r="DC53">
        <v>1</v>
      </c>
      <c r="DE53">
        <v>7.7</v>
      </c>
      <c r="DG53">
        <v>14.4</v>
      </c>
      <c r="DI53">
        <v>42.7</v>
      </c>
      <c r="DK53">
        <v>26.3</v>
      </c>
      <c r="DM53">
        <v>1774.3</v>
      </c>
      <c r="DO53">
        <v>6.5</v>
      </c>
      <c r="DQ53">
        <v>455.6</v>
      </c>
    </row>
    <row r="54" spans="1:121" x14ac:dyDescent="0.2">
      <c r="D54" t="s">
        <v>63</v>
      </c>
      <c r="G54">
        <v>4.5440000000000001E-2</v>
      </c>
      <c r="H54" t="s">
        <v>75</v>
      </c>
      <c r="I54">
        <v>1.5890000000000001E-2</v>
      </c>
      <c r="J54" t="s">
        <v>75</v>
      </c>
      <c r="K54">
        <v>2.5149999999999999E-2</v>
      </c>
      <c r="L54" t="s">
        <v>75</v>
      </c>
      <c r="M54">
        <v>-6.0800000000000003E-3</v>
      </c>
      <c r="N54" t="s">
        <v>75</v>
      </c>
      <c r="O54">
        <v>3.5799999999999998E-3</v>
      </c>
      <c r="P54" t="s">
        <v>75</v>
      </c>
      <c r="Q54">
        <v>2.5950000000000001E-2</v>
      </c>
      <c r="R54" t="s">
        <v>75</v>
      </c>
      <c r="S54">
        <v>2.9299999999999999E-3</v>
      </c>
      <c r="T54" t="s">
        <v>75</v>
      </c>
      <c r="U54">
        <v>1.585E-2</v>
      </c>
      <c r="V54" t="s">
        <v>75</v>
      </c>
      <c r="W54">
        <v>6.2899999999999996E-3</v>
      </c>
      <c r="X54" t="s">
        <v>75</v>
      </c>
      <c r="Y54">
        <v>1.0200000000000001E-3</v>
      </c>
      <c r="Z54" t="s">
        <v>75</v>
      </c>
      <c r="AB54" t="s">
        <v>76</v>
      </c>
      <c r="AC54">
        <v>4.4380000000000003E-2</v>
      </c>
      <c r="AD54" t="s">
        <v>75</v>
      </c>
      <c r="AE54">
        <v>4.2689999999999999E-2</v>
      </c>
      <c r="AF54" t="s">
        <v>75</v>
      </c>
      <c r="AG54">
        <v>-2.5000000000000001E-3</v>
      </c>
      <c r="AH54" t="s">
        <v>75</v>
      </c>
      <c r="AI54">
        <v>3.3730000000000003E-2</v>
      </c>
      <c r="AJ54" t="s">
        <v>75</v>
      </c>
      <c r="AK54">
        <v>-1.9E-3</v>
      </c>
      <c r="AL54" t="s">
        <v>75</v>
      </c>
      <c r="AM54">
        <v>-5.5500000000000002E-3</v>
      </c>
      <c r="AN54" t="s">
        <v>75</v>
      </c>
      <c r="AO54">
        <v>1.99E-3</v>
      </c>
      <c r="AP54" t="s">
        <v>75</v>
      </c>
      <c r="AQ54">
        <v>-3.2000000000000003E-4</v>
      </c>
      <c r="AR54" t="s">
        <v>75</v>
      </c>
      <c r="AS54">
        <v>8.1999999999999998E-4</v>
      </c>
      <c r="AT54" t="s">
        <v>75</v>
      </c>
      <c r="AU54">
        <v>1.6100000000000001E-3</v>
      </c>
      <c r="AV54" t="s">
        <v>75</v>
      </c>
      <c r="AW54">
        <v>-9.0000000000000006E-5</v>
      </c>
      <c r="AX54" t="s">
        <v>75</v>
      </c>
      <c r="AY54">
        <v>7.6400000000000001E-3</v>
      </c>
      <c r="AZ54" t="s">
        <v>75</v>
      </c>
      <c r="BC54">
        <v>0.49009000000000003</v>
      </c>
      <c r="BD54" t="s">
        <v>75</v>
      </c>
      <c r="BE54">
        <v>3.46E-3</v>
      </c>
      <c r="BF54" t="s">
        <v>75</v>
      </c>
      <c r="BG54">
        <v>-3.0079999999999999E-2</v>
      </c>
      <c r="BH54" t="s">
        <v>75</v>
      </c>
      <c r="BI54">
        <v>-9.5399999999999999E-3</v>
      </c>
      <c r="BJ54" t="s">
        <v>75</v>
      </c>
      <c r="BK54">
        <v>-8.4999999999999995E-4</v>
      </c>
      <c r="BL54" t="s">
        <v>75</v>
      </c>
      <c r="BM54">
        <v>-6.4700000000000001E-3</v>
      </c>
      <c r="BN54" t="s">
        <v>75</v>
      </c>
      <c r="BO54">
        <v>8.745E-2</v>
      </c>
      <c r="BP54" t="s">
        <v>75</v>
      </c>
      <c r="BQ54">
        <v>4.2450000000000002E-2</v>
      </c>
      <c r="BR54" t="s">
        <v>75</v>
      </c>
      <c r="BS54">
        <v>-2.6780000000000002E-2</v>
      </c>
      <c r="BT54" t="s">
        <v>75</v>
      </c>
      <c r="BU54">
        <v>0.10351</v>
      </c>
      <c r="BV54" t="s">
        <v>75</v>
      </c>
      <c r="BW54">
        <v>-5.951E-2</v>
      </c>
      <c r="BX54" t="s">
        <v>75</v>
      </c>
      <c r="BY54">
        <v>-0.39226</v>
      </c>
      <c r="BZ54" t="s">
        <v>75</v>
      </c>
      <c r="CA54">
        <v>0.49242000000000002</v>
      </c>
      <c r="CB54" t="s">
        <v>75</v>
      </c>
      <c r="CC54">
        <v>-8.5500000000000003E-3</v>
      </c>
      <c r="CD54" t="s">
        <v>75</v>
      </c>
      <c r="CE54">
        <v>2.2499999999999998E-3</v>
      </c>
      <c r="CF54" t="s">
        <v>75</v>
      </c>
      <c r="CG54">
        <v>-1.0540000000000001E-2</v>
      </c>
      <c r="CH54" t="s">
        <v>75</v>
      </c>
      <c r="CI54">
        <v>-2.6620000000000001E-2</v>
      </c>
      <c r="CJ54" t="s">
        <v>75</v>
      </c>
      <c r="CK54">
        <v>-0.28926000000000002</v>
      </c>
      <c r="CL54" t="s">
        <v>75</v>
      </c>
      <c r="CM54">
        <v>-6.2599999999999999E-3</v>
      </c>
      <c r="CN54" t="s">
        <v>75</v>
      </c>
      <c r="CO54">
        <v>1.959E-2</v>
      </c>
      <c r="CP54" t="s">
        <v>75</v>
      </c>
      <c r="CQ54">
        <v>-1.9879999999999998E-2</v>
      </c>
      <c r="CR54" t="s">
        <v>75</v>
      </c>
      <c r="CS54">
        <v>-5.382E-2</v>
      </c>
      <c r="CT54" t="s">
        <v>75</v>
      </c>
      <c r="CV54" t="s">
        <v>76</v>
      </c>
      <c r="CW54">
        <v>-2.2800000000000001E-2</v>
      </c>
      <c r="CX54" t="s">
        <v>75</v>
      </c>
      <c r="DA54">
        <v>0.29926000000000003</v>
      </c>
      <c r="DB54" t="s">
        <v>75</v>
      </c>
      <c r="DC54">
        <v>-8.4000000000000003E-4</v>
      </c>
      <c r="DD54" t="s">
        <v>75</v>
      </c>
      <c r="DE54">
        <v>-1.1900000000000001E-2</v>
      </c>
      <c r="DF54" t="s">
        <v>75</v>
      </c>
      <c r="DG54">
        <v>9.443E-2</v>
      </c>
      <c r="DH54" t="s">
        <v>75</v>
      </c>
      <c r="DI54">
        <v>1.83815</v>
      </c>
      <c r="DJ54" t="s">
        <v>75</v>
      </c>
      <c r="DL54" t="s">
        <v>76</v>
      </c>
      <c r="DN54" t="s">
        <v>76</v>
      </c>
      <c r="DO54">
        <v>-5.3299999999999997E-3</v>
      </c>
      <c r="DP54" t="s">
        <v>75</v>
      </c>
    </row>
    <row r="55" spans="1:121" x14ac:dyDescent="0.2">
      <c r="D55" t="s">
        <v>64</v>
      </c>
      <c r="G55">
        <v>6.0600000000000003E-3</v>
      </c>
      <c r="H55" t="s">
        <v>75</v>
      </c>
      <c r="I55">
        <v>2.0100000000000001E-3</v>
      </c>
      <c r="J55" t="s">
        <v>75</v>
      </c>
      <c r="K55">
        <v>2.4499999999999999E-3</v>
      </c>
      <c r="L55" t="s">
        <v>75</v>
      </c>
      <c r="M55">
        <v>6.8999999999999997E-4</v>
      </c>
      <c r="N55" t="s">
        <v>75</v>
      </c>
      <c r="O55">
        <v>6.9999999999999999E-4</v>
      </c>
      <c r="P55" t="s">
        <v>75</v>
      </c>
      <c r="Q55">
        <v>5.9999999999999995E-4</v>
      </c>
      <c r="R55" t="s">
        <v>75</v>
      </c>
      <c r="S55">
        <v>4.8000000000000001E-4</v>
      </c>
      <c r="T55" t="s">
        <v>75</v>
      </c>
      <c r="U55">
        <v>1.1900000000000001E-3</v>
      </c>
      <c r="V55" t="s">
        <v>75</v>
      </c>
      <c r="W55">
        <v>5.5000000000000003E-4</v>
      </c>
      <c r="X55" t="s">
        <v>75</v>
      </c>
      <c r="Y55">
        <v>3.6999999999999999E-4</v>
      </c>
      <c r="Z55" t="s">
        <v>75</v>
      </c>
      <c r="AC55">
        <v>1.9000000000000001E-4</v>
      </c>
      <c r="AD55" t="s">
        <v>75</v>
      </c>
      <c r="AE55">
        <v>2.5999999999999998E-4</v>
      </c>
      <c r="AF55" t="s">
        <v>75</v>
      </c>
      <c r="AG55">
        <v>5.9000000000000003E-4</v>
      </c>
      <c r="AH55" t="s">
        <v>75</v>
      </c>
      <c r="AI55">
        <v>2E-3</v>
      </c>
      <c r="AJ55" t="s">
        <v>75</v>
      </c>
      <c r="AK55">
        <v>4.0000000000000003E-5</v>
      </c>
      <c r="AL55" t="s">
        <v>75</v>
      </c>
      <c r="AM55">
        <v>2.0000000000000002E-5</v>
      </c>
      <c r="AN55" t="s">
        <v>75</v>
      </c>
      <c r="AO55">
        <v>1.1E-4</v>
      </c>
      <c r="AP55" t="s">
        <v>75</v>
      </c>
      <c r="AQ55">
        <v>2.0000000000000001E-4</v>
      </c>
      <c r="AR55" t="s">
        <v>75</v>
      </c>
      <c r="AS55">
        <v>1.3999999999999999E-4</v>
      </c>
      <c r="AT55" t="s">
        <v>75</v>
      </c>
      <c r="AU55">
        <v>6.0000000000000002E-5</v>
      </c>
      <c r="AV55" t="s">
        <v>75</v>
      </c>
      <c r="AW55">
        <v>1.4999999999999999E-4</v>
      </c>
      <c r="AX55" t="s">
        <v>75</v>
      </c>
      <c r="AY55">
        <v>2.9E-4</v>
      </c>
      <c r="AZ55" t="s">
        <v>75</v>
      </c>
      <c r="BC55">
        <v>3.3779999999999998E-2</v>
      </c>
      <c r="BD55" t="s">
        <v>75</v>
      </c>
      <c r="BE55">
        <v>3.0000000000000001E-5</v>
      </c>
      <c r="BF55" t="s">
        <v>75</v>
      </c>
      <c r="BG55">
        <v>5.9000000000000003E-4</v>
      </c>
      <c r="BH55" t="s">
        <v>75</v>
      </c>
      <c r="BI55">
        <v>6.9999999999999994E-5</v>
      </c>
      <c r="BJ55" t="s">
        <v>75</v>
      </c>
      <c r="BK55">
        <v>2.9E-4</v>
      </c>
      <c r="BL55" t="s">
        <v>75</v>
      </c>
      <c r="BM55">
        <v>4.0000000000000003E-5</v>
      </c>
      <c r="BN55" t="s">
        <v>75</v>
      </c>
      <c r="BO55">
        <v>3.6510000000000001E-2</v>
      </c>
      <c r="BP55" t="s">
        <v>75</v>
      </c>
      <c r="BQ55">
        <v>1.532E-2</v>
      </c>
      <c r="BR55" t="s">
        <v>75</v>
      </c>
      <c r="BS55">
        <v>2.154E-2</v>
      </c>
      <c r="BT55" t="s">
        <v>75</v>
      </c>
      <c r="BU55">
        <v>0.56347999999999998</v>
      </c>
      <c r="BV55" t="s">
        <v>75</v>
      </c>
      <c r="BW55">
        <v>2.6169999999999999E-2</v>
      </c>
      <c r="BX55" t="s">
        <v>75</v>
      </c>
      <c r="BY55">
        <v>0.13153999999999999</v>
      </c>
      <c r="BZ55" t="s">
        <v>75</v>
      </c>
      <c r="CA55">
        <v>9.3469999999999998E-2</v>
      </c>
      <c r="CB55" t="s">
        <v>75</v>
      </c>
      <c r="CC55">
        <v>3.8899999999999998E-3</v>
      </c>
      <c r="CD55" t="s">
        <v>75</v>
      </c>
      <c r="CE55">
        <v>5.1000000000000004E-4</v>
      </c>
      <c r="CF55" t="s">
        <v>75</v>
      </c>
      <c r="CG55">
        <v>4.4999999999999999E-4</v>
      </c>
      <c r="CH55" t="s">
        <v>75</v>
      </c>
      <c r="CI55">
        <v>3.4000000000000002E-4</v>
      </c>
      <c r="CJ55" t="s">
        <v>75</v>
      </c>
      <c r="CK55">
        <v>2.5899999999999999E-3</v>
      </c>
      <c r="CL55" t="s">
        <v>75</v>
      </c>
      <c r="CM55">
        <v>2.7E-4</v>
      </c>
      <c r="CN55" t="s">
        <v>75</v>
      </c>
      <c r="CO55">
        <v>4.4000000000000002E-4</v>
      </c>
      <c r="CP55" t="s">
        <v>75</v>
      </c>
      <c r="CQ55">
        <v>1.3500000000000001E-3</v>
      </c>
      <c r="CR55" t="s">
        <v>75</v>
      </c>
      <c r="CS55">
        <v>1.2760000000000001E-2</v>
      </c>
      <c r="CT55" t="s">
        <v>75</v>
      </c>
      <c r="CW55">
        <v>5.0000000000000002E-5</v>
      </c>
      <c r="CX55" t="s">
        <v>75</v>
      </c>
      <c r="DA55">
        <v>9.5999999999999992E-3</v>
      </c>
      <c r="DB55" t="s">
        <v>75</v>
      </c>
      <c r="DC55">
        <v>4.0000000000000002E-4</v>
      </c>
      <c r="DD55" t="s">
        <v>75</v>
      </c>
      <c r="DE55">
        <v>3.4099999999999998E-3</v>
      </c>
      <c r="DF55" t="s">
        <v>75</v>
      </c>
      <c r="DG55">
        <v>6.8459999999999993E-2</v>
      </c>
      <c r="DH55" t="s">
        <v>75</v>
      </c>
      <c r="DI55">
        <v>5.0349999999999999E-2</v>
      </c>
      <c r="DJ55" t="s">
        <v>75</v>
      </c>
      <c r="DO55">
        <v>8.3000000000000001E-4</v>
      </c>
      <c r="DP55" t="s">
        <v>75</v>
      </c>
    </row>
    <row r="56" spans="1:121" x14ac:dyDescent="0.2">
      <c r="D56" t="s">
        <v>65</v>
      </c>
      <c r="G56" t="s">
        <v>66</v>
      </c>
      <c r="I56" t="s">
        <v>66</v>
      </c>
      <c r="K56" t="s">
        <v>66</v>
      </c>
      <c r="M56" t="s">
        <v>66</v>
      </c>
      <c r="O56" t="s">
        <v>66</v>
      </c>
      <c r="Q56" t="s">
        <v>66</v>
      </c>
      <c r="S56" t="s">
        <v>66</v>
      </c>
      <c r="U56" t="s">
        <v>66</v>
      </c>
      <c r="W56" t="s">
        <v>66</v>
      </c>
      <c r="Y56" t="s">
        <v>66</v>
      </c>
      <c r="AA56" t="s">
        <v>66</v>
      </c>
      <c r="AC56" t="s">
        <v>66</v>
      </c>
      <c r="AE56" t="s">
        <v>66</v>
      </c>
      <c r="AG56" t="s">
        <v>66</v>
      </c>
      <c r="AI56" t="s">
        <v>66</v>
      </c>
      <c r="AK56" t="s">
        <v>66</v>
      </c>
      <c r="AM56" t="s">
        <v>66</v>
      </c>
      <c r="AO56" t="s">
        <v>66</v>
      </c>
      <c r="AQ56" t="s">
        <v>66</v>
      </c>
      <c r="AS56" t="s">
        <v>66</v>
      </c>
      <c r="AU56" t="s">
        <v>66</v>
      </c>
      <c r="AW56" t="s">
        <v>66</v>
      </c>
      <c r="AY56" t="s">
        <v>66</v>
      </c>
      <c r="BA56" t="s">
        <v>66</v>
      </c>
      <c r="BC56" t="s">
        <v>66</v>
      </c>
      <c r="BE56" t="s">
        <v>66</v>
      </c>
      <c r="BG56" t="s">
        <v>66</v>
      </c>
      <c r="BI56" t="s">
        <v>66</v>
      </c>
      <c r="BK56" t="s">
        <v>66</v>
      </c>
      <c r="BM56" t="s">
        <v>66</v>
      </c>
      <c r="BO56" t="s">
        <v>66</v>
      </c>
      <c r="BQ56" t="s">
        <v>66</v>
      </c>
      <c r="BS56" t="s">
        <v>66</v>
      </c>
      <c r="BU56" t="s">
        <v>66</v>
      </c>
      <c r="BW56" t="s">
        <v>66</v>
      </c>
      <c r="BY56" t="s">
        <v>66</v>
      </c>
      <c r="CA56" t="s">
        <v>66</v>
      </c>
      <c r="CC56" t="s">
        <v>66</v>
      </c>
      <c r="CE56" t="s">
        <v>66</v>
      </c>
      <c r="CG56" t="s">
        <v>66</v>
      </c>
      <c r="CI56" t="s">
        <v>66</v>
      </c>
      <c r="CK56" t="s">
        <v>66</v>
      </c>
      <c r="CM56" t="s">
        <v>66</v>
      </c>
      <c r="CO56" t="s">
        <v>66</v>
      </c>
      <c r="CQ56" t="s">
        <v>66</v>
      </c>
      <c r="CS56" t="s">
        <v>66</v>
      </c>
      <c r="CU56" t="s">
        <v>66</v>
      </c>
      <c r="CW56" t="s">
        <v>66</v>
      </c>
      <c r="CY56" t="s">
        <v>66</v>
      </c>
      <c r="DA56" t="s">
        <v>66</v>
      </c>
      <c r="DC56" t="s">
        <v>66</v>
      </c>
      <c r="DE56" t="s">
        <v>66</v>
      </c>
      <c r="DG56" t="s">
        <v>66</v>
      </c>
      <c r="DI56" t="s">
        <v>66</v>
      </c>
      <c r="DK56" t="s">
        <v>66</v>
      </c>
      <c r="DM56" t="s">
        <v>66</v>
      </c>
      <c r="DO56" t="s">
        <v>66</v>
      </c>
      <c r="DQ56" t="s">
        <v>66</v>
      </c>
    </row>
    <row r="57" spans="1:121" x14ac:dyDescent="0.2">
      <c r="A57" t="s">
        <v>581</v>
      </c>
      <c r="D57" t="s">
        <v>60</v>
      </c>
      <c r="E57" t="s">
        <v>61</v>
      </c>
      <c r="G57">
        <v>45237.3</v>
      </c>
      <c r="I57">
        <v>8008.3</v>
      </c>
      <c r="K57">
        <v>213168.1</v>
      </c>
      <c r="M57">
        <v>6214568.5</v>
      </c>
      <c r="O57">
        <v>3357.3</v>
      </c>
      <c r="Q57">
        <v>335323.7</v>
      </c>
      <c r="S57">
        <v>5387</v>
      </c>
      <c r="U57">
        <v>3780.7</v>
      </c>
      <c r="W57">
        <v>10470.4</v>
      </c>
      <c r="Y57">
        <v>8175.2</v>
      </c>
      <c r="AA57">
        <v>2946253</v>
      </c>
      <c r="AC57">
        <v>1321.7</v>
      </c>
      <c r="AE57">
        <v>270436.8</v>
      </c>
      <c r="AG57">
        <v>20336.8</v>
      </c>
      <c r="AI57">
        <v>1576732.2</v>
      </c>
      <c r="AK57">
        <v>3215.5</v>
      </c>
      <c r="AM57">
        <v>3027.8</v>
      </c>
      <c r="AO57">
        <v>702.4</v>
      </c>
      <c r="AQ57">
        <v>610.6</v>
      </c>
      <c r="AS57">
        <v>874.4</v>
      </c>
      <c r="AU57">
        <v>3276</v>
      </c>
      <c r="AW57">
        <v>1049.5999999999999</v>
      </c>
      <c r="AY57">
        <v>4570.3</v>
      </c>
      <c r="BA57">
        <v>657505.30000000005</v>
      </c>
      <c r="BC57">
        <v>612534</v>
      </c>
      <c r="BE57">
        <v>137925.70000000001</v>
      </c>
      <c r="BG57">
        <v>125883.5</v>
      </c>
      <c r="BI57">
        <v>107614.6</v>
      </c>
      <c r="BK57">
        <v>305872.90000000002</v>
      </c>
      <c r="BM57">
        <v>273520</v>
      </c>
      <c r="BO57">
        <v>16104063.800000001</v>
      </c>
      <c r="BQ57">
        <v>4270605.9000000004</v>
      </c>
      <c r="BS57">
        <v>138666.6</v>
      </c>
      <c r="BU57">
        <v>520290.4</v>
      </c>
      <c r="BW57">
        <v>526</v>
      </c>
      <c r="BY57">
        <v>28621.1</v>
      </c>
      <c r="CA57">
        <v>1038150.1</v>
      </c>
      <c r="CC57">
        <v>37</v>
      </c>
      <c r="CE57">
        <v>49178.6</v>
      </c>
      <c r="CG57">
        <v>22715.7</v>
      </c>
      <c r="CI57">
        <v>56737.1</v>
      </c>
      <c r="CK57">
        <v>130535.4</v>
      </c>
      <c r="CM57">
        <v>35245.9</v>
      </c>
      <c r="CO57">
        <v>19004.099999999999</v>
      </c>
      <c r="CQ57">
        <v>14385.2</v>
      </c>
      <c r="CS57">
        <v>6055.7</v>
      </c>
      <c r="CU57">
        <v>263547.40000000002</v>
      </c>
      <c r="CW57">
        <v>126.4</v>
      </c>
      <c r="CY57">
        <v>51491.7</v>
      </c>
      <c r="DA57">
        <v>763330.2</v>
      </c>
      <c r="DC57">
        <v>9.4</v>
      </c>
      <c r="DE57">
        <v>2934.4</v>
      </c>
      <c r="DG57">
        <v>69.599999999999994</v>
      </c>
      <c r="DI57">
        <v>812.6</v>
      </c>
      <c r="DK57">
        <v>1004.5</v>
      </c>
      <c r="DM57">
        <v>82137.100000000006</v>
      </c>
      <c r="DO57">
        <v>36.5</v>
      </c>
      <c r="DQ57">
        <v>18154.2</v>
      </c>
    </row>
    <row r="58" spans="1:121" x14ac:dyDescent="0.2">
      <c r="D58" t="s">
        <v>62</v>
      </c>
      <c r="E58" t="s">
        <v>61</v>
      </c>
      <c r="G58">
        <v>692.6</v>
      </c>
      <c r="I58">
        <v>50.9</v>
      </c>
      <c r="K58">
        <v>490.7</v>
      </c>
      <c r="M58">
        <v>112554</v>
      </c>
      <c r="O58">
        <v>345.3</v>
      </c>
      <c r="Q58">
        <v>4616.8</v>
      </c>
      <c r="S58">
        <v>103.1</v>
      </c>
      <c r="U58">
        <v>245.5</v>
      </c>
      <c r="W58">
        <v>71.400000000000006</v>
      </c>
      <c r="Y58">
        <v>90.2</v>
      </c>
      <c r="AA58">
        <v>54847.4</v>
      </c>
      <c r="AC58">
        <v>132.69999999999999</v>
      </c>
      <c r="AE58">
        <v>3681.4</v>
      </c>
      <c r="AG58">
        <v>715.8</v>
      </c>
      <c r="AI58">
        <v>33964.6</v>
      </c>
      <c r="AK58">
        <v>46.3</v>
      </c>
      <c r="AM58">
        <v>103.1</v>
      </c>
      <c r="AO58">
        <v>92.8</v>
      </c>
      <c r="AQ58">
        <v>28.2</v>
      </c>
      <c r="AS58">
        <v>57.8</v>
      </c>
      <c r="AU58">
        <v>152.5</v>
      </c>
      <c r="AW58">
        <v>45.7</v>
      </c>
      <c r="AY58">
        <v>195.1</v>
      </c>
      <c r="BA58">
        <v>9043.6</v>
      </c>
      <c r="BC58">
        <v>32553.7</v>
      </c>
      <c r="BE58">
        <v>1378.6</v>
      </c>
      <c r="BG58">
        <v>2715.5</v>
      </c>
      <c r="BI58">
        <v>458.4</v>
      </c>
      <c r="BK58">
        <v>7016.7</v>
      </c>
      <c r="BM58">
        <v>4214.5</v>
      </c>
      <c r="BO58">
        <v>705301.6</v>
      </c>
      <c r="BQ58">
        <v>132766.5</v>
      </c>
      <c r="BS58">
        <v>5810.7</v>
      </c>
      <c r="BU58">
        <v>10486</v>
      </c>
      <c r="BW58">
        <v>22.6</v>
      </c>
      <c r="BY58">
        <v>313.3</v>
      </c>
      <c r="CA58">
        <v>60407.8</v>
      </c>
      <c r="CC58">
        <v>18.5</v>
      </c>
      <c r="CE58">
        <v>2976.6</v>
      </c>
      <c r="CG58">
        <v>949</v>
      </c>
      <c r="CI58">
        <v>1349</v>
      </c>
      <c r="CK58">
        <v>4513.7</v>
      </c>
      <c r="CM58">
        <v>1296.4000000000001</v>
      </c>
      <c r="CO58">
        <v>202.1</v>
      </c>
      <c r="CQ58">
        <v>245.4</v>
      </c>
      <c r="CS58">
        <v>265.7</v>
      </c>
      <c r="CU58">
        <v>1153.9000000000001</v>
      </c>
      <c r="CW58">
        <v>7.2</v>
      </c>
      <c r="CY58">
        <v>12986.6</v>
      </c>
      <c r="DA58">
        <v>8916.2999999999993</v>
      </c>
      <c r="DC58">
        <v>3.5</v>
      </c>
      <c r="DE58">
        <v>78.2</v>
      </c>
      <c r="DG58">
        <v>14.8</v>
      </c>
      <c r="DI58">
        <v>16.8</v>
      </c>
      <c r="DK58">
        <v>71.8</v>
      </c>
      <c r="DM58">
        <v>1210.5</v>
      </c>
      <c r="DO58">
        <v>5.0999999999999996</v>
      </c>
      <c r="DQ58">
        <v>548.29999999999995</v>
      </c>
    </row>
    <row r="59" spans="1:121" x14ac:dyDescent="0.2">
      <c r="D59" t="s">
        <v>63</v>
      </c>
      <c r="G59">
        <v>0.33613999999999999</v>
      </c>
      <c r="H59" t="s">
        <v>75</v>
      </c>
      <c r="I59">
        <v>0.27594999999999997</v>
      </c>
      <c r="J59" t="s">
        <v>75</v>
      </c>
      <c r="K59">
        <v>0.27609</v>
      </c>
      <c r="L59" t="s">
        <v>75</v>
      </c>
      <c r="M59">
        <v>6.4755799999999999</v>
      </c>
      <c r="N59" t="s">
        <v>75</v>
      </c>
      <c r="O59">
        <v>5.8100000000000001E-3</v>
      </c>
      <c r="P59" t="s">
        <v>75</v>
      </c>
      <c r="Q59">
        <v>2.2532299999999998</v>
      </c>
      <c r="R59" t="s">
        <v>75</v>
      </c>
      <c r="S59">
        <v>4.1700000000000001E-3</v>
      </c>
      <c r="T59" t="s">
        <v>75</v>
      </c>
      <c r="U59">
        <v>2.1780000000000001E-2</v>
      </c>
      <c r="V59" t="s">
        <v>75</v>
      </c>
      <c r="W59">
        <v>2.6450000000000001E-2</v>
      </c>
      <c r="X59" t="s">
        <v>75</v>
      </c>
      <c r="Y59">
        <v>0.12515999999999999</v>
      </c>
      <c r="Z59" t="s">
        <v>75</v>
      </c>
      <c r="AB59" t="s">
        <v>76</v>
      </c>
      <c r="AC59">
        <v>4.6550000000000001E-2</v>
      </c>
      <c r="AD59" t="s">
        <v>75</v>
      </c>
      <c r="AE59">
        <v>1.08351</v>
      </c>
      <c r="AF59" t="s">
        <v>75</v>
      </c>
      <c r="AG59">
        <v>1E-4</v>
      </c>
      <c r="AH59" t="s">
        <v>75</v>
      </c>
      <c r="AI59">
        <v>10.27439</v>
      </c>
      <c r="AJ59" t="s">
        <v>75</v>
      </c>
      <c r="AK59">
        <v>1.2999999999999999E-4</v>
      </c>
      <c r="AL59" t="s">
        <v>75</v>
      </c>
      <c r="AM59">
        <v>-3.3400000000000001E-3</v>
      </c>
      <c r="AN59" t="s">
        <v>75</v>
      </c>
      <c r="AO59">
        <v>4.0699999999999998E-3</v>
      </c>
      <c r="AP59" t="s">
        <v>75</v>
      </c>
      <c r="AQ59">
        <v>1.74E-3</v>
      </c>
      <c r="AR59" t="s">
        <v>75</v>
      </c>
      <c r="AS59">
        <v>2.97E-3</v>
      </c>
      <c r="AT59" t="s">
        <v>75</v>
      </c>
      <c r="AU59">
        <v>3.5699999999999998E-3</v>
      </c>
      <c r="AV59" t="s">
        <v>75</v>
      </c>
      <c r="AW59">
        <v>1.81E-3</v>
      </c>
      <c r="AX59" t="s">
        <v>75</v>
      </c>
      <c r="AY59">
        <v>4.8399999999999997E-3</v>
      </c>
      <c r="AZ59" t="s">
        <v>75</v>
      </c>
      <c r="BC59">
        <v>-0.16916999999999999</v>
      </c>
      <c r="BD59" t="s">
        <v>75</v>
      </c>
      <c r="BE59">
        <v>0.13838</v>
      </c>
      <c r="BF59" t="s">
        <v>75</v>
      </c>
      <c r="BG59">
        <v>0.33443000000000001</v>
      </c>
      <c r="BH59" t="s">
        <v>75</v>
      </c>
      <c r="BI59">
        <v>0.35066999999999998</v>
      </c>
      <c r="BJ59" t="s">
        <v>75</v>
      </c>
      <c r="BK59">
        <v>0.36132999999999998</v>
      </c>
      <c r="BL59" t="s">
        <v>75</v>
      </c>
      <c r="BM59">
        <v>0.25509999999999999</v>
      </c>
      <c r="BN59" t="s">
        <v>75</v>
      </c>
      <c r="BO59">
        <v>434.12536</v>
      </c>
      <c r="BP59" t="s">
        <v>75</v>
      </c>
      <c r="BQ59">
        <v>176.63907</v>
      </c>
      <c r="BR59" t="s">
        <v>75</v>
      </c>
      <c r="BS59">
        <v>3.3569900000000001</v>
      </c>
      <c r="BT59" t="s">
        <v>75</v>
      </c>
      <c r="BU59">
        <v>5.71455</v>
      </c>
      <c r="BV59" t="s">
        <v>75</v>
      </c>
      <c r="BW59">
        <v>1.8110000000000001E-2</v>
      </c>
      <c r="BX59" t="s">
        <v>75</v>
      </c>
      <c r="BY59">
        <v>1.65744</v>
      </c>
      <c r="BZ59" t="s">
        <v>75</v>
      </c>
      <c r="CA59">
        <v>681.85401000000002</v>
      </c>
      <c r="CB59" t="s">
        <v>75</v>
      </c>
      <c r="CC59">
        <v>-3.7000000000000002E-3</v>
      </c>
      <c r="CD59" t="s">
        <v>75</v>
      </c>
      <c r="CE59">
        <v>0.90130999999999994</v>
      </c>
      <c r="CF59" t="s">
        <v>75</v>
      </c>
      <c r="CG59">
        <v>0.45821000000000001</v>
      </c>
      <c r="CH59" t="s">
        <v>75</v>
      </c>
      <c r="CI59">
        <v>0.87727999999999995</v>
      </c>
      <c r="CJ59" t="s">
        <v>75</v>
      </c>
      <c r="CK59">
        <v>1.9373800000000001</v>
      </c>
      <c r="CL59" t="s">
        <v>75</v>
      </c>
      <c r="CM59">
        <v>0.60684000000000005</v>
      </c>
      <c r="CN59" t="s">
        <v>75</v>
      </c>
      <c r="CO59">
        <v>1.32233</v>
      </c>
      <c r="CP59" t="s">
        <v>75</v>
      </c>
      <c r="CQ59">
        <v>0.50378999999999996</v>
      </c>
      <c r="CR59" t="s">
        <v>75</v>
      </c>
      <c r="CS59">
        <v>1.8458300000000001</v>
      </c>
      <c r="CT59" t="s">
        <v>75</v>
      </c>
      <c r="CV59" t="s">
        <v>76</v>
      </c>
      <c r="CW59">
        <v>-1.9970000000000002E-2</v>
      </c>
      <c r="CX59" t="s">
        <v>75</v>
      </c>
      <c r="DA59">
        <v>40.653530000000003</v>
      </c>
      <c r="DB59" t="s">
        <v>75</v>
      </c>
      <c r="DC59">
        <v>2.6800000000000001E-3</v>
      </c>
      <c r="DD59" t="s">
        <v>75</v>
      </c>
      <c r="DE59">
        <v>1.1745399999999999</v>
      </c>
      <c r="DF59" t="s">
        <v>75</v>
      </c>
      <c r="DG59">
        <v>0.26657999999999998</v>
      </c>
      <c r="DH59" t="s">
        <v>75</v>
      </c>
      <c r="DI59">
        <v>0.82840000000000003</v>
      </c>
      <c r="DJ59" t="s">
        <v>75</v>
      </c>
      <c r="DL59" t="s">
        <v>76</v>
      </c>
      <c r="DN59" t="s">
        <v>76</v>
      </c>
      <c r="DO59">
        <v>-3.31E-3</v>
      </c>
      <c r="DP59" t="s">
        <v>75</v>
      </c>
    </row>
    <row r="60" spans="1:121" x14ac:dyDescent="0.2">
      <c r="D60" t="s">
        <v>64</v>
      </c>
      <c r="G60">
        <v>2.7799999999999999E-3</v>
      </c>
      <c r="H60" t="s">
        <v>75</v>
      </c>
      <c r="I60">
        <v>5.7800000000000004E-3</v>
      </c>
      <c r="J60" t="s">
        <v>75</v>
      </c>
      <c r="K60">
        <v>4.0600000000000002E-3</v>
      </c>
      <c r="L60" t="s">
        <v>75</v>
      </c>
      <c r="M60">
        <v>0.10471999999999999</v>
      </c>
      <c r="N60" t="s">
        <v>75</v>
      </c>
      <c r="O60">
        <v>2.7E-4</v>
      </c>
      <c r="P60" t="s">
        <v>75</v>
      </c>
      <c r="Q60">
        <v>8.9300000000000004E-3</v>
      </c>
      <c r="R60" t="s">
        <v>75</v>
      </c>
      <c r="S60">
        <v>6.0000000000000002E-5</v>
      </c>
      <c r="T60" t="s">
        <v>75</v>
      </c>
      <c r="U60">
        <v>1.2099999999999999E-3</v>
      </c>
      <c r="V60" t="s">
        <v>75</v>
      </c>
      <c r="W60">
        <v>4.6000000000000001E-4</v>
      </c>
      <c r="X60" t="s">
        <v>75</v>
      </c>
      <c r="Y60">
        <v>3.4000000000000002E-4</v>
      </c>
      <c r="Z60" t="s">
        <v>75</v>
      </c>
      <c r="AC60">
        <v>4.8000000000000001E-4</v>
      </c>
      <c r="AD60" t="s">
        <v>75</v>
      </c>
      <c r="AE60">
        <v>3.2799999999999999E-3</v>
      </c>
      <c r="AF60" t="s">
        <v>75</v>
      </c>
      <c r="AG60">
        <v>3.8000000000000002E-4</v>
      </c>
      <c r="AH60" t="s">
        <v>75</v>
      </c>
      <c r="AI60">
        <v>0.10118000000000001</v>
      </c>
      <c r="AJ60" t="s">
        <v>75</v>
      </c>
      <c r="AK60">
        <v>5.0000000000000002E-5</v>
      </c>
      <c r="AL60" t="s">
        <v>75</v>
      </c>
      <c r="AM60">
        <v>5.0000000000000002E-5</v>
      </c>
      <c r="AN60" t="s">
        <v>75</v>
      </c>
      <c r="AO60">
        <v>3.3E-4</v>
      </c>
      <c r="AP60" t="s">
        <v>75</v>
      </c>
      <c r="AQ60">
        <v>1.4999999999999999E-4</v>
      </c>
      <c r="AR60" t="s">
        <v>75</v>
      </c>
      <c r="AS60">
        <v>2.1000000000000001E-4</v>
      </c>
      <c r="AT60" t="s">
        <v>75</v>
      </c>
      <c r="AU60">
        <v>9.0000000000000006E-5</v>
      </c>
      <c r="AV60" t="s">
        <v>75</v>
      </c>
      <c r="AW60">
        <v>1E-4</v>
      </c>
      <c r="AX60" t="s">
        <v>75</v>
      </c>
      <c r="AY60">
        <v>5.1000000000000004E-4</v>
      </c>
      <c r="AZ60" t="s">
        <v>75</v>
      </c>
      <c r="BC60">
        <v>0.11670999999999999</v>
      </c>
      <c r="BD60" t="s">
        <v>75</v>
      </c>
      <c r="BE60">
        <v>3.1700000000000001E-3</v>
      </c>
      <c r="BF60" t="s">
        <v>75</v>
      </c>
      <c r="BG60">
        <v>1.112E-2</v>
      </c>
      <c r="BH60" t="s">
        <v>75</v>
      </c>
      <c r="BI60">
        <v>6.4900000000000001E-3</v>
      </c>
      <c r="BJ60" t="s">
        <v>75</v>
      </c>
      <c r="BK60">
        <v>1.0030000000000001E-2</v>
      </c>
      <c r="BL60" t="s">
        <v>75</v>
      </c>
      <c r="BM60">
        <v>6.5700000000000003E-3</v>
      </c>
      <c r="BN60" t="s">
        <v>75</v>
      </c>
      <c r="BO60">
        <v>144.18131</v>
      </c>
      <c r="BP60" t="s">
        <v>75</v>
      </c>
      <c r="BQ60">
        <v>57.768749999999997</v>
      </c>
      <c r="BR60" t="s">
        <v>75</v>
      </c>
      <c r="BS60">
        <v>1.29756</v>
      </c>
      <c r="BT60" t="s">
        <v>75</v>
      </c>
      <c r="BU60">
        <v>7.5606099999999996</v>
      </c>
      <c r="BV60" t="s">
        <v>75</v>
      </c>
      <c r="BW60">
        <v>6.6720000000000002E-2</v>
      </c>
      <c r="BX60" t="s">
        <v>75</v>
      </c>
      <c r="BY60">
        <v>2.8413599999999999</v>
      </c>
      <c r="BZ60" t="s">
        <v>75</v>
      </c>
      <c r="CA60">
        <v>246.12924000000001</v>
      </c>
      <c r="CB60" t="s">
        <v>75</v>
      </c>
      <c r="CC60">
        <v>8.4600000000000005E-3</v>
      </c>
      <c r="CD60" t="s">
        <v>75</v>
      </c>
      <c r="CE60">
        <v>0.32530999999999999</v>
      </c>
      <c r="CF60" t="s">
        <v>75</v>
      </c>
      <c r="CG60">
        <v>0.16214000000000001</v>
      </c>
      <c r="CH60" t="s">
        <v>75</v>
      </c>
      <c r="CI60">
        <v>0.29049999999999998</v>
      </c>
      <c r="CJ60" t="s">
        <v>75</v>
      </c>
      <c r="CK60">
        <v>0.75463999999999998</v>
      </c>
      <c r="CL60" t="s">
        <v>75</v>
      </c>
      <c r="CM60">
        <v>0.20382</v>
      </c>
      <c r="CN60" t="s">
        <v>75</v>
      </c>
      <c r="CO60">
        <v>0.40237000000000001</v>
      </c>
      <c r="CP60" t="s">
        <v>75</v>
      </c>
      <c r="CQ60">
        <v>0.16250000000000001</v>
      </c>
      <c r="CR60" t="s">
        <v>75</v>
      </c>
      <c r="CS60">
        <v>0.65810000000000002</v>
      </c>
      <c r="CT60" t="s">
        <v>75</v>
      </c>
      <c r="CW60">
        <v>1.89E-3</v>
      </c>
      <c r="CX60" t="s">
        <v>75</v>
      </c>
      <c r="DA60">
        <v>0.78554000000000002</v>
      </c>
      <c r="DB60" t="s">
        <v>75</v>
      </c>
      <c r="DC60">
        <v>1.47E-3</v>
      </c>
      <c r="DD60" t="s">
        <v>75</v>
      </c>
      <c r="DE60">
        <v>2.1909999999999999E-2</v>
      </c>
      <c r="DF60" t="s">
        <v>75</v>
      </c>
      <c r="DG60">
        <v>6.6220000000000001E-2</v>
      </c>
      <c r="DH60" t="s">
        <v>75</v>
      </c>
      <c r="DI60">
        <v>2.1649999999999999E-2</v>
      </c>
      <c r="DJ60" t="s">
        <v>75</v>
      </c>
      <c r="DO60">
        <v>6.8999999999999997E-4</v>
      </c>
      <c r="DP60" t="s">
        <v>75</v>
      </c>
    </row>
    <row r="61" spans="1:121" x14ac:dyDescent="0.2">
      <c r="D61" t="s">
        <v>65</v>
      </c>
      <c r="G61" t="s">
        <v>66</v>
      </c>
      <c r="I61" t="s">
        <v>66</v>
      </c>
      <c r="K61" t="s">
        <v>66</v>
      </c>
      <c r="M61" t="s">
        <v>66</v>
      </c>
      <c r="O61" t="s">
        <v>66</v>
      </c>
      <c r="Q61" t="s">
        <v>66</v>
      </c>
      <c r="S61" t="s">
        <v>66</v>
      </c>
      <c r="U61" t="s">
        <v>66</v>
      </c>
      <c r="W61" t="s">
        <v>66</v>
      </c>
      <c r="Y61" t="s">
        <v>66</v>
      </c>
      <c r="AA61" t="s">
        <v>66</v>
      </c>
      <c r="AC61" t="s">
        <v>66</v>
      </c>
      <c r="AE61" t="s">
        <v>66</v>
      </c>
      <c r="AG61" t="s">
        <v>66</v>
      </c>
      <c r="AI61" t="s">
        <v>66</v>
      </c>
      <c r="AK61" t="s">
        <v>66</v>
      </c>
      <c r="AM61" t="s">
        <v>66</v>
      </c>
      <c r="AO61" t="s">
        <v>66</v>
      </c>
      <c r="AQ61" t="s">
        <v>66</v>
      </c>
      <c r="AS61" t="s">
        <v>66</v>
      </c>
      <c r="AU61" t="s">
        <v>66</v>
      </c>
      <c r="AW61" t="s">
        <v>66</v>
      </c>
      <c r="AY61" t="s">
        <v>66</v>
      </c>
      <c r="BA61" t="s">
        <v>66</v>
      </c>
      <c r="BC61" t="s">
        <v>66</v>
      </c>
      <c r="BE61" t="s">
        <v>66</v>
      </c>
      <c r="BG61" t="s">
        <v>66</v>
      </c>
      <c r="BI61" t="s">
        <v>66</v>
      </c>
      <c r="BK61" t="s">
        <v>66</v>
      </c>
      <c r="BM61" t="s">
        <v>66</v>
      </c>
      <c r="BO61" t="s">
        <v>66</v>
      </c>
      <c r="BQ61" t="s">
        <v>66</v>
      </c>
      <c r="BS61" t="s">
        <v>66</v>
      </c>
      <c r="BU61" t="s">
        <v>66</v>
      </c>
      <c r="BW61" t="s">
        <v>66</v>
      </c>
      <c r="BY61" t="s">
        <v>66</v>
      </c>
      <c r="CA61" t="s">
        <v>66</v>
      </c>
      <c r="CC61" t="s">
        <v>66</v>
      </c>
      <c r="CE61" t="s">
        <v>66</v>
      </c>
      <c r="CG61" t="s">
        <v>66</v>
      </c>
      <c r="CI61" t="s">
        <v>66</v>
      </c>
      <c r="CK61" t="s">
        <v>66</v>
      </c>
      <c r="CM61" t="s">
        <v>66</v>
      </c>
      <c r="CO61" t="s">
        <v>66</v>
      </c>
      <c r="CQ61" t="s">
        <v>66</v>
      </c>
      <c r="CS61" t="s">
        <v>66</v>
      </c>
      <c r="CU61" t="s">
        <v>66</v>
      </c>
      <c r="CW61" t="s">
        <v>66</v>
      </c>
      <c r="CY61" t="s">
        <v>66</v>
      </c>
      <c r="DA61" t="s">
        <v>66</v>
      </c>
      <c r="DC61" t="s">
        <v>66</v>
      </c>
      <c r="DE61" t="s">
        <v>66</v>
      </c>
      <c r="DG61" t="s">
        <v>66</v>
      </c>
      <c r="DI61" t="s">
        <v>66</v>
      </c>
      <c r="DK61" t="s">
        <v>66</v>
      </c>
      <c r="DM61" t="s">
        <v>66</v>
      </c>
      <c r="DO61" t="s">
        <v>66</v>
      </c>
      <c r="DQ61" t="s">
        <v>66</v>
      </c>
    </row>
    <row r="62" spans="1:121" x14ac:dyDescent="0.2">
      <c r="A62" t="s">
        <v>582</v>
      </c>
      <c r="D62" t="s">
        <v>60</v>
      </c>
      <c r="E62" t="s">
        <v>61</v>
      </c>
      <c r="G62">
        <v>2336074.2999999998</v>
      </c>
      <c r="I62">
        <v>416061.9</v>
      </c>
      <c r="K62">
        <v>9643445.1999999993</v>
      </c>
      <c r="M62">
        <v>307535102.19999999</v>
      </c>
      <c r="O62">
        <v>40112.199999999997</v>
      </c>
      <c r="Q62">
        <v>16538504.1</v>
      </c>
      <c r="S62">
        <v>22631.4</v>
      </c>
      <c r="U62">
        <v>42012.9</v>
      </c>
      <c r="W62">
        <v>574439.30000000005</v>
      </c>
      <c r="Y62">
        <v>436032.8</v>
      </c>
      <c r="AA62">
        <v>2818909</v>
      </c>
      <c r="AC62">
        <v>16160.5</v>
      </c>
      <c r="AE62">
        <v>11905521.699999999</v>
      </c>
      <c r="AG62">
        <v>18981.7</v>
      </c>
      <c r="AI62">
        <v>70036343.400000006</v>
      </c>
      <c r="AK62">
        <v>24563.7</v>
      </c>
      <c r="AM62">
        <v>16936.900000000001</v>
      </c>
      <c r="AO62">
        <v>2868.2</v>
      </c>
      <c r="AQ62">
        <v>980.7</v>
      </c>
      <c r="AS62">
        <v>4058.2</v>
      </c>
      <c r="AU62">
        <v>1576.1</v>
      </c>
      <c r="AW62">
        <v>645</v>
      </c>
      <c r="AY62">
        <v>9107.7999999999993</v>
      </c>
      <c r="BA62">
        <v>635480.80000000005</v>
      </c>
      <c r="BC62">
        <v>5808.4</v>
      </c>
      <c r="BE62">
        <v>5833091.2000000002</v>
      </c>
      <c r="BG62">
        <v>5383333.5999999996</v>
      </c>
      <c r="BI62">
        <v>4496608.4000000004</v>
      </c>
      <c r="BK62">
        <v>11004755.699999999</v>
      </c>
      <c r="BM62">
        <v>10747707.699999999</v>
      </c>
      <c r="BO62">
        <v>842383782.5</v>
      </c>
      <c r="BQ62">
        <v>215236382.5</v>
      </c>
      <c r="BS62">
        <v>6145337.7999999998</v>
      </c>
      <c r="BU62">
        <v>829927.4</v>
      </c>
      <c r="BW62">
        <v>3491.3</v>
      </c>
      <c r="BY62">
        <v>53261.599999999999</v>
      </c>
      <c r="CA62">
        <v>52860349</v>
      </c>
      <c r="CC62">
        <v>321.3</v>
      </c>
      <c r="CE62">
        <v>2566704</v>
      </c>
      <c r="CG62">
        <v>1085615.1000000001</v>
      </c>
      <c r="CI62">
        <v>2941162.7</v>
      </c>
      <c r="CK62">
        <v>6301861.5</v>
      </c>
      <c r="CM62">
        <v>1875641.5</v>
      </c>
      <c r="CO62">
        <v>963920.9</v>
      </c>
      <c r="CQ62">
        <v>694560.3</v>
      </c>
      <c r="CS62">
        <v>288936.09999999998</v>
      </c>
      <c r="CU62">
        <v>248905.1</v>
      </c>
      <c r="CW62">
        <v>1732.8</v>
      </c>
      <c r="CY62">
        <v>57211.5</v>
      </c>
      <c r="DA62">
        <v>38861247.399999999</v>
      </c>
      <c r="DC62">
        <v>15.6</v>
      </c>
      <c r="DE62">
        <v>71916.3</v>
      </c>
      <c r="DG62">
        <v>1094.5999999999999</v>
      </c>
      <c r="DI62">
        <v>3726.9</v>
      </c>
      <c r="DK62">
        <v>1318.8</v>
      </c>
      <c r="DM62">
        <v>78926.600000000006</v>
      </c>
      <c r="DO62">
        <v>485.2</v>
      </c>
      <c r="DQ62">
        <v>17767.2</v>
      </c>
    </row>
    <row r="63" spans="1:121" x14ac:dyDescent="0.2">
      <c r="D63" t="s">
        <v>62</v>
      </c>
      <c r="E63" t="s">
        <v>61</v>
      </c>
      <c r="G63">
        <v>22436.7</v>
      </c>
      <c r="I63">
        <v>11405.7</v>
      </c>
      <c r="K63">
        <v>80229.5</v>
      </c>
      <c r="M63">
        <v>2327084.1</v>
      </c>
      <c r="O63">
        <v>678</v>
      </c>
      <c r="Q63">
        <v>225818.6</v>
      </c>
      <c r="S63">
        <v>592.5</v>
      </c>
      <c r="U63">
        <v>1805.1</v>
      </c>
      <c r="W63">
        <v>10744.6</v>
      </c>
      <c r="Y63">
        <v>7628.1</v>
      </c>
      <c r="AA63">
        <v>45770.3</v>
      </c>
      <c r="AC63">
        <v>786.7</v>
      </c>
      <c r="AE63">
        <v>178082</v>
      </c>
      <c r="AG63">
        <v>626.4</v>
      </c>
      <c r="AI63">
        <v>213299.8</v>
      </c>
      <c r="AK63">
        <v>785.8</v>
      </c>
      <c r="AM63">
        <v>424.7</v>
      </c>
      <c r="AO63">
        <v>176.7</v>
      </c>
      <c r="AQ63">
        <v>15.4</v>
      </c>
      <c r="AS63">
        <v>243.5</v>
      </c>
      <c r="AU63">
        <v>49.1</v>
      </c>
      <c r="AW63">
        <v>54.7</v>
      </c>
      <c r="AY63">
        <v>381.1</v>
      </c>
      <c r="BA63">
        <v>11082.1</v>
      </c>
      <c r="BC63">
        <v>208.1</v>
      </c>
      <c r="BE63">
        <v>150784.5</v>
      </c>
      <c r="BG63">
        <v>60715.3</v>
      </c>
      <c r="BI63">
        <v>50899.1</v>
      </c>
      <c r="BK63">
        <v>257613.1</v>
      </c>
      <c r="BM63">
        <v>204908.1</v>
      </c>
      <c r="BO63">
        <v>8945347.1999999993</v>
      </c>
      <c r="BQ63">
        <v>4694103.3</v>
      </c>
      <c r="BS63">
        <v>179048.4</v>
      </c>
      <c r="BU63">
        <v>4277.7</v>
      </c>
      <c r="BW63">
        <v>67.7</v>
      </c>
      <c r="BY63">
        <v>568.20000000000005</v>
      </c>
      <c r="CA63">
        <v>157953.1</v>
      </c>
      <c r="CC63">
        <v>23.6</v>
      </c>
      <c r="CE63">
        <v>29425</v>
      </c>
      <c r="CG63">
        <v>54245.599999999999</v>
      </c>
      <c r="CI63">
        <v>81031.199999999997</v>
      </c>
      <c r="CK63">
        <v>218306.8</v>
      </c>
      <c r="CM63">
        <v>52161.9</v>
      </c>
      <c r="CO63">
        <v>17399.2</v>
      </c>
      <c r="CQ63">
        <v>5774.5</v>
      </c>
      <c r="CS63">
        <v>3826.1</v>
      </c>
      <c r="CU63">
        <v>873.6</v>
      </c>
      <c r="CW63">
        <v>98.7</v>
      </c>
      <c r="CY63">
        <v>1384.6</v>
      </c>
      <c r="DA63">
        <v>1145972.8999999999</v>
      </c>
      <c r="DC63">
        <v>9.1999999999999993</v>
      </c>
      <c r="DE63">
        <v>461.3</v>
      </c>
      <c r="DG63">
        <v>30.9</v>
      </c>
      <c r="DI63">
        <v>109.8</v>
      </c>
      <c r="DK63">
        <v>71.599999999999994</v>
      </c>
      <c r="DM63">
        <v>961.6</v>
      </c>
      <c r="DO63">
        <v>15.2</v>
      </c>
      <c r="DQ63">
        <v>694.3</v>
      </c>
    </row>
    <row r="64" spans="1:121" x14ac:dyDescent="0.2">
      <c r="D64" t="s">
        <v>63</v>
      </c>
      <c r="G64">
        <v>19.7638</v>
      </c>
      <c r="H64" t="s">
        <v>75</v>
      </c>
      <c r="I64">
        <v>15.505699999999999</v>
      </c>
      <c r="J64" t="s">
        <v>75</v>
      </c>
      <c r="K64">
        <v>13.08427</v>
      </c>
      <c r="L64" t="s">
        <v>75</v>
      </c>
      <c r="M64">
        <v>333.30040000000002</v>
      </c>
      <c r="N64" t="s">
        <v>75</v>
      </c>
      <c r="O64">
        <v>3.8600000000000002E-2</v>
      </c>
      <c r="P64" t="s">
        <v>75</v>
      </c>
      <c r="Q64">
        <v>113.96487</v>
      </c>
      <c r="R64" t="s">
        <v>75</v>
      </c>
      <c r="S64">
        <v>2.0420000000000001E-2</v>
      </c>
      <c r="T64" t="s">
        <v>75</v>
      </c>
      <c r="U64">
        <v>0.19101000000000001</v>
      </c>
      <c r="V64" t="s">
        <v>75</v>
      </c>
      <c r="W64">
        <v>1.3032999999999999</v>
      </c>
      <c r="X64" t="s">
        <v>75</v>
      </c>
      <c r="Y64">
        <v>6.9095300000000002</v>
      </c>
      <c r="Z64" t="s">
        <v>75</v>
      </c>
      <c r="AB64" t="s">
        <v>76</v>
      </c>
      <c r="AC64">
        <v>0.10305</v>
      </c>
      <c r="AD64" t="s">
        <v>75</v>
      </c>
      <c r="AE64">
        <v>47.622660000000003</v>
      </c>
      <c r="AF64" t="s">
        <v>75</v>
      </c>
      <c r="AG64">
        <v>-4.6000000000000001E-4</v>
      </c>
      <c r="AH64" t="s">
        <v>75</v>
      </c>
      <c r="AI64">
        <v>472.33069</v>
      </c>
      <c r="AJ64" t="s">
        <v>75</v>
      </c>
      <c r="AK64">
        <v>1.583E-2</v>
      </c>
      <c r="AL64" t="s">
        <v>75</v>
      </c>
      <c r="AM64">
        <v>7.8899999999999994E-3</v>
      </c>
      <c r="AN64" t="s">
        <v>75</v>
      </c>
      <c r="AO64">
        <v>1.26E-2</v>
      </c>
      <c r="AP64" t="s">
        <v>75</v>
      </c>
      <c r="AQ64">
        <v>3.5300000000000002E-3</v>
      </c>
      <c r="AR64" t="s">
        <v>75</v>
      </c>
      <c r="AS64">
        <v>1.8180000000000002E-2</v>
      </c>
      <c r="AT64" t="s">
        <v>75</v>
      </c>
      <c r="AU64">
        <v>2.4599999999999999E-3</v>
      </c>
      <c r="AV64" t="s">
        <v>75</v>
      </c>
      <c r="AW64">
        <v>8.5999999999999998E-4</v>
      </c>
      <c r="AX64" t="s">
        <v>75</v>
      </c>
      <c r="AY64">
        <v>2.0979999999999999E-2</v>
      </c>
      <c r="AZ64" t="s">
        <v>75</v>
      </c>
      <c r="BC64">
        <v>-2.0413600000000001</v>
      </c>
      <c r="BD64" t="s">
        <v>75</v>
      </c>
      <c r="BE64">
        <v>5.9459400000000002</v>
      </c>
      <c r="BF64" t="s">
        <v>75</v>
      </c>
      <c r="BG64">
        <v>16.474599999999999</v>
      </c>
      <c r="BH64" t="s">
        <v>75</v>
      </c>
      <c r="BI64">
        <v>15.840059999999999</v>
      </c>
      <c r="BJ64" t="s">
        <v>75</v>
      </c>
      <c r="BK64">
        <v>16.349150000000002</v>
      </c>
      <c r="BL64" t="s">
        <v>75</v>
      </c>
      <c r="BM64">
        <v>10.76667</v>
      </c>
      <c r="BN64" t="s">
        <v>75</v>
      </c>
      <c r="BO64">
        <v>19387.464339999999</v>
      </c>
      <c r="BP64" t="s">
        <v>75</v>
      </c>
      <c r="BQ64">
        <v>7596.4909299999999</v>
      </c>
      <c r="BR64" t="s">
        <v>75</v>
      </c>
      <c r="BS64">
        <v>143.18414000000001</v>
      </c>
      <c r="BT64" t="s">
        <v>75</v>
      </c>
      <c r="BU64">
        <v>15.314970000000001</v>
      </c>
      <c r="BV64" t="s">
        <v>75</v>
      </c>
      <c r="BW64">
        <v>1.2931900000000001</v>
      </c>
      <c r="BX64" t="s">
        <v>75</v>
      </c>
      <c r="BY64">
        <v>7.4673499999999997</v>
      </c>
      <c r="BZ64" t="s">
        <v>75</v>
      </c>
      <c r="CA64">
        <v>29523.05903</v>
      </c>
      <c r="CB64" t="s">
        <v>75</v>
      </c>
      <c r="CC64">
        <v>5.7299999999999997E-2</v>
      </c>
      <c r="CD64" t="s">
        <v>75</v>
      </c>
      <c r="CE64">
        <v>39.853760000000001</v>
      </c>
      <c r="CF64" t="s">
        <v>75</v>
      </c>
      <c r="CG64">
        <v>19.25966</v>
      </c>
      <c r="CH64" t="s">
        <v>75</v>
      </c>
      <c r="CI64">
        <v>39.960189999999997</v>
      </c>
      <c r="CJ64" t="s">
        <v>75</v>
      </c>
      <c r="CK64">
        <v>92.645110000000003</v>
      </c>
      <c r="CL64" t="s">
        <v>75</v>
      </c>
      <c r="CM64">
        <v>27.763529999999999</v>
      </c>
      <c r="CN64" t="s">
        <v>75</v>
      </c>
      <c r="CO64">
        <v>56.824620000000003</v>
      </c>
      <c r="CP64" t="s">
        <v>75</v>
      </c>
      <c r="CQ64">
        <v>21.875699999999998</v>
      </c>
      <c r="CR64" t="s">
        <v>75</v>
      </c>
      <c r="CS64">
        <v>78.718459999999993</v>
      </c>
      <c r="CT64" t="s">
        <v>75</v>
      </c>
      <c r="CV64" t="s">
        <v>76</v>
      </c>
      <c r="CW64">
        <v>4.1279999999999997E-2</v>
      </c>
      <c r="CX64" t="s">
        <v>75</v>
      </c>
      <c r="DA64">
        <v>2127.8195799999999</v>
      </c>
      <c r="DB64" t="s">
        <v>75</v>
      </c>
      <c r="DC64">
        <v>5.3099999999999996E-3</v>
      </c>
      <c r="DD64" t="s">
        <v>75</v>
      </c>
      <c r="DE64">
        <v>29.874199999999998</v>
      </c>
      <c r="DF64" t="s">
        <v>75</v>
      </c>
      <c r="DG64">
        <v>5.2233200000000002</v>
      </c>
      <c r="DH64" t="s">
        <v>75</v>
      </c>
      <c r="DI64">
        <v>5.5556799999999997</v>
      </c>
      <c r="DJ64" t="s">
        <v>75</v>
      </c>
      <c r="DL64" t="s">
        <v>76</v>
      </c>
      <c r="DN64" t="s">
        <v>76</v>
      </c>
      <c r="DO64">
        <v>5.7759999999999999E-2</v>
      </c>
      <c r="DP64" t="s">
        <v>75</v>
      </c>
    </row>
    <row r="65" spans="1:121" x14ac:dyDescent="0.2">
      <c r="D65" t="s">
        <v>64</v>
      </c>
      <c r="G65">
        <v>0.19788</v>
      </c>
      <c r="H65" t="s">
        <v>75</v>
      </c>
      <c r="I65">
        <v>0.64722999999999997</v>
      </c>
      <c r="J65" t="s">
        <v>75</v>
      </c>
      <c r="K65">
        <v>0.32490999999999998</v>
      </c>
      <c r="L65" t="s">
        <v>75</v>
      </c>
      <c r="M65">
        <v>3.28369</v>
      </c>
      <c r="N65" t="s">
        <v>75</v>
      </c>
      <c r="O65">
        <v>7.2999999999999996E-4</v>
      </c>
      <c r="P65" t="s">
        <v>75</v>
      </c>
      <c r="Q65">
        <v>3.1021700000000001</v>
      </c>
      <c r="R65" t="s">
        <v>75</v>
      </c>
      <c r="S65">
        <v>1.9000000000000001E-4</v>
      </c>
      <c r="T65" t="s">
        <v>75</v>
      </c>
      <c r="U65">
        <v>6.0899999999999999E-3</v>
      </c>
      <c r="V65" t="s">
        <v>75</v>
      </c>
      <c r="W65">
        <v>3.98E-3</v>
      </c>
      <c r="X65" t="s">
        <v>75</v>
      </c>
      <c r="Y65">
        <v>0.24066000000000001</v>
      </c>
      <c r="Z65" t="s">
        <v>75</v>
      </c>
      <c r="AC65">
        <v>3.16E-3</v>
      </c>
      <c r="AD65" t="s">
        <v>75</v>
      </c>
      <c r="AE65">
        <v>1.5084299999999999</v>
      </c>
      <c r="AF65" t="s">
        <v>75</v>
      </c>
      <c r="AG65">
        <v>2.9999999999999997E-4</v>
      </c>
      <c r="AH65" t="s">
        <v>75</v>
      </c>
      <c r="AI65">
        <v>9.6099700000000006</v>
      </c>
      <c r="AJ65" t="s">
        <v>75</v>
      </c>
      <c r="AK65">
        <v>2.7E-4</v>
      </c>
      <c r="AL65" t="s">
        <v>75</v>
      </c>
      <c r="AM65">
        <v>1.3999999999999999E-4</v>
      </c>
      <c r="AN65" t="s">
        <v>75</v>
      </c>
      <c r="AO65">
        <v>5.1999999999999995E-4</v>
      </c>
      <c r="AP65" t="s">
        <v>75</v>
      </c>
      <c r="AQ65">
        <v>4.0000000000000003E-5</v>
      </c>
      <c r="AR65" t="s">
        <v>75</v>
      </c>
      <c r="AS65">
        <v>8.4999999999999995E-4</v>
      </c>
      <c r="AT65" t="s">
        <v>75</v>
      </c>
      <c r="AU65">
        <v>5.0000000000000002E-5</v>
      </c>
      <c r="AV65" t="s">
        <v>75</v>
      </c>
      <c r="AW65">
        <v>1.6000000000000001E-4</v>
      </c>
      <c r="AX65" t="s">
        <v>75</v>
      </c>
      <c r="AY65">
        <v>7.6999999999999996E-4</v>
      </c>
      <c r="AZ65" t="s">
        <v>75</v>
      </c>
      <c r="BC65">
        <v>8.7000000000000001E-4</v>
      </c>
      <c r="BD65" t="s">
        <v>75</v>
      </c>
      <c r="BE65">
        <v>0.21887000000000001</v>
      </c>
      <c r="BF65" t="s">
        <v>75</v>
      </c>
      <c r="BG65">
        <v>0.26751999999999998</v>
      </c>
      <c r="BH65" t="s">
        <v>75</v>
      </c>
      <c r="BI65">
        <v>0.10445</v>
      </c>
      <c r="BJ65" t="s">
        <v>75</v>
      </c>
      <c r="BK65">
        <v>0.14637</v>
      </c>
      <c r="BL65" t="s">
        <v>75</v>
      </c>
      <c r="BM65">
        <v>0.20063</v>
      </c>
      <c r="BN65" t="s">
        <v>75</v>
      </c>
      <c r="BO65">
        <v>491.13788</v>
      </c>
      <c r="BP65" t="s">
        <v>75</v>
      </c>
      <c r="BQ65">
        <v>352.74250000000001</v>
      </c>
      <c r="BR65" t="s">
        <v>75</v>
      </c>
      <c r="BS65">
        <v>6.9985400000000002</v>
      </c>
      <c r="BT65" t="s">
        <v>75</v>
      </c>
      <c r="BU65">
        <v>0.93250999999999995</v>
      </c>
      <c r="BV65" t="s">
        <v>75</v>
      </c>
      <c r="BW65">
        <v>3.6810000000000002E-2</v>
      </c>
      <c r="BX65" t="s">
        <v>75</v>
      </c>
      <c r="BY65">
        <v>0.29403000000000001</v>
      </c>
      <c r="BZ65" t="s">
        <v>75</v>
      </c>
      <c r="CA65">
        <v>640.09168999999997</v>
      </c>
      <c r="CB65" t="s">
        <v>75</v>
      </c>
      <c r="CC65">
        <v>6.9699999999999996E-3</v>
      </c>
      <c r="CD65" t="s">
        <v>75</v>
      </c>
      <c r="CE65">
        <v>0.52354999999999996</v>
      </c>
      <c r="CF65" t="s">
        <v>75</v>
      </c>
      <c r="CG65">
        <v>0.57330999999999999</v>
      </c>
      <c r="CH65" t="s">
        <v>75</v>
      </c>
      <c r="CI65">
        <v>0.13922999999999999</v>
      </c>
      <c r="CJ65" t="s">
        <v>75</v>
      </c>
      <c r="CK65">
        <v>1.0344500000000001</v>
      </c>
      <c r="CL65" t="s">
        <v>75</v>
      </c>
      <c r="CM65">
        <v>1.01349</v>
      </c>
      <c r="CN65" t="s">
        <v>75</v>
      </c>
      <c r="CO65">
        <v>0.66752999999999996</v>
      </c>
      <c r="CP65" t="s">
        <v>75</v>
      </c>
      <c r="CQ65">
        <v>0.49237999999999998</v>
      </c>
      <c r="CR65" t="s">
        <v>75</v>
      </c>
      <c r="CS65">
        <v>2.8676599999999999</v>
      </c>
      <c r="CT65" t="s">
        <v>75</v>
      </c>
      <c r="CW65">
        <v>2.2799999999999999E-3</v>
      </c>
      <c r="CX65" t="s">
        <v>75</v>
      </c>
      <c r="DA65">
        <v>108.21254</v>
      </c>
      <c r="DB65" t="s">
        <v>75</v>
      </c>
      <c r="DC65">
        <v>3.8600000000000001E-3</v>
      </c>
      <c r="DD65" t="s">
        <v>75</v>
      </c>
      <c r="DE65">
        <v>1.06158</v>
      </c>
      <c r="DF65" t="s">
        <v>75</v>
      </c>
      <c r="DG65">
        <v>6.7680000000000004E-2</v>
      </c>
      <c r="DH65" t="s">
        <v>75</v>
      </c>
      <c r="DI65">
        <v>0.22966</v>
      </c>
      <c r="DJ65" t="s">
        <v>75</v>
      </c>
      <c r="DO65">
        <v>3.0899999999999999E-3</v>
      </c>
      <c r="DP65" t="s">
        <v>75</v>
      </c>
    </row>
    <row r="66" spans="1:121" x14ac:dyDescent="0.2">
      <c r="D66" t="s">
        <v>65</v>
      </c>
      <c r="G66" t="s">
        <v>66</v>
      </c>
      <c r="I66" t="s">
        <v>66</v>
      </c>
      <c r="K66" t="s">
        <v>66</v>
      </c>
      <c r="M66" t="s">
        <v>66</v>
      </c>
      <c r="O66" t="s">
        <v>66</v>
      </c>
      <c r="Q66" t="s">
        <v>66</v>
      </c>
      <c r="S66" t="s">
        <v>66</v>
      </c>
      <c r="U66" t="s">
        <v>66</v>
      </c>
      <c r="W66" t="s">
        <v>66</v>
      </c>
      <c r="Y66" t="s">
        <v>66</v>
      </c>
      <c r="AA66" t="s">
        <v>66</v>
      </c>
      <c r="AC66" t="s">
        <v>66</v>
      </c>
      <c r="AE66" t="s">
        <v>66</v>
      </c>
      <c r="AG66" t="s">
        <v>66</v>
      </c>
      <c r="AI66" t="s">
        <v>66</v>
      </c>
      <c r="AK66" t="s">
        <v>66</v>
      </c>
      <c r="AM66" t="s">
        <v>66</v>
      </c>
      <c r="AO66" t="s">
        <v>66</v>
      </c>
      <c r="AQ66" t="s">
        <v>66</v>
      </c>
      <c r="AS66" t="s">
        <v>66</v>
      </c>
      <c r="AU66" t="s">
        <v>66</v>
      </c>
      <c r="AW66" t="s">
        <v>66</v>
      </c>
      <c r="AY66" t="s">
        <v>66</v>
      </c>
      <c r="BA66" t="s">
        <v>66</v>
      </c>
      <c r="BC66" t="s">
        <v>66</v>
      </c>
      <c r="BE66" t="s">
        <v>66</v>
      </c>
      <c r="BG66" t="s">
        <v>66</v>
      </c>
      <c r="BI66" t="s">
        <v>66</v>
      </c>
      <c r="BK66" t="s">
        <v>66</v>
      </c>
      <c r="BM66" t="s">
        <v>66</v>
      </c>
      <c r="BO66" t="s">
        <v>66</v>
      </c>
      <c r="BQ66" t="s">
        <v>66</v>
      </c>
      <c r="BS66" t="s">
        <v>66</v>
      </c>
      <c r="BU66" t="s">
        <v>66</v>
      </c>
      <c r="BW66" t="s">
        <v>66</v>
      </c>
      <c r="BY66" t="s">
        <v>66</v>
      </c>
      <c r="CA66" t="s">
        <v>66</v>
      </c>
      <c r="CC66" t="s">
        <v>66</v>
      </c>
      <c r="CE66" t="s">
        <v>66</v>
      </c>
      <c r="CG66" t="s">
        <v>66</v>
      </c>
      <c r="CI66" t="s">
        <v>66</v>
      </c>
      <c r="CK66" t="s">
        <v>66</v>
      </c>
      <c r="CM66" t="s">
        <v>66</v>
      </c>
      <c r="CO66" t="s">
        <v>66</v>
      </c>
      <c r="CQ66" t="s">
        <v>66</v>
      </c>
      <c r="CS66" t="s">
        <v>66</v>
      </c>
      <c r="CU66" t="s">
        <v>66</v>
      </c>
      <c r="CW66" t="s">
        <v>66</v>
      </c>
      <c r="CY66" t="s">
        <v>66</v>
      </c>
      <c r="DA66" t="s">
        <v>66</v>
      </c>
      <c r="DC66" t="s">
        <v>66</v>
      </c>
      <c r="DE66" t="s">
        <v>66</v>
      </c>
      <c r="DG66" t="s">
        <v>66</v>
      </c>
      <c r="DI66" t="s">
        <v>66</v>
      </c>
      <c r="DK66" t="s">
        <v>66</v>
      </c>
      <c r="DM66" t="s">
        <v>66</v>
      </c>
      <c r="DO66" t="s">
        <v>66</v>
      </c>
      <c r="DQ66" t="s">
        <v>66</v>
      </c>
    </row>
    <row r="67" spans="1:121" x14ac:dyDescent="0.2">
      <c r="A67" t="s">
        <v>583</v>
      </c>
      <c r="D67" t="s">
        <v>60</v>
      </c>
      <c r="E67" t="s">
        <v>61</v>
      </c>
      <c r="G67">
        <v>11648.2</v>
      </c>
      <c r="I67">
        <v>990</v>
      </c>
      <c r="K67">
        <v>33533.5</v>
      </c>
      <c r="M67">
        <v>430918.6</v>
      </c>
      <c r="O67">
        <v>1403</v>
      </c>
      <c r="Q67">
        <v>43390.6</v>
      </c>
      <c r="S67">
        <v>2214.4</v>
      </c>
      <c r="U67">
        <v>2852.6</v>
      </c>
      <c r="W67">
        <v>2333.1999999999998</v>
      </c>
      <c r="Y67">
        <v>817</v>
      </c>
      <c r="AA67">
        <v>2802342.3</v>
      </c>
      <c r="AC67">
        <v>470.9</v>
      </c>
      <c r="AE67">
        <v>20887.3</v>
      </c>
      <c r="AG67">
        <v>7499.3</v>
      </c>
      <c r="AI67">
        <v>121998.9</v>
      </c>
      <c r="AK67">
        <v>1681.4</v>
      </c>
      <c r="AM67">
        <v>3127.9</v>
      </c>
      <c r="AO67">
        <v>467.8</v>
      </c>
      <c r="AQ67">
        <v>174</v>
      </c>
      <c r="AS67">
        <v>613.79999999999995</v>
      </c>
      <c r="AU67">
        <v>302.10000000000002</v>
      </c>
      <c r="AW67">
        <v>221.9</v>
      </c>
      <c r="AY67">
        <v>2077.8000000000002</v>
      </c>
      <c r="BA67">
        <v>644456.69999999995</v>
      </c>
      <c r="BC67">
        <v>3466.9</v>
      </c>
      <c r="BE67">
        <v>10347.200000000001</v>
      </c>
      <c r="BG67">
        <v>8711.2999999999993</v>
      </c>
      <c r="BI67">
        <v>7484.6</v>
      </c>
      <c r="BK67">
        <v>17886.7</v>
      </c>
      <c r="BM67">
        <v>17809.400000000001</v>
      </c>
      <c r="BO67">
        <v>1634382.8</v>
      </c>
      <c r="BQ67">
        <v>211252</v>
      </c>
      <c r="BS67">
        <v>258275</v>
      </c>
      <c r="BU67">
        <v>479758.4</v>
      </c>
      <c r="BW67">
        <v>17465.900000000001</v>
      </c>
      <c r="BY67">
        <v>30134.3</v>
      </c>
      <c r="CA67">
        <v>59129</v>
      </c>
      <c r="CC67">
        <v>82.4</v>
      </c>
      <c r="CE67">
        <v>2432.6999999999998</v>
      </c>
      <c r="CG67">
        <v>1542.8</v>
      </c>
      <c r="CI67">
        <v>2792.3</v>
      </c>
      <c r="CK67">
        <v>12374.4</v>
      </c>
      <c r="CM67">
        <v>1541.8</v>
      </c>
      <c r="CO67">
        <v>848.5</v>
      </c>
      <c r="CQ67">
        <v>5391.8</v>
      </c>
      <c r="CS67">
        <v>3154.8</v>
      </c>
      <c r="CU67">
        <v>247590.39999999999</v>
      </c>
      <c r="CW67">
        <v>56</v>
      </c>
      <c r="CY67">
        <v>56912.2</v>
      </c>
      <c r="DA67">
        <v>55024.800000000003</v>
      </c>
      <c r="DC67">
        <v>2.2000000000000002</v>
      </c>
      <c r="DE67">
        <v>106.5</v>
      </c>
      <c r="DG67">
        <v>13.9</v>
      </c>
      <c r="DI67">
        <v>654.29999999999995</v>
      </c>
      <c r="DK67">
        <v>789.6</v>
      </c>
      <c r="DM67">
        <v>76902.7</v>
      </c>
      <c r="DO67">
        <v>11.7</v>
      </c>
      <c r="DQ67">
        <v>17484.099999999999</v>
      </c>
    </row>
    <row r="68" spans="1:121" x14ac:dyDescent="0.2">
      <c r="D68" t="s">
        <v>62</v>
      </c>
      <c r="E68" t="s">
        <v>61</v>
      </c>
      <c r="G68">
        <v>965.6</v>
      </c>
      <c r="I68">
        <v>114.5</v>
      </c>
      <c r="K68">
        <v>1426.8</v>
      </c>
      <c r="M68">
        <v>22760.6</v>
      </c>
      <c r="O68">
        <v>74</v>
      </c>
      <c r="Q68">
        <v>4479.2</v>
      </c>
      <c r="S68">
        <v>91.1</v>
      </c>
      <c r="U68">
        <v>107.1</v>
      </c>
      <c r="W68">
        <v>799.7</v>
      </c>
      <c r="Y68">
        <v>234.8</v>
      </c>
      <c r="AA68">
        <v>15396.5</v>
      </c>
      <c r="AC68">
        <v>81.3</v>
      </c>
      <c r="AE68">
        <v>2949.5</v>
      </c>
      <c r="AG68">
        <v>403.4</v>
      </c>
      <c r="AI68">
        <v>9552.2999999999993</v>
      </c>
      <c r="AK68">
        <v>25.4</v>
      </c>
      <c r="AM68">
        <v>101.2</v>
      </c>
      <c r="AO68">
        <v>32.799999999999997</v>
      </c>
      <c r="AQ68">
        <v>51.6</v>
      </c>
      <c r="AS68">
        <v>47</v>
      </c>
      <c r="AU68">
        <v>34.6</v>
      </c>
      <c r="AW68">
        <v>52.2</v>
      </c>
      <c r="AY68">
        <v>93.1</v>
      </c>
      <c r="BA68">
        <v>9252.2999999999993</v>
      </c>
      <c r="BC68">
        <v>169.6</v>
      </c>
      <c r="BE68">
        <v>769</v>
      </c>
      <c r="BG68">
        <v>743.8</v>
      </c>
      <c r="BI68">
        <v>364</v>
      </c>
      <c r="BK68">
        <v>1265.9000000000001</v>
      </c>
      <c r="BM68">
        <v>604.9</v>
      </c>
      <c r="BO68">
        <v>109437.9</v>
      </c>
      <c r="BQ68">
        <v>24860</v>
      </c>
      <c r="BS68">
        <v>6397.2</v>
      </c>
      <c r="BU68">
        <v>1425.7</v>
      </c>
      <c r="BW68">
        <v>384.7</v>
      </c>
      <c r="BY68">
        <v>700.9</v>
      </c>
      <c r="CA68">
        <v>8852.7999999999993</v>
      </c>
      <c r="CC68">
        <v>31</v>
      </c>
      <c r="CE68">
        <v>228.1</v>
      </c>
      <c r="CG68">
        <v>58.3</v>
      </c>
      <c r="CI68">
        <v>269.60000000000002</v>
      </c>
      <c r="CK68">
        <v>570.5</v>
      </c>
      <c r="CM68">
        <v>85.1</v>
      </c>
      <c r="CO68">
        <v>144.4</v>
      </c>
      <c r="CQ68">
        <v>107.4</v>
      </c>
      <c r="CS68">
        <v>25</v>
      </c>
      <c r="CU68">
        <v>9151.2999999999993</v>
      </c>
      <c r="CW68">
        <v>6.3</v>
      </c>
      <c r="CY68">
        <v>989.6</v>
      </c>
      <c r="DA68">
        <v>3129.1</v>
      </c>
      <c r="DC68">
        <v>2.5</v>
      </c>
      <c r="DE68">
        <v>20.5</v>
      </c>
      <c r="DG68">
        <v>3.1</v>
      </c>
      <c r="DI68">
        <v>92.5</v>
      </c>
      <c r="DK68">
        <v>46.8</v>
      </c>
      <c r="DM68">
        <v>1296.2</v>
      </c>
      <c r="DO68">
        <v>2.8</v>
      </c>
      <c r="DQ68">
        <v>429.4</v>
      </c>
    </row>
    <row r="69" spans="1:121" x14ac:dyDescent="0.2">
      <c r="D69" t="s">
        <v>63</v>
      </c>
      <c r="G69">
        <v>6.2909999999999994E-2</v>
      </c>
      <c r="H69" t="s">
        <v>75</v>
      </c>
      <c r="I69">
        <v>2.3709999999999998E-2</v>
      </c>
      <c r="J69" t="s">
        <v>75</v>
      </c>
      <c r="K69">
        <v>4.1369999999999997E-2</v>
      </c>
      <c r="L69" t="s">
        <v>75</v>
      </c>
      <c r="M69">
        <v>0.42613000000000001</v>
      </c>
      <c r="N69" t="s">
        <v>75</v>
      </c>
      <c r="O69">
        <v>4.1599999999999996E-3</v>
      </c>
      <c r="P69" t="s">
        <v>75</v>
      </c>
      <c r="Q69">
        <v>0.31545000000000001</v>
      </c>
      <c r="R69" t="s">
        <v>75</v>
      </c>
      <c r="S69">
        <v>1.3500000000000001E-3</v>
      </c>
      <c r="T69" t="s">
        <v>75</v>
      </c>
      <c r="U69">
        <v>1.806E-2</v>
      </c>
      <c r="V69" t="s">
        <v>75</v>
      </c>
      <c r="W69">
        <v>8.7399999999999995E-3</v>
      </c>
      <c r="X69" t="s">
        <v>75</v>
      </c>
      <c r="Y69">
        <v>1.273E-2</v>
      </c>
      <c r="Z69" t="s">
        <v>75</v>
      </c>
      <c r="AB69" t="s">
        <v>76</v>
      </c>
      <c r="AC69">
        <v>4.3470000000000002E-2</v>
      </c>
      <c r="AD69" t="s">
        <v>75</v>
      </c>
      <c r="AE69">
        <v>0.12143</v>
      </c>
      <c r="AF69" t="s">
        <v>75</v>
      </c>
      <c r="AG69">
        <v>-1.017E-2</v>
      </c>
      <c r="AH69" t="s">
        <v>75</v>
      </c>
      <c r="AI69">
        <v>0.81066000000000005</v>
      </c>
      <c r="AJ69" t="s">
        <v>75</v>
      </c>
      <c r="AK69">
        <v>-9.3000000000000005E-4</v>
      </c>
      <c r="AL69" t="s">
        <v>75</v>
      </c>
      <c r="AM69">
        <v>-3.2100000000000002E-3</v>
      </c>
      <c r="AN69" t="s">
        <v>75</v>
      </c>
      <c r="AO69">
        <v>3.2200000000000002E-3</v>
      </c>
      <c r="AP69" t="s">
        <v>75</v>
      </c>
      <c r="AQ69">
        <v>-1.8000000000000001E-4</v>
      </c>
      <c r="AR69" t="s">
        <v>75</v>
      </c>
      <c r="AS69">
        <v>1.83E-3</v>
      </c>
      <c r="AT69" t="s">
        <v>75</v>
      </c>
      <c r="AU69">
        <v>1.56E-3</v>
      </c>
      <c r="AV69" t="s">
        <v>75</v>
      </c>
      <c r="AW69">
        <v>-2.3000000000000001E-4</v>
      </c>
      <c r="AX69" t="s">
        <v>75</v>
      </c>
      <c r="AY69">
        <v>-3.31E-3</v>
      </c>
      <c r="AZ69" t="s">
        <v>75</v>
      </c>
      <c r="BC69">
        <v>-2.0489899999999999</v>
      </c>
      <c r="BD69" t="s">
        <v>75</v>
      </c>
      <c r="BE69">
        <v>1.2959999999999999E-2</v>
      </c>
      <c r="BF69" t="s">
        <v>75</v>
      </c>
      <c r="BG69">
        <v>-1.247E-2</v>
      </c>
      <c r="BH69" t="s">
        <v>75</v>
      </c>
      <c r="BI69">
        <v>9.8899999999999995E-3</v>
      </c>
      <c r="BJ69" t="s">
        <v>75</v>
      </c>
      <c r="BK69">
        <v>-2.164E-2</v>
      </c>
      <c r="BL69" t="s">
        <v>75</v>
      </c>
      <c r="BM69">
        <v>7.6099999999999996E-3</v>
      </c>
      <c r="BN69" t="s">
        <v>75</v>
      </c>
      <c r="BO69">
        <v>36.093170000000001</v>
      </c>
      <c r="BP69" t="s">
        <v>75</v>
      </c>
      <c r="BQ69">
        <v>7.0779100000000001</v>
      </c>
      <c r="BR69" t="s">
        <v>75</v>
      </c>
      <c r="BS69">
        <v>5.6043399999999997</v>
      </c>
      <c r="BT69" t="s">
        <v>75</v>
      </c>
      <c r="BU69">
        <v>0.32040000000000002</v>
      </c>
      <c r="BV69" t="s">
        <v>75</v>
      </c>
      <c r="BW69">
        <v>7.5171999999999999</v>
      </c>
      <c r="BX69" t="s">
        <v>75</v>
      </c>
      <c r="BY69">
        <v>0.74238000000000004</v>
      </c>
      <c r="BZ69" t="s">
        <v>75</v>
      </c>
      <c r="CA69">
        <v>29.569240000000001</v>
      </c>
      <c r="CB69" t="s">
        <v>75</v>
      </c>
      <c r="CC69">
        <v>4.2300000000000003E-3</v>
      </c>
      <c r="CD69" t="s">
        <v>75</v>
      </c>
      <c r="CE69">
        <v>3.6319999999999998E-2</v>
      </c>
      <c r="CF69" t="s">
        <v>75</v>
      </c>
      <c r="CG69">
        <v>1.0189999999999999E-2</v>
      </c>
      <c r="CH69" t="s">
        <v>75</v>
      </c>
      <c r="CI69">
        <v>9.4699999999999993E-3</v>
      </c>
      <c r="CJ69" t="s">
        <v>75</v>
      </c>
      <c r="CK69">
        <v>-0.14599000000000001</v>
      </c>
      <c r="CL69" t="s">
        <v>75</v>
      </c>
      <c r="CM69">
        <v>1.5970000000000002E-2</v>
      </c>
      <c r="CN69" t="s">
        <v>75</v>
      </c>
      <c r="CO69">
        <v>6.0639999999999999E-2</v>
      </c>
      <c r="CP69" t="s">
        <v>75</v>
      </c>
      <c r="CQ69">
        <v>0.14355000000000001</v>
      </c>
      <c r="CR69" t="s">
        <v>75</v>
      </c>
      <c r="CS69">
        <v>0.76571999999999996</v>
      </c>
      <c r="CT69" t="s">
        <v>75</v>
      </c>
      <c r="CV69" t="s">
        <v>76</v>
      </c>
      <c r="CW69">
        <v>-2.3539999999999998E-2</v>
      </c>
      <c r="CX69" t="s">
        <v>75</v>
      </c>
      <c r="DA69">
        <v>2.8338100000000002</v>
      </c>
      <c r="DB69" t="s">
        <v>75</v>
      </c>
      <c r="DC69">
        <v>-1.6000000000000001E-4</v>
      </c>
      <c r="DD69" t="s">
        <v>75</v>
      </c>
      <c r="DE69">
        <v>2.6749999999999999E-2</v>
      </c>
      <c r="DF69" t="s">
        <v>75</v>
      </c>
      <c r="DG69">
        <v>6.4799999999999996E-3</v>
      </c>
      <c r="DH69" t="s">
        <v>75</v>
      </c>
      <c r="DI69">
        <v>0.62890999999999997</v>
      </c>
      <c r="DJ69" t="s">
        <v>75</v>
      </c>
      <c r="DL69" t="s">
        <v>76</v>
      </c>
      <c r="DN69" t="s">
        <v>76</v>
      </c>
      <c r="DO69">
        <v>-6.5599999999999999E-3</v>
      </c>
      <c r="DP69" t="s">
        <v>75</v>
      </c>
    </row>
    <row r="70" spans="1:121" x14ac:dyDescent="0.2">
      <c r="D70" t="s">
        <v>64</v>
      </c>
      <c r="G70">
        <v>6.8300000000000001E-3</v>
      </c>
      <c r="H70" t="s">
        <v>75</v>
      </c>
      <c r="I70">
        <v>3.8500000000000001E-3</v>
      </c>
      <c r="J70" t="s">
        <v>75</v>
      </c>
      <c r="K70">
        <v>1.2700000000000001E-3</v>
      </c>
      <c r="L70" t="s">
        <v>75</v>
      </c>
      <c r="M70">
        <v>1.7760000000000001E-2</v>
      </c>
      <c r="N70" t="s">
        <v>75</v>
      </c>
      <c r="O70">
        <v>5.0000000000000002E-5</v>
      </c>
      <c r="P70" t="s">
        <v>75</v>
      </c>
      <c r="Q70">
        <v>2.6259999999999999E-2</v>
      </c>
      <c r="R70" t="s">
        <v>75</v>
      </c>
      <c r="S70">
        <v>8.0000000000000007E-5</v>
      </c>
      <c r="T70" t="s">
        <v>75</v>
      </c>
      <c r="U70">
        <v>3.3E-4</v>
      </c>
      <c r="V70" t="s">
        <v>75</v>
      </c>
      <c r="W70">
        <v>1.7099999999999999E-3</v>
      </c>
      <c r="X70" t="s">
        <v>75</v>
      </c>
      <c r="Y70">
        <v>3.49E-3</v>
      </c>
      <c r="Z70" t="s">
        <v>75</v>
      </c>
      <c r="AC70">
        <v>2.7999999999999998E-4</v>
      </c>
      <c r="AD70" t="s">
        <v>75</v>
      </c>
      <c r="AE70">
        <v>1.056E-2</v>
      </c>
      <c r="AF70" t="s">
        <v>75</v>
      </c>
      <c r="AG70">
        <v>2.5999999999999998E-4</v>
      </c>
      <c r="AH70" t="s">
        <v>75</v>
      </c>
      <c r="AI70">
        <v>5.2510000000000001E-2</v>
      </c>
      <c r="AJ70" t="s">
        <v>75</v>
      </c>
      <c r="AK70">
        <v>3.0000000000000001E-5</v>
      </c>
      <c r="AL70" t="s">
        <v>75</v>
      </c>
      <c r="AM70">
        <v>1E-4</v>
      </c>
      <c r="AN70" t="s">
        <v>75</v>
      </c>
      <c r="AO70">
        <v>1.1E-4</v>
      </c>
      <c r="AP70" t="s">
        <v>75</v>
      </c>
      <c r="AQ70">
        <v>2.2000000000000001E-4</v>
      </c>
      <c r="AR70" t="s">
        <v>75</v>
      </c>
      <c r="AS70">
        <v>2.0000000000000001E-4</v>
      </c>
      <c r="AT70" t="s">
        <v>75</v>
      </c>
      <c r="AU70">
        <v>2.0000000000000002E-5</v>
      </c>
      <c r="AV70" t="s">
        <v>75</v>
      </c>
      <c r="AW70">
        <v>1.3999999999999999E-4</v>
      </c>
      <c r="AX70" t="s">
        <v>75</v>
      </c>
      <c r="AY70">
        <v>2.3000000000000001E-4</v>
      </c>
      <c r="AZ70" t="s">
        <v>75</v>
      </c>
      <c r="BC70">
        <v>5.2999999999999998E-4</v>
      </c>
      <c r="BD70" t="s">
        <v>75</v>
      </c>
      <c r="BE70">
        <v>6.2E-4</v>
      </c>
      <c r="BF70" t="s">
        <v>75</v>
      </c>
      <c r="BG70">
        <v>1.9300000000000001E-3</v>
      </c>
      <c r="BH70" t="s">
        <v>75</v>
      </c>
      <c r="BI70">
        <v>8.9999999999999998E-4</v>
      </c>
      <c r="BJ70" t="s">
        <v>75</v>
      </c>
      <c r="BK70">
        <v>1.3799999999999999E-3</v>
      </c>
      <c r="BL70" t="s">
        <v>75</v>
      </c>
      <c r="BM70">
        <v>3.5E-4</v>
      </c>
      <c r="BN70" t="s">
        <v>75</v>
      </c>
      <c r="BO70">
        <v>2.9163800000000002</v>
      </c>
      <c r="BP70" t="s">
        <v>75</v>
      </c>
      <c r="BQ70">
        <v>0.97387999999999997</v>
      </c>
      <c r="BR70" t="s">
        <v>75</v>
      </c>
      <c r="BS70">
        <v>7.3789999999999994E-2</v>
      </c>
      <c r="BT70" t="s">
        <v>75</v>
      </c>
      <c r="BU70">
        <v>0.41304999999999997</v>
      </c>
      <c r="BV70" t="s">
        <v>75</v>
      </c>
      <c r="BW70">
        <v>0.23255999999999999</v>
      </c>
      <c r="BX70" t="s">
        <v>75</v>
      </c>
      <c r="BY70">
        <v>0.3513</v>
      </c>
      <c r="BZ70" t="s">
        <v>75</v>
      </c>
      <c r="CA70">
        <v>4.7545200000000003</v>
      </c>
      <c r="CB70" t="s">
        <v>75</v>
      </c>
      <c r="CC70">
        <v>7.1900000000000002E-3</v>
      </c>
      <c r="CD70" t="s">
        <v>75</v>
      </c>
      <c r="CE70">
        <v>3.47E-3</v>
      </c>
      <c r="CF70" t="s">
        <v>75</v>
      </c>
      <c r="CG70">
        <v>9.8999999999999999E-4</v>
      </c>
      <c r="CH70" t="s">
        <v>75</v>
      </c>
      <c r="CI70">
        <v>3.81E-3</v>
      </c>
      <c r="CJ70" t="s">
        <v>75</v>
      </c>
      <c r="CK70">
        <v>1.0279999999999999E-2</v>
      </c>
      <c r="CL70" t="s">
        <v>75</v>
      </c>
      <c r="CM70">
        <v>1.6199999999999999E-3</v>
      </c>
      <c r="CN70" t="s">
        <v>75</v>
      </c>
      <c r="CO70">
        <v>9.2200000000000008E-3</v>
      </c>
      <c r="CP70" t="s">
        <v>75</v>
      </c>
      <c r="CQ70">
        <v>5.79E-3</v>
      </c>
      <c r="CR70" t="s">
        <v>75</v>
      </c>
      <c r="CS70">
        <v>1.6279999999999999E-2</v>
      </c>
      <c r="CT70" t="s">
        <v>75</v>
      </c>
      <c r="CW70">
        <v>2.7999999999999998E-4</v>
      </c>
      <c r="CX70" t="s">
        <v>75</v>
      </c>
      <c r="DA70">
        <v>0.21893000000000001</v>
      </c>
      <c r="DB70" t="s">
        <v>75</v>
      </c>
      <c r="DC70">
        <v>1.06E-3</v>
      </c>
      <c r="DD70" t="s">
        <v>75</v>
      </c>
      <c r="DE70">
        <v>9.1900000000000003E-3</v>
      </c>
      <c r="DF70" t="s">
        <v>75</v>
      </c>
      <c r="DG70">
        <v>1.558E-2</v>
      </c>
      <c r="DH70" t="s">
        <v>75</v>
      </c>
      <c r="DI70">
        <v>0.17224999999999999</v>
      </c>
      <c r="DJ70" t="s">
        <v>75</v>
      </c>
      <c r="DO70">
        <v>3.5E-4</v>
      </c>
      <c r="DP70" t="s">
        <v>75</v>
      </c>
    </row>
    <row r="71" spans="1:121" x14ac:dyDescent="0.2">
      <c r="D71" t="s">
        <v>65</v>
      </c>
      <c r="G71" t="s">
        <v>66</v>
      </c>
      <c r="I71" t="s">
        <v>66</v>
      </c>
      <c r="K71" t="s">
        <v>66</v>
      </c>
      <c r="M71" t="s">
        <v>66</v>
      </c>
      <c r="O71" t="s">
        <v>66</v>
      </c>
      <c r="Q71" t="s">
        <v>66</v>
      </c>
      <c r="S71" t="s">
        <v>66</v>
      </c>
      <c r="U71" t="s">
        <v>66</v>
      </c>
      <c r="W71" t="s">
        <v>66</v>
      </c>
      <c r="Y71" t="s">
        <v>66</v>
      </c>
      <c r="AA71" t="s">
        <v>66</v>
      </c>
      <c r="AC71" t="s">
        <v>66</v>
      </c>
      <c r="AE71" t="s">
        <v>66</v>
      </c>
      <c r="AG71" t="s">
        <v>66</v>
      </c>
      <c r="AI71" t="s">
        <v>66</v>
      </c>
      <c r="AK71" t="s">
        <v>66</v>
      </c>
      <c r="AM71" t="s">
        <v>66</v>
      </c>
      <c r="AO71" t="s">
        <v>66</v>
      </c>
      <c r="AQ71" t="s">
        <v>66</v>
      </c>
      <c r="AS71" t="s">
        <v>66</v>
      </c>
      <c r="AU71" t="s">
        <v>66</v>
      </c>
      <c r="AW71" t="s">
        <v>66</v>
      </c>
      <c r="AY71" t="s">
        <v>66</v>
      </c>
      <c r="BA71" t="s">
        <v>66</v>
      </c>
      <c r="BC71" t="s">
        <v>66</v>
      </c>
      <c r="BE71" t="s">
        <v>66</v>
      </c>
      <c r="BG71" t="s">
        <v>66</v>
      </c>
      <c r="BI71" t="s">
        <v>66</v>
      </c>
      <c r="BK71" t="s">
        <v>66</v>
      </c>
      <c r="BM71" t="s">
        <v>66</v>
      </c>
      <c r="BO71" t="s">
        <v>66</v>
      </c>
      <c r="BQ71" t="s">
        <v>66</v>
      </c>
      <c r="BS71" t="s">
        <v>66</v>
      </c>
      <c r="BU71" t="s">
        <v>66</v>
      </c>
      <c r="BW71" t="s">
        <v>66</v>
      </c>
      <c r="BY71" t="s">
        <v>66</v>
      </c>
      <c r="CA71" t="s">
        <v>66</v>
      </c>
      <c r="CC71" t="s">
        <v>66</v>
      </c>
      <c r="CE71" t="s">
        <v>66</v>
      </c>
      <c r="CG71" t="s">
        <v>66</v>
      </c>
      <c r="CI71" t="s">
        <v>66</v>
      </c>
      <c r="CK71" t="s">
        <v>66</v>
      </c>
      <c r="CM71" t="s">
        <v>66</v>
      </c>
      <c r="CO71" t="s">
        <v>66</v>
      </c>
      <c r="CQ71" t="s">
        <v>66</v>
      </c>
      <c r="CS71" t="s">
        <v>66</v>
      </c>
      <c r="CU71" t="s">
        <v>66</v>
      </c>
      <c r="CW71" t="s">
        <v>66</v>
      </c>
      <c r="CY71" t="s">
        <v>66</v>
      </c>
      <c r="DA71" t="s">
        <v>66</v>
      </c>
      <c r="DC71" t="s">
        <v>66</v>
      </c>
      <c r="DE71" t="s">
        <v>66</v>
      </c>
      <c r="DG71" t="s">
        <v>66</v>
      </c>
      <c r="DI71" t="s">
        <v>66</v>
      </c>
      <c r="DK71" t="s">
        <v>66</v>
      </c>
      <c r="DM71" t="s">
        <v>66</v>
      </c>
      <c r="DO71" t="s">
        <v>66</v>
      </c>
      <c r="DQ71" t="s">
        <v>66</v>
      </c>
    </row>
    <row r="72" spans="1:121" x14ac:dyDescent="0.2">
      <c r="A72" t="s">
        <v>584</v>
      </c>
      <c r="D72" t="s">
        <v>60</v>
      </c>
      <c r="E72" t="s">
        <v>61</v>
      </c>
      <c r="G72">
        <v>75618.8</v>
      </c>
      <c r="I72">
        <v>16803.5</v>
      </c>
      <c r="K72">
        <v>451822</v>
      </c>
      <c r="M72">
        <v>603996.19999999995</v>
      </c>
      <c r="O72">
        <v>640908.6</v>
      </c>
      <c r="Q72">
        <v>87157.9</v>
      </c>
      <c r="S72">
        <v>619631.6</v>
      </c>
      <c r="U72">
        <v>129658</v>
      </c>
      <c r="W72">
        <v>254670</v>
      </c>
      <c r="Y72">
        <v>35867.9</v>
      </c>
      <c r="AA72">
        <v>2931790.3</v>
      </c>
      <c r="AC72">
        <v>141727.79999999999</v>
      </c>
      <c r="AE72">
        <v>145081.1</v>
      </c>
      <c r="AG72">
        <v>705565.7</v>
      </c>
      <c r="AI72">
        <v>313467.7</v>
      </c>
      <c r="AK72">
        <v>772621.4</v>
      </c>
      <c r="AM72">
        <v>719527.9</v>
      </c>
      <c r="AO72">
        <v>151567.79999999999</v>
      </c>
      <c r="AQ72">
        <v>130502.2</v>
      </c>
      <c r="AS72">
        <v>125890.8</v>
      </c>
      <c r="AU72">
        <v>853329.7</v>
      </c>
      <c r="AW72">
        <v>237374.4</v>
      </c>
      <c r="AY72">
        <v>186034.3</v>
      </c>
      <c r="BA72">
        <v>650558.4</v>
      </c>
      <c r="BC72">
        <v>148355.4</v>
      </c>
      <c r="BE72">
        <v>573245.9</v>
      </c>
      <c r="BG72">
        <v>197812</v>
      </c>
      <c r="BI72">
        <v>166978.1</v>
      </c>
      <c r="BK72">
        <v>417822.5</v>
      </c>
      <c r="BM72">
        <v>634027.69999999995</v>
      </c>
      <c r="BO72">
        <v>2388740.7000000002</v>
      </c>
      <c r="BQ72">
        <v>163458.79999999999</v>
      </c>
      <c r="BS72">
        <v>558167.1</v>
      </c>
      <c r="BU72">
        <v>603012.6</v>
      </c>
      <c r="BW72">
        <v>18664.5</v>
      </c>
      <c r="BY72">
        <v>69347</v>
      </c>
      <c r="CA72">
        <v>26666.5</v>
      </c>
      <c r="CC72">
        <v>2719.1</v>
      </c>
      <c r="CE72">
        <v>37093</v>
      </c>
      <c r="CG72">
        <v>33816.9</v>
      </c>
      <c r="CI72">
        <v>42738.400000000001</v>
      </c>
      <c r="CK72">
        <v>145644.70000000001</v>
      </c>
      <c r="CM72">
        <v>38370.9</v>
      </c>
      <c r="CO72">
        <v>8814.2000000000007</v>
      </c>
      <c r="CQ72">
        <v>34479.9</v>
      </c>
      <c r="CS72">
        <v>14207.1</v>
      </c>
      <c r="CU72">
        <v>253551.4</v>
      </c>
      <c r="CW72">
        <v>15156.5</v>
      </c>
      <c r="CY72">
        <v>57933.4</v>
      </c>
      <c r="DA72">
        <v>144722.1</v>
      </c>
      <c r="DC72">
        <v>1514.2</v>
      </c>
      <c r="DE72">
        <v>1705.2</v>
      </c>
      <c r="DG72">
        <v>141.69999999999999</v>
      </c>
      <c r="DI72">
        <v>1372.8</v>
      </c>
      <c r="DK72">
        <v>841.4</v>
      </c>
      <c r="DM72">
        <v>78621.3</v>
      </c>
      <c r="DO72">
        <v>4471.1000000000004</v>
      </c>
      <c r="DQ72">
        <v>17218.8</v>
      </c>
    </row>
    <row r="73" spans="1:121" x14ac:dyDescent="0.2">
      <c r="D73" t="s">
        <v>62</v>
      </c>
      <c r="E73" t="s">
        <v>61</v>
      </c>
      <c r="G73">
        <v>1015</v>
      </c>
      <c r="I73">
        <v>346.7</v>
      </c>
      <c r="K73">
        <v>4341.8999999999996</v>
      </c>
      <c r="M73">
        <v>3077.2</v>
      </c>
      <c r="O73">
        <v>1311.9</v>
      </c>
      <c r="Q73">
        <v>167.6</v>
      </c>
      <c r="S73">
        <v>11201.9</v>
      </c>
      <c r="U73">
        <v>2724.6</v>
      </c>
      <c r="W73">
        <v>2422.5</v>
      </c>
      <c r="Y73">
        <v>555.1</v>
      </c>
      <c r="AA73">
        <v>79711.899999999994</v>
      </c>
      <c r="AC73">
        <v>2555.6</v>
      </c>
      <c r="AE73">
        <v>3867.9</v>
      </c>
      <c r="AG73">
        <v>6132.3</v>
      </c>
      <c r="AI73">
        <v>7500.7</v>
      </c>
      <c r="AK73">
        <v>19603</v>
      </c>
      <c r="AM73">
        <v>18567.400000000001</v>
      </c>
      <c r="AO73">
        <v>4184.3999999999996</v>
      </c>
      <c r="AQ73">
        <v>2692.5</v>
      </c>
      <c r="AS73">
        <v>1794.4</v>
      </c>
      <c r="AU73">
        <v>15001.2</v>
      </c>
      <c r="AW73">
        <v>5100.6000000000004</v>
      </c>
      <c r="AY73">
        <v>2603.3000000000002</v>
      </c>
      <c r="BA73">
        <v>6120.7</v>
      </c>
      <c r="BC73">
        <v>3023.1</v>
      </c>
      <c r="BE73">
        <v>3123.6</v>
      </c>
      <c r="BG73">
        <v>1188.0999999999999</v>
      </c>
      <c r="BI73">
        <v>3421.4</v>
      </c>
      <c r="BK73">
        <v>4439.6000000000004</v>
      </c>
      <c r="BM73">
        <v>9221.7999999999993</v>
      </c>
      <c r="BO73">
        <v>107691.5</v>
      </c>
      <c r="BQ73">
        <v>24215.8</v>
      </c>
      <c r="BS73">
        <v>9035.1</v>
      </c>
      <c r="BU73">
        <v>10642.5</v>
      </c>
      <c r="BW73">
        <v>306.2</v>
      </c>
      <c r="BY73">
        <v>349.5</v>
      </c>
      <c r="CA73">
        <v>5333</v>
      </c>
      <c r="CC73">
        <v>219.7</v>
      </c>
      <c r="CE73">
        <v>925.8</v>
      </c>
      <c r="CG73">
        <v>826.2</v>
      </c>
      <c r="CI73">
        <v>567.6</v>
      </c>
      <c r="CK73">
        <v>753</v>
      </c>
      <c r="CM73">
        <v>620.9</v>
      </c>
      <c r="CO73">
        <v>135.30000000000001</v>
      </c>
      <c r="CQ73">
        <v>366.5</v>
      </c>
      <c r="CS73">
        <v>266.10000000000002</v>
      </c>
      <c r="CU73">
        <v>8091</v>
      </c>
      <c r="CW73">
        <v>515</v>
      </c>
      <c r="CY73">
        <v>975.4</v>
      </c>
      <c r="DA73">
        <v>814.8</v>
      </c>
      <c r="DC73">
        <v>48.5</v>
      </c>
      <c r="DE73">
        <v>49.1</v>
      </c>
      <c r="DG73">
        <v>2.9</v>
      </c>
      <c r="DI73">
        <v>159.5</v>
      </c>
      <c r="DK73">
        <v>56</v>
      </c>
      <c r="DM73">
        <v>3131.1</v>
      </c>
      <c r="DO73">
        <v>183.1</v>
      </c>
      <c r="DQ73">
        <v>338.3</v>
      </c>
    </row>
    <row r="74" spans="1:121" x14ac:dyDescent="0.2">
      <c r="D74" t="s">
        <v>63</v>
      </c>
      <c r="G74">
        <v>0.59167000000000003</v>
      </c>
      <c r="H74" t="s">
        <v>75</v>
      </c>
      <c r="I74">
        <v>0.59940000000000004</v>
      </c>
      <c r="J74" t="s">
        <v>75</v>
      </c>
      <c r="K74">
        <v>0.59535000000000005</v>
      </c>
      <c r="L74" t="s">
        <v>75</v>
      </c>
      <c r="M74">
        <v>0.60523000000000005</v>
      </c>
      <c r="N74" t="s">
        <v>75</v>
      </c>
      <c r="O74">
        <v>0.55962000000000001</v>
      </c>
      <c r="P74" t="s">
        <v>75</v>
      </c>
      <c r="Q74">
        <v>0.60743000000000003</v>
      </c>
      <c r="R74" t="s">
        <v>75</v>
      </c>
      <c r="S74">
        <v>0.56401000000000001</v>
      </c>
      <c r="T74" t="s">
        <v>75</v>
      </c>
      <c r="U74">
        <v>0.56452000000000002</v>
      </c>
      <c r="V74" t="s">
        <v>75</v>
      </c>
      <c r="W74">
        <v>0.56645000000000001</v>
      </c>
      <c r="X74" t="s">
        <v>75</v>
      </c>
      <c r="Y74">
        <v>0.55496999999999996</v>
      </c>
      <c r="Z74" t="s">
        <v>75</v>
      </c>
      <c r="AB74" t="s">
        <v>76</v>
      </c>
      <c r="AC74">
        <v>0.56710000000000005</v>
      </c>
      <c r="AD74" t="s">
        <v>75</v>
      </c>
      <c r="AE74">
        <v>0.60540000000000005</v>
      </c>
      <c r="AF74" t="s">
        <v>75</v>
      </c>
      <c r="AG74">
        <v>0.56091000000000002</v>
      </c>
      <c r="AH74" t="s">
        <v>75</v>
      </c>
      <c r="AI74">
        <v>2.0645099999999998</v>
      </c>
      <c r="AJ74" t="s">
        <v>75</v>
      </c>
      <c r="AK74">
        <v>0.55027999999999999</v>
      </c>
      <c r="AL74" t="s">
        <v>75</v>
      </c>
      <c r="AM74">
        <v>0.55764000000000002</v>
      </c>
      <c r="AN74" t="s">
        <v>75</v>
      </c>
      <c r="AO74">
        <v>0.57813999999999999</v>
      </c>
      <c r="AP74" t="s">
        <v>75</v>
      </c>
      <c r="AQ74">
        <v>0.58228000000000002</v>
      </c>
      <c r="AR74" t="s">
        <v>75</v>
      </c>
      <c r="AS74">
        <v>0.58140000000000003</v>
      </c>
      <c r="AT74" t="s">
        <v>75</v>
      </c>
      <c r="AU74">
        <v>0.58658999999999994</v>
      </c>
      <c r="AV74" t="s">
        <v>75</v>
      </c>
      <c r="AW74">
        <v>0.59547000000000005</v>
      </c>
      <c r="AX74" t="s">
        <v>75</v>
      </c>
      <c r="AY74">
        <v>0.61529</v>
      </c>
      <c r="AZ74" t="s">
        <v>75</v>
      </c>
      <c r="BC74">
        <v>-1.5971900000000001</v>
      </c>
      <c r="BD74" t="s">
        <v>75</v>
      </c>
      <c r="BE74">
        <v>0.57298000000000004</v>
      </c>
      <c r="BF74" t="s">
        <v>75</v>
      </c>
      <c r="BG74">
        <v>0.55388000000000004</v>
      </c>
      <c r="BH74" t="s">
        <v>75</v>
      </c>
      <c r="BI74">
        <v>0.55906999999999996</v>
      </c>
      <c r="BJ74" t="s">
        <v>75</v>
      </c>
      <c r="BK74">
        <v>0.55223</v>
      </c>
      <c r="BL74" t="s">
        <v>75</v>
      </c>
      <c r="BM74">
        <v>0.61104000000000003</v>
      </c>
      <c r="BN74" t="s">
        <v>75</v>
      </c>
      <c r="BO74">
        <v>52.577210000000001</v>
      </c>
      <c r="BP74" t="s">
        <v>75</v>
      </c>
      <c r="BQ74">
        <v>5.2820999999999998</v>
      </c>
      <c r="BR74" t="s">
        <v>75</v>
      </c>
      <c r="BS74">
        <v>12.41663</v>
      </c>
      <c r="BT74" t="s">
        <v>75</v>
      </c>
      <c r="BU74">
        <v>5.2055999999999996</v>
      </c>
      <c r="BV74" t="s">
        <v>75</v>
      </c>
      <c r="BW74">
        <v>7.9041699999999997</v>
      </c>
      <c r="BX74" t="s">
        <v>75</v>
      </c>
      <c r="BY74">
        <v>11.92403</v>
      </c>
      <c r="BZ74" t="s">
        <v>75</v>
      </c>
      <c r="CA74">
        <v>11.129619999999999</v>
      </c>
      <c r="CB74" t="s">
        <v>75</v>
      </c>
      <c r="CC74">
        <v>0.58309999999999995</v>
      </c>
      <c r="CD74" t="s">
        <v>75</v>
      </c>
      <c r="CE74">
        <v>0.56701000000000001</v>
      </c>
      <c r="CF74" t="s">
        <v>75</v>
      </c>
      <c r="CG74">
        <v>0.57584000000000002</v>
      </c>
      <c r="CH74" t="s">
        <v>75</v>
      </c>
      <c r="CI74">
        <v>0.54534000000000005</v>
      </c>
      <c r="CJ74" t="s">
        <v>75</v>
      </c>
      <c r="CK74">
        <v>1.7931299999999999</v>
      </c>
      <c r="CL74" t="s">
        <v>75</v>
      </c>
      <c r="CM74">
        <v>0.55391999999999997</v>
      </c>
      <c r="CN74" t="s">
        <v>75</v>
      </c>
      <c r="CO74">
        <v>0.52337999999999996</v>
      </c>
      <c r="CP74" t="s">
        <v>75</v>
      </c>
      <c r="CQ74">
        <v>1.0463100000000001</v>
      </c>
      <c r="CR74" t="s">
        <v>75</v>
      </c>
      <c r="CS74">
        <v>3.72715</v>
      </c>
      <c r="CT74" t="s">
        <v>75</v>
      </c>
      <c r="CV74" t="s">
        <v>76</v>
      </c>
      <c r="CW74">
        <v>0.55367999999999995</v>
      </c>
      <c r="CX74" t="s">
        <v>75</v>
      </c>
      <c r="DA74">
        <v>7.9439099999999998</v>
      </c>
      <c r="DB74" t="s">
        <v>75</v>
      </c>
      <c r="DC74">
        <v>0.62958999999999998</v>
      </c>
      <c r="DD74" t="s">
        <v>75</v>
      </c>
      <c r="DE74">
        <v>0.71287999999999996</v>
      </c>
      <c r="DF74" t="s">
        <v>75</v>
      </c>
      <c r="DG74">
        <v>0.64380999999999999</v>
      </c>
      <c r="DH74" t="s">
        <v>75</v>
      </c>
      <c r="DI74">
        <v>1.8383400000000001</v>
      </c>
      <c r="DJ74" t="s">
        <v>75</v>
      </c>
      <c r="DL74" t="s">
        <v>76</v>
      </c>
      <c r="DN74" t="s">
        <v>76</v>
      </c>
      <c r="DO74">
        <v>0.61836999999999998</v>
      </c>
      <c r="DP74" t="s">
        <v>75</v>
      </c>
    </row>
    <row r="75" spans="1:121" x14ac:dyDescent="0.2">
      <c r="D75" t="s">
        <v>64</v>
      </c>
      <c r="G75">
        <v>1.4279999999999999E-2</v>
      </c>
      <c r="H75" t="s">
        <v>75</v>
      </c>
      <c r="I75">
        <v>1.8409999999999999E-2</v>
      </c>
      <c r="J75" t="s">
        <v>75</v>
      </c>
      <c r="K75">
        <v>6.3400000000000001E-3</v>
      </c>
      <c r="L75" t="s">
        <v>75</v>
      </c>
      <c r="M75">
        <v>2.7699999999999999E-3</v>
      </c>
      <c r="N75" t="s">
        <v>75</v>
      </c>
      <c r="O75">
        <v>4.7699999999999999E-3</v>
      </c>
      <c r="P75" t="s">
        <v>75</v>
      </c>
      <c r="Q75">
        <v>5.5599999999999998E-3</v>
      </c>
      <c r="R75" t="s">
        <v>75</v>
      </c>
      <c r="S75">
        <v>5.7299999999999999E-3</v>
      </c>
      <c r="T75" t="s">
        <v>75</v>
      </c>
      <c r="U75">
        <v>8.9899999999999997E-3</v>
      </c>
      <c r="V75" t="s">
        <v>75</v>
      </c>
      <c r="W75">
        <v>5.94E-3</v>
      </c>
      <c r="X75" t="s">
        <v>75</v>
      </c>
      <c r="Y75">
        <v>6.3499999999999997E-3</v>
      </c>
      <c r="Z75" t="s">
        <v>75</v>
      </c>
      <c r="AC75">
        <v>9.2899999999999996E-3</v>
      </c>
      <c r="AD75" t="s">
        <v>75</v>
      </c>
      <c r="AE75">
        <v>1.176E-2</v>
      </c>
      <c r="AF75" t="s">
        <v>75</v>
      </c>
      <c r="AG75">
        <v>8.5599999999999999E-3</v>
      </c>
      <c r="AH75" t="s">
        <v>75</v>
      </c>
      <c r="AI75">
        <v>4.1399999999999999E-2</v>
      </c>
      <c r="AJ75" t="s">
        <v>75</v>
      </c>
      <c r="AK75">
        <v>1.2330000000000001E-2</v>
      </c>
      <c r="AL75" t="s">
        <v>75</v>
      </c>
      <c r="AM75">
        <v>1.4670000000000001E-2</v>
      </c>
      <c r="AN75" t="s">
        <v>75</v>
      </c>
      <c r="AO75">
        <v>1.524E-2</v>
      </c>
      <c r="AP75" t="s">
        <v>75</v>
      </c>
      <c r="AQ75">
        <v>1.5890000000000001E-2</v>
      </c>
      <c r="AR75" t="s">
        <v>75</v>
      </c>
      <c r="AS75">
        <v>1.0789999999999999E-2</v>
      </c>
      <c r="AT75" t="s">
        <v>75</v>
      </c>
      <c r="AU75">
        <v>1.503E-2</v>
      </c>
      <c r="AV75" t="s">
        <v>75</v>
      </c>
      <c r="AW75">
        <v>1.8319999999999999E-2</v>
      </c>
      <c r="AX75" t="s">
        <v>75</v>
      </c>
      <c r="AY75">
        <v>1.391E-2</v>
      </c>
      <c r="AZ75" t="s">
        <v>75</v>
      </c>
      <c r="BC75">
        <v>1.383E-2</v>
      </c>
      <c r="BD75" t="s">
        <v>75</v>
      </c>
      <c r="BE75">
        <v>8.3300000000000006E-3</v>
      </c>
      <c r="BF75" t="s">
        <v>75</v>
      </c>
      <c r="BG75">
        <v>7.5199999999999998E-3</v>
      </c>
      <c r="BH75" t="s">
        <v>75</v>
      </c>
      <c r="BI75">
        <v>1.5440000000000001E-2</v>
      </c>
      <c r="BJ75" t="s">
        <v>75</v>
      </c>
      <c r="BK75">
        <v>8.8299999999999993E-3</v>
      </c>
      <c r="BL75" t="s">
        <v>75</v>
      </c>
      <c r="BM75">
        <v>1.486E-2</v>
      </c>
      <c r="BN75" t="s">
        <v>75</v>
      </c>
      <c r="BO75">
        <v>3.2183700000000002</v>
      </c>
      <c r="BP75" t="s">
        <v>75</v>
      </c>
      <c r="BQ75">
        <v>0.92774000000000001</v>
      </c>
      <c r="BR75" t="s">
        <v>75</v>
      </c>
      <c r="BS75">
        <v>0.20455999999999999</v>
      </c>
      <c r="BT75" t="s">
        <v>75</v>
      </c>
      <c r="BU75">
        <v>0.89024999999999999</v>
      </c>
      <c r="BV75" t="s">
        <v>75</v>
      </c>
      <c r="BW75">
        <v>0.22287999999999999</v>
      </c>
      <c r="BX75" t="s">
        <v>75</v>
      </c>
      <c r="BY75">
        <v>0.42046</v>
      </c>
      <c r="BZ75" t="s">
        <v>75</v>
      </c>
      <c r="CA75">
        <v>3.1837599999999999</v>
      </c>
      <c r="CB75" t="s">
        <v>75</v>
      </c>
      <c r="CC75">
        <v>5.0840000000000003E-2</v>
      </c>
      <c r="CD75" t="s">
        <v>75</v>
      </c>
      <c r="CE75">
        <v>8.2299999999999995E-3</v>
      </c>
      <c r="CF75" t="s">
        <v>75</v>
      </c>
      <c r="CG75">
        <v>1.108E-2</v>
      </c>
      <c r="CH75" t="s">
        <v>75</v>
      </c>
      <c r="CI75">
        <v>1.644E-2</v>
      </c>
      <c r="CJ75" t="s">
        <v>75</v>
      </c>
      <c r="CK75">
        <v>3.7280000000000001E-2</v>
      </c>
      <c r="CL75" t="s">
        <v>75</v>
      </c>
      <c r="CM75">
        <v>1.1900000000000001E-2</v>
      </c>
      <c r="CN75" t="s">
        <v>75</v>
      </c>
      <c r="CO75">
        <v>1.282E-2</v>
      </c>
      <c r="CP75" t="s">
        <v>75</v>
      </c>
      <c r="CQ75">
        <v>2.6210000000000001E-2</v>
      </c>
      <c r="CR75" t="s">
        <v>75</v>
      </c>
      <c r="CS75">
        <v>0.12131</v>
      </c>
      <c r="CT75" t="s">
        <v>75</v>
      </c>
      <c r="CW75">
        <v>2.9579999999999999E-2</v>
      </c>
      <c r="CX75" t="s">
        <v>75</v>
      </c>
      <c r="DA75">
        <v>0.20460999999999999</v>
      </c>
      <c r="DB75" t="s">
        <v>75</v>
      </c>
      <c r="DC75">
        <v>2.8309999999999998E-2</v>
      </c>
      <c r="DD75" t="s">
        <v>75</v>
      </c>
      <c r="DE75">
        <v>3.5680000000000003E-2</v>
      </c>
      <c r="DF75" t="s">
        <v>75</v>
      </c>
      <c r="DG75">
        <v>1.2189999999999999E-2</v>
      </c>
      <c r="DH75" t="s">
        <v>75</v>
      </c>
      <c r="DI75">
        <v>0.25803999999999999</v>
      </c>
      <c r="DJ75" t="s">
        <v>75</v>
      </c>
      <c r="DO75">
        <v>3.1399999999999997E-2</v>
      </c>
      <c r="DP75" t="s">
        <v>75</v>
      </c>
    </row>
    <row r="76" spans="1:121" x14ac:dyDescent="0.2">
      <c r="D76" t="s">
        <v>65</v>
      </c>
      <c r="G76" t="s">
        <v>66</v>
      </c>
      <c r="I76" t="s">
        <v>66</v>
      </c>
      <c r="K76" t="s">
        <v>66</v>
      </c>
      <c r="M76" t="s">
        <v>66</v>
      </c>
      <c r="O76" t="s">
        <v>66</v>
      </c>
      <c r="Q76" t="s">
        <v>66</v>
      </c>
      <c r="S76" t="s">
        <v>66</v>
      </c>
      <c r="U76" t="s">
        <v>66</v>
      </c>
      <c r="W76" t="s">
        <v>66</v>
      </c>
      <c r="Y76" t="s">
        <v>66</v>
      </c>
      <c r="AA76" t="s">
        <v>66</v>
      </c>
      <c r="AC76" t="s">
        <v>66</v>
      </c>
      <c r="AE76" t="s">
        <v>66</v>
      </c>
      <c r="AG76" t="s">
        <v>66</v>
      </c>
      <c r="AI76" t="s">
        <v>66</v>
      </c>
      <c r="AK76" t="s">
        <v>66</v>
      </c>
      <c r="AM76" t="s">
        <v>66</v>
      </c>
      <c r="AO76" t="s">
        <v>66</v>
      </c>
      <c r="AQ76" t="s">
        <v>66</v>
      </c>
      <c r="AS76" t="s">
        <v>66</v>
      </c>
      <c r="AU76" t="s">
        <v>66</v>
      </c>
      <c r="AW76" t="s">
        <v>66</v>
      </c>
      <c r="AY76" t="s">
        <v>66</v>
      </c>
      <c r="BA76" t="s">
        <v>66</v>
      </c>
      <c r="BC76" t="s">
        <v>66</v>
      </c>
      <c r="BE76" t="s">
        <v>66</v>
      </c>
      <c r="BG76" t="s">
        <v>66</v>
      </c>
      <c r="BI76" t="s">
        <v>66</v>
      </c>
      <c r="BK76" t="s">
        <v>66</v>
      </c>
      <c r="BM76" t="s">
        <v>66</v>
      </c>
      <c r="BO76" t="s">
        <v>66</v>
      </c>
      <c r="BQ76" t="s">
        <v>66</v>
      </c>
      <c r="BS76" t="s">
        <v>66</v>
      </c>
      <c r="BU76" t="s">
        <v>66</v>
      </c>
      <c r="BW76" t="s">
        <v>66</v>
      </c>
      <c r="BY76" t="s">
        <v>66</v>
      </c>
      <c r="CA76" t="s">
        <v>66</v>
      </c>
      <c r="CC76" t="s">
        <v>66</v>
      </c>
      <c r="CE76" t="s">
        <v>66</v>
      </c>
      <c r="CG76" t="s">
        <v>66</v>
      </c>
      <c r="CI76" t="s">
        <v>66</v>
      </c>
      <c r="CK76" t="s">
        <v>66</v>
      </c>
      <c r="CM76" t="s">
        <v>66</v>
      </c>
      <c r="CO76" t="s">
        <v>66</v>
      </c>
      <c r="CQ76" t="s">
        <v>66</v>
      </c>
      <c r="CS76" t="s">
        <v>66</v>
      </c>
      <c r="CU76" t="s">
        <v>66</v>
      </c>
      <c r="CW76" t="s">
        <v>66</v>
      </c>
      <c r="CY76" t="s">
        <v>66</v>
      </c>
      <c r="DA76" t="s">
        <v>66</v>
      </c>
      <c r="DC76" t="s">
        <v>66</v>
      </c>
      <c r="DE76" t="s">
        <v>66</v>
      </c>
      <c r="DG76" t="s">
        <v>66</v>
      </c>
      <c r="DI76" t="s">
        <v>66</v>
      </c>
      <c r="DK76" t="s">
        <v>66</v>
      </c>
      <c r="DM76" t="s">
        <v>66</v>
      </c>
      <c r="DO76" t="s">
        <v>66</v>
      </c>
      <c r="DQ76" t="s">
        <v>66</v>
      </c>
    </row>
    <row r="77" spans="1:121" x14ac:dyDescent="0.2">
      <c r="A77" t="s">
        <v>585</v>
      </c>
      <c r="D77" t="s">
        <v>60</v>
      </c>
      <c r="E77" t="s">
        <v>61</v>
      </c>
      <c r="G77">
        <v>10816.9</v>
      </c>
      <c r="I77">
        <v>743.4</v>
      </c>
      <c r="K77">
        <v>26621.3</v>
      </c>
      <c r="M77">
        <v>76435.8</v>
      </c>
      <c r="O77">
        <v>2330</v>
      </c>
      <c r="Q77">
        <v>8982.6</v>
      </c>
      <c r="S77">
        <v>2024.5</v>
      </c>
      <c r="U77">
        <v>2241.5</v>
      </c>
      <c r="W77">
        <v>23183.599999999999</v>
      </c>
      <c r="Y77">
        <v>822.2</v>
      </c>
      <c r="AA77">
        <v>2915773.3</v>
      </c>
      <c r="AC77">
        <v>5904.3</v>
      </c>
      <c r="AE77">
        <v>22631.3</v>
      </c>
      <c r="AG77">
        <v>17430.599999999999</v>
      </c>
      <c r="AI77">
        <v>23960.3</v>
      </c>
      <c r="AK77">
        <v>3086.2</v>
      </c>
      <c r="AM77">
        <v>5667.5</v>
      </c>
      <c r="AO77">
        <v>689.9</v>
      </c>
      <c r="AQ77">
        <v>194.8</v>
      </c>
      <c r="AS77">
        <v>662.7</v>
      </c>
      <c r="AU77">
        <v>367.7</v>
      </c>
      <c r="AW77">
        <v>245.8</v>
      </c>
      <c r="AY77">
        <v>4539</v>
      </c>
      <c r="BA77">
        <v>657133.6</v>
      </c>
      <c r="BC77">
        <v>3466.9</v>
      </c>
      <c r="BE77">
        <v>764.9</v>
      </c>
      <c r="BG77">
        <v>24540.7</v>
      </c>
      <c r="BI77">
        <v>20966</v>
      </c>
      <c r="BK77">
        <v>51694.1</v>
      </c>
      <c r="BM77">
        <v>5016.7</v>
      </c>
      <c r="BO77">
        <v>1400166.8</v>
      </c>
      <c r="BQ77">
        <v>75294.8</v>
      </c>
      <c r="BS77">
        <v>434365.9</v>
      </c>
      <c r="BU77">
        <v>600835.1</v>
      </c>
      <c r="BW77">
        <v>11501.6</v>
      </c>
      <c r="BY77">
        <v>44865.7</v>
      </c>
      <c r="CA77">
        <v>28303.4</v>
      </c>
      <c r="CC77">
        <v>209.3</v>
      </c>
      <c r="CE77">
        <v>647.4</v>
      </c>
      <c r="CG77">
        <v>166038.5</v>
      </c>
      <c r="CI77">
        <v>48022.9</v>
      </c>
      <c r="CK77">
        <v>407000.4</v>
      </c>
      <c r="CM77">
        <v>897.7</v>
      </c>
      <c r="CO77">
        <v>9411.2999999999993</v>
      </c>
      <c r="CQ77">
        <v>22094.2</v>
      </c>
      <c r="CS77">
        <v>8630.5</v>
      </c>
      <c r="CU77">
        <v>254172.4</v>
      </c>
      <c r="CW77">
        <v>611.20000000000005</v>
      </c>
      <c r="CY77">
        <v>58748.5</v>
      </c>
      <c r="DA77">
        <v>137380.20000000001</v>
      </c>
      <c r="DC77">
        <v>0.6</v>
      </c>
      <c r="DE77">
        <v>16.7</v>
      </c>
      <c r="DG77">
        <v>18.7</v>
      </c>
      <c r="DI77">
        <v>642.9</v>
      </c>
      <c r="DK77">
        <v>965.4</v>
      </c>
      <c r="DM77">
        <v>80979.100000000006</v>
      </c>
      <c r="DO77">
        <v>189.4</v>
      </c>
      <c r="DQ77">
        <v>17790.2</v>
      </c>
    </row>
    <row r="78" spans="1:121" x14ac:dyDescent="0.2">
      <c r="D78" t="s">
        <v>62</v>
      </c>
      <c r="E78" t="s">
        <v>61</v>
      </c>
      <c r="G78">
        <v>306.5</v>
      </c>
      <c r="I78">
        <v>62.4</v>
      </c>
      <c r="K78">
        <v>230</v>
      </c>
      <c r="M78">
        <v>2344.6999999999998</v>
      </c>
      <c r="O78">
        <v>112.8</v>
      </c>
      <c r="Q78">
        <v>225</v>
      </c>
      <c r="S78">
        <v>92.5</v>
      </c>
      <c r="U78">
        <v>59.5</v>
      </c>
      <c r="W78">
        <v>673.2</v>
      </c>
      <c r="Y78">
        <v>70.8</v>
      </c>
      <c r="AA78">
        <v>24772.7</v>
      </c>
      <c r="AC78">
        <v>191.6</v>
      </c>
      <c r="AE78">
        <v>283.60000000000002</v>
      </c>
      <c r="AG78">
        <v>516.20000000000005</v>
      </c>
      <c r="AI78">
        <v>388</v>
      </c>
      <c r="AK78">
        <v>71.7</v>
      </c>
      <c r="AM78">
        <v>180.3</v>
      </c>
      <c r="AO78">
        <v>40.299999999999997</v>
      </c>
      <c r="AQ78">
        <v>9.5</v>
      </c>
      <c r="AS78">
        <v>16.5</v>
      </c>
      <c r="AU78">
        <v>20.399999999999999</v>
      </c>
      <c r="AW78">
        <v>25.3</v>
      </c>
      <c r="AY78">
        <v>94</v>
      </c>
      <c r="BA78">
        <v>8311.4</v>
      </c>
      <c r="BC78">
        <v>86.7</v>
      </c>
      <c r="BE78">
        <v>92.9</v>
      </c>
      <c r="BG78">
        <v>474.6</v>
      </c>
      <c r="BI78">
        <v>532.9</v>
      </c>
      <c r="BK78">
        <v>125.5</v>
      </c>
      <c r="BM78">
        <v>751.7</v>
      </c>
      <c r="BO78">
        <v>14408.9</v>
      </c>
      <c r="BQ78">
        <v>1113.9000000000001</v>
      </c>
      <c r="BS78">
        <v>11238.1</v>
      </c>
      <c r="BU78">
        <v>5889</v>
      </c>
      <c r="BW78">
        <v>135</v>
      </c>
      <c r="BY78">
        <v>277.8</v>
      </c>
      <c r="CA78">
        <v>440.4</v>
      </c>
      <c r="CC78">
        <v>27</v>
      </c>
      <c r="CE78">
        <v>44.5</v>
      </c>
      <c r="CG78">
        <v>2556.1</v>
      </c>
      <c r="CI78">
        <v>1091.2</v>
      </c>
      <c r="CK78">
        <v>5609.3</v>
      </c>
      <c r="CM78">
        <v>22.2</v>
      </c>
      <c r="CO78">
        <v>185.6</v>
      </c>
      <c r="CQ78">
        <v>297.10000000000002</v>
      </c>
      <c r="CS78">
        <v>265.89999999999998</v>
      </c>
      <c r="CU78">
        <v>2895.3</v>
      </c>
      <c r="CW78">
        <v>54.7</v>
      </c>
      <c r="CY78">
        <v>1150.4000000000001</v>
      </c>
      <c r="DA78">
        <v>2187.9</v>
      </c>
      <c r="DC78">
        <v>1</v>
      </c>
      <c r="DE78">
        <v>8.1</v>
      </c>
      <c r="DG78">
        <v>13.1</v>
      </c>
      <c r="DI78">
        <v>134.19999999999999</v>
      </c>
      <c r="DK78">
        <v>59.4</v>
      </c>
      <c r="DM78">
        <v>858.9</v>
      </c>
      <c r="DO78">
        <v>4.8</v>
      </c>
      <c r="DQ78">
        <v>447.8</v>
      </c>
    </row>
    <row r="79" spans="1:121" x14ac:dyDescent="0.2">
      <c r="D79" t="s">
        <v>63</v>
      </c>
      <c r="G79">
        <v>5.4269999999999999E-2</v>
      </c>
      <c r="H79" t="s">
        <v>75</v>
      </c>
      <c r="I79">
        <v>1.4160000000000001E-2</v>
      </c>
      <c r="J79" t="s">
        <v>75</v>
      </c>
      <c r="K79">
        <v>3.1449999999999999E-2</v>
      </c>
      <c r="L79" t="s">
        <v>75</v>
      </c>
      <c r="M79">
        <v>4.5909999999999999E-2</v>
      </c>
      <c r="N79" t="s">
        <v>75</v>
      </c>
      <c r="O79">
        <v>4.9300000000000004E-3</v>
      </c>
      <c r="P79" t="s">
        <v>75</v>
      </c>
      <c r="Q79">
        <v>8.0829999999999999E-2</v>
      </c>
      <c r="R79" t="s">
        <v>75</v>
      </c>
      <c r="S79">
        <v>1.14E-3</v>
      </c>
      <c r="T79" t="s">
        <v>75</v>
      </c>
      <c r="U79">
        <v>1.521E-2</v>
      </c>
      <c r="V79" t="s">
        <v>75</v>
      </c>
      <c r="W79">
        <v>5.4289999999999998E-2</v>
      </c>
      <c r="X79" t="s">
        <v>75</v>
      </c>
      <c r="Y79">
        <v>1.26E-2</v>
      </c>
      <c r="Z79" t="s">
        <v>75</v>
      </c>
      <c r="AB79" t="s">
        <v>76</v>
      </c>
      <c r="AC79">
        <v>6.3380000000000006E-2</v>
      </c>
      <c r="AD79" t="s">
        <v>75</v>
      </c>
      <c r="AE79">
        <v>0.12667999999999999</v>
      </c>
      <c r="AF79" t="s">
        <v>75</v>
      </c>
      <c r="AG79">
        <v>-2.2399999999999998E-3</v>
      </c>
      <c r="AH79" t="s">
        <v>75</v>
      </c>
      <c r="AI79">
        <v>0.15623999999999999</v>
      </c>
      <c r="AJ79" t="s">
        <v>75</v>
      </c>
      <c r="AK79">
        <v>4.0000000000000003E-5</v>
      </c>
      <c r="AL79" t="s">
        <v>75</v>
      </c>
      <c r="AM79">
        <v>-1.2899999999999999E-3</v>
      </c>
      <c r="AN79" t="s">
        <v>75</v>
      </c>
      <c r="AO79">
        <v>4.0299999999999997E-3</v>
      </c>
      <c r="AP79" t="s">
        <v>75</v>
      </c>
      <c r="AQ79">
        <v>-1E-4</v>
      </c>
      <c r="AR79" t="s">
        <v>75</v>
      </c>
      <c r="AS79">
        <v>2E-3</v>
      </c>
      <c r="AT79" t="s">
        <v>75</v>
      </c>
      <c r="AU79">
        <v>1.6000000000000001E-3</v>
      </c>
      <c r="AV79" t="s">
        <v>75</v>
      </c>
      <c r="AW79">
        <v>-1.9000000000000001E-4</v>
      </c>
      <c r="AX79" t="s">
        <v>75</v>
      </c>
      <c r="AY79">
        <v>4.7499999999999999E-3</v>
      </c>
      <c r="AZ79" t="s">
        <v>75</v>
      </c>
      <c r="BC79">
        <v>-2.04921</v>
      </c>
      <c r="BD79" t="s">
        <v>75</v>
      </c>
      <c r="BE79">
        <v>3.32E-3</v>
      </c>
      <c r="BF79" t="s">
        <v>75</v>
      </c>
      <c r="BG79">
        <v>3.3989999999999999E-2</v>
      </c>
      <c r="BH79" t="s">
        <v>75</v>
      </c>
      <c r="BI79">
        <v>5.5379999999999999E-2</v>
      </c>
      <c r="BJ79" t="s">
        <v>75</v>
      </c>
      <c r="BK79">
        <v>2.58E-2</v>
      </c>
      <c r="BL79" t="s">
        <v>75</v>
      </c>
      <c r="BM79">
        <v>-5.1399999999999996E-3</v>
      </c>
      <c r="BN79" t="s">
        <v>75</v>
      </c>
      <c r="BO79">
        <v>29.653009999999998</v>
      </c>
      <c r="BP79" t="s">
        <v>75</v>
      </c>
      <c r="BQ79">
        <v>2.1676799999999998</v>
      </c>
      <c r="BR79" t="s">
        <v>75</v>
      </c>
      <c r="BS79">
        <v>9.4256899999999995</v>
      </c>
      <c r="BT79" t="s">
        <v>75</v>
      </c>
      <c r="BU79">
        <v>4.7577699999999998</v>
      </c>
      <c r="BV79" t="s">
        <v>75</v>
      </c>
      <c r="BW79">
        <v>4.7041300000000001</v>
      </c>
      <c r="BX79" t="s">
        <v>75</v>
      </c>
      <c r="BY79">
        <v>4.6645200000000004</v>
      </c>
      <c r="BZ79" t="s">
        <v>75</v>
      </c>
      <c r="CA79">
        <v>11.791689999999999</v>
      </c>
      <c r="CB79" t="s">
        <v>75</v>
      </c>
      <c r="CC79">
        <v>3.1019999999999999E-2</v>
      </c>
      <c r="CD79" t="s">
        <v>75</v>
      </c>
      <c r="CE79">
        <v>8.1600000000000006E-3</v>
      </c>
      <c r="CF79" t="s">
        <v>75</v>
      </c>
      <c r="CG79">
        <v>2.85554</v>
      </c>
      <c r="CH79" t="s">
        <v>75</v>
      </c>
      <c r="CI79">
        <v>0.60724999999999996</v>
      </c>
      <c r="CJ79" t="s">
        <v>75</v>
      </c>
      <c r="CK79">
        <v>5.5203899999999999</v>
      </c>
      <c r="CL79" t="s">
        <v>75</v>
      </c>
      <c r="CM79">
        <v>5.9500000000000004E-3</v>
      </c>
      <c r="CN79" t="s">
        <v>75</v>
      </c>
      <c r="CO79">
        <v>0.55045999999999995</v>
      </c>
      <c r="CP79" t="s">
        <v>75</v>
      </c>
      <c r="CQ79">
        <v>0.65114000000000005</v>
      </c>
      <c r="CR79" t="s">
        <v>75</v>
      </c>
      <c r="CS79">
        <v>2.19299</v>
      </c>
      <c r="CT79" t="s">
        <v>75</v>
      </c>
      <c r="CV79" t="s">
        <v>76</v>
      </c>
      <c r="CW79">
        <v>-2.66E-3</v>
      </c>
      <c r="CX79" t="s">
        <v>75</v>
      </c>
      <c r="DA79">
        <v>7.2828299999999997</v>
      </c>
      <c r="DB79" t="s">
        <v>75</v>
      </c>
      <c r="DC79">
        <v>-8.4000000000000003E-4</v>
      </c>
      <c r="DD79" t="s">
        <v>75</v>
      </c>
      <c r="DE79">
        <v>-1.133E-2</v>
      </c>
      <c r="DF79" t="s">
        <v>75</v>
      </c>
      <c r="DG79">
        <v>2.7269999999999999E-2</v>
      </c>
      <c r="DH79" t="s">
        <v>75</v>
      </c>
      <c r="DI79">
        <v>0.58528000000000002</v>
      </c>
      <c r="DJ79" t="s">
        <v>75</v>
      </c>
      <c r="DL79" t="s">
        <v>76</v>
      </c>
      <c r="DN79" t="s">
        <v>76</v>
      </c>
      <c r="DO79">
        <v>1.753E-2</v>
      </c>
      <c r="DP79" t="s">
        <v>75</v>
      </c>
    </row>
    <row r="80" spans="1:121" x14ac:dyDescent="0.2">
      <c r="D80" t="s">
        <v>64</v>
      </c>
      <c r="G80">
        <v>1.7099999999999999E-3</v>
      </c>
      <c r="H80" t="s">
        <v>75</v>
      </c>
      <c r="I80">
        <v>2.47E-3</v>
      </c>
      <c r="J80" t="s">
        <v>75</v>
      </c>
      <c r="K80">
        <v>4.4000000000000002E-4</v>
      </c>
      <c r="L80" t="s">
        <v>75</v>
      </c>
      <c r="M80">
        <v>2.7200000000000002E-3</v>
      </c>
      <c r="N80" t="s">
        <v>75</v>
      </c>
      <c r="O80">
        <v>1.2E-4</v>
      </c>
      <c r="P80" t="s">
        <v>75</v>
      </c>
      <c r="Q80">
        <v>1.41E-3</v>
      </c>
      <c r="R80" t="s">
        <v>75</v>
      </c>
      <c r="S80">
        <v>9.0000000000000006E-5</v>
      </c>
      <c r="T80" t="s">
        <v>75</v>
      </c>
      <c r="U80">
        <v>3.6999999999999999E-4</v>
      </c>
      <c r="V80" t="s">
        <v>75</v>
      </c>
      <c r="W80">
        <v>2.0799999999999998E-3</v>
      </c>
      <c r="X80" t="s">
        <v>75</v>
      </c>
      <c r="Y80">
        <v>1.1000000000000001E-3</v>
      </c>
      <c r="Z80" t="s">
        <v>75</v>
      </c>
      <c r="AC80">
        <v>8.8000000000000003E-4</v>
      </c>
      <c r="AD80" t="s">
        <v>75</v>
      </c>
      <c r="AE80">
        <v>2.0300000000000001E-3</v>
      </c>
      <c r="AF80" t="s">
        <v>75</v>
      </c>
      <c r="AG80">
        <v>5.1999999999999995E-4</v>
      </c>
      <c r="AH80" t="s">
        <v>75</v>
      </c>
      <c r="AI80">
        <v>2.9299999999999999E-3</v>
      </c>
      <c r="AJ80" t="s">
        <v>75</v>
      </c>
      <c r="AK80">
        <v>5.0000000000000002E-5</v>
      </c>
      <c r="AL80" t="s">
        <v>75</v>
      </c>
      <c r="AM80">
        <v>9.0000000000000006E-5</v>
      </c>
      <c r="AN80" t="s">
        <v>75</v>
      </c>
      <c r="AO80">
        <v>1.8000000000000001E-4</v>
      </c>
      <c r="AP80" t="s">
        <v>75</v>
      </c>
      <c r="AQ80">
        <v>4.0000000000000003E-5</v>
      </c>
      <c r="AR80" t="s">
        <v>75</v>
      </c>
      <c r="AS80">
        <v>4.0000000000000003E-5</v>
      </c>
      <c r="AT80" t="s">
        <v>75</v>
      </c>
      <c r="AU80">
        <v>1.0000000000000001E-5</v>
      </c>
      <c r="AV80" t="s">
        <v>75</v>
      </c>
      <c r="AW80">
        <v>6.0000000000000002E-5</v>
      </c>
      <c r="AX80" t="s">
        <v>75</v>
      </c>
      <c r="AY80">
        <v>2.1000000000000001E-4</v>
      </c>
      <c r="AZ80" t="s">
        <v>75</v>
      </c>
      <c r="BC80">
        <v>1.3999999999999999E-4</v>
      </c>
      <c r="BD80" t="s">
        <v>75</v>
      </c>
      <c r="BE80">
        <v>9.0000000000000006E-5</v>
      </c>
      <c r="BF80" t="s">
        <v>75</v>
      </c>
      <c r="BG80">
        <v>1.57E-3</v>
      </c>
      <c r="BH80" t="s">
        <v>75</v>
      </c>
      <c r="BI80">
        <v>2.63E-3</v>
      </c>
      <c r="BJ80" t="s">
        <v>75</v>
      </c>
      <c r="BK80">
        <v>1.1999999999999999E-3</v>
      </c>
      <c r="BL80" t="s">
        <v>75</v>
      </c>
      <c r="BM80">
        <v>6.7000000000000002E-4</v>
      </c>
      <c r="BN80" t="s">
        <v>75</v>
      </c>
      <c r="BO80">
        <v>0.84789999999999999</v>
      </c>
      <c r="BP80" t="s">
        <v>75</v>
      </c>
      <c r="BQ80">
        <v>8.8679999999999995E-2</v>
      </c>
      <c r="BR80" t="s">
        <v>75</v>
      </c>
      <c r="BS80">
        <v>0.42324000000000001</v>
      </c>
      <c r="BT80" t="s">
        <v>75</v>
      </c>
      <c r="BU80">
        <v>0.74058000000000002</v>
      </c>
      <c r="BV80" t="s">
        <v>75</v>
      </c>
      <c r="BW80">
        <v>8.9260000000000006E-2</v>
      </c>
      <c r="BX80" t="s">
        <v>75</v>
      </c>
      <c r="BY80">
        <v>0.25713000000000003</v>
      </c>
      <c r="BZ80" t="s">
        <v>75</v>
      </c>
      <c r="CA80">
        <v>0.53876999999999997</v>
      </c>
      <c r="CB80" t="s">
        <v>75</v>
      </c>
      <c r="CC80">
        <v>5.2900000000000004E-3</v>
      </c>
      <c r="CD80" t="s">
        <v>75</v>
      </c>
      <c r="CE80">
        <v>8.7000000000000001E-4</v>
      </c>
      <c r="CF80" t="s">
        <v>75</v>
      </c>
      <c r="CG80">
        <v>7.3270000000000002E-2</v>
      </c>
      <c r="CH80" t="s">
        <v>75</v>
      </c>
      <c r="CI80">
        <v>1.418E-2</v>
      </c>
      <c r="CJ80" t="s">
        <v>75</v>
      </c>
      <c r="CK80">
        <v>0.13769000000000001</v>
      </c>
      <c r="CL80" t="s">
        <v>75</v>
      </c>
      <c r="CM80">
        <v>2.7E-4</v>
      </c>
      <c r="CN80" t="s">
        <v>75</v>
      </c>
      <c r="CO80">
        <v>7.92E-3</v>
      </c>
      <c r="CP80" t="s">
        <v>75</v>
      </c>
      <c r="CQ80">
        <v>1.9439999999999999E-2</v>
      </c>
      <c r="CR80" t="s">
        <v>75</v>
      </c>
      <c r="CS80">
        <v>8.7690000000000004E-2</v>
      </c>
      <c r="CT80" t="s">
        <v>75</v>
      </c>
      <c r="CW80">
        <v>2.5200000000000001E-3</v>
      </c>
      <c r="CX80" t="s">
        <v>75</v>
      </c>
      <c r="DA80">
        <v>0.30303000000000002</v>
      </c>
      <c r="DB80" t="s">
        <v>75</v>
      </c>
      <c r="DC80">
        <v>4.0000000000000002E-4</v>
      </c>
      <c r="DD80" t="s">
        <v>75</v>
      </c>
      <c r="DE80">
        <v>3.3700000000000002E-3</v>
      </c>
      <c r="DF80" t="s">
        <v>75</v>
      </c>
      <c r="DG80">
        <v>6.0999999999999999E-2</v>
      </c>
      <c r="DH80" t="s">
        <v>75</v>
      </c>
      <c r="DI80">
        <v>0.23660999999999999</v>
      </c>
      <c r="DJ80" t="s">
        <v>75</v>
      </c>
      <c r="DO80">
        <v>9.3000000000000005E-4</v>
      </c>
      <c r="DP80" t="s">
        <v>75</v>
      </c>
    </row>
    <row r="81" spans="1:121" x14ac:dyDescent="0.2">
      <c r="D81" t="s">
        <v>65</v>
      </c>
      <c r="G81" t="s">
        <v>66</v>
      </c>
      <c r="I81" t="s">
        <v>66</v>
      </c>
      <c r="K81" t="s">
        <v>66</v>
      </c>
      <c r="M81" t="s">
        <v>66</v>
      </c>
      <c r="O81" t="s">
        <v>66</v>
      </c>
      <c r="Q81" t="s">
        <v>66</v>
      </c>
      <c r="S81" t="s">
        <v>66</v>
      </c>
      <c r="U81" t="s">
        <v>66</v>
      </c>
      <c r="W81" t="s">
        <v>66</v>
      </c>
      <c r="Y81" t="s">
        <v>66</v>
      </c>
      <c r="AA81" t="s">
        <v>66</v>
      </c>
      <c r="AC81" t="s">
        <v>66</v>
      </c>
      <c r="AE81" t="s">
        <v>66</v>
      </c>
      <c r="AG81" t="s">
        <v>66</v>
      </c>
      <c r="AI81" t="s">
        <v>66</v>
      </c>
      <c r="AK81" t="s">
        <v>66</v>
      </c>
      <c r="AM81" t="s">
        <v>66</v>
      </c>
      <c r="AO81" t="s">
        <v>66</v>
      </c>
      <c r="AQ81" t="s">
        <v>66</v>
      </c>
      <c r="AS81" t="s">
        <v>66</v>
      </c>
      <c r="AU81" t="s">
        <v>66</v>
      </c>
      <c r="AW81" t="s">
        <v>66</v>
      </c>
      <c r="AY81" t="s">
        <v>66</v>
      </c>
      <c r="BA81" t="s">
        <v>66</v>
      </c>
      <c r="BC81" t="s">
        <v>66</v>
      </c>
      <c r="BE81" t="s">
        <v>66</v>
      </c>
      <c r="BG81" t="s">
        <v>66</v>
      </c>
      <c r="BI81" t="s">
        <v>66</v>
      </c>
      <c r="BK81" t="s">
        <v>66</v>
      </c>
      <c r="BM81" t="s">
        <v>66</v>
      </c>
      <c r="BO81" t="s">
        <v>66</v>
      </c>
      <c r="BQ81" t="s">
        <v>66</v>
      </c>
      <c r="BS81" t="s">
        <v>66</v>
      </c>
      <c r="BU81" t="s">
        <v>66</v>
      </c>
      <c r="BW81" t="s">
        <v>66</v>
      </c>
      <c r="BY81" t="s">
        <v>66</v>
      </c>
      <c r="CA81" t="s">
        <v>66</v>
      </c>
      <c r="CC81" t="s">
        <v>66</v>
      </c>
      <c r="CE81" t="s">
        <v>66</v>
      </c>
      <c r="CG81" t="s">
        <v>66</v>
      </c>
      <c r="CI81" t="s">
        <v>66</v>
      </c>
      <c r="CK81" t="s">
        <v>66</v>
      </c>
      <c r="CM81" t="s">
        <v>66</v>
      </c>
      <c r="CO81" t="s">
        <v>66</v>
      </c>
      <c r="CQ81" t="s">
        <v>66</v>
      </c>
      <c r="CS81" t="s">
        <v>66</v>
      </c>
      <c r="CU81" t="s">
        <v>66</v>
      </c>
      <c r="CW81" t="s">
        <v>66</v>
      </c>
      <c r="CY81" t="s">
        <v>66</v>
      </c>
      <c r="DA81" t="s">
        <v>66</v>
      </c>
      <c r="DC81" t="s">
        <v>66</v>
      </c>
      <c r="DE81" t="s">
        <v>66</v>
      </c>
      <c r="DG81" t="s">
        <v>66</v>
      </c>
      <c r="DI81" t="s">
        <v>66</v>
      </c>
      <c r="DK81" t="s">
        <v>66</v>
      </c>
      <c r="DM81" t="s">
        <v>66</v>
      </c>
      <c r="DO81" t="s">
        <v>66</v>
      </c>
      <c r="DQ81" t="s">
        <v>66</v>
      </c>
    </row>
    <row r="82" spans="1:121" x14ac:dyDescent="0.2">
      <c r="A82" t="s">
        <v>586</v>
      </c>
      <c r="D82" t="s">
        <v>60</v>
      </c>
      <c r="E82" t="s">
        <v>61</v>
      </c>
      <c r="G82">
        <v>13450.3</v>
      </c>
      <c r="I82">
        <v>691.3</v>
      </c>
      <c r="K82">
        <v>77764.2</v>
      </c>
      <c r="M82">
        <v>590824</v>
      </c>
      <c r="O82">
        <v>84763.3</v>
      </c>
      <c r="Q82">
        <v>434357.3</v>
      </c>
      <c r="S82">
        <v>1947.4</v>
      </c>
      <c r="U82">
        <v>3175.9</v>
      </c>
      <c r="W82">
        <v>14092.1</v>
      </c>
      <c r="Y82">
        <v>1925.5</v>
      </c>
      <c r="AA82">
        <v>2878078</v>
      </c>
      <c r="AC82">
        <v>30861.1</v>
      </c>
      <c r="AE82">
        <v>60251.5</v>
      </c>
      <c r="AG82">
        <v>10887.7</v>
      </c>
      <c r="AI82">
        <v>117664.2</v>
      </c>
      <c r="AK82">
        <v>28732.799999999999</v>
      </c>
      <c r="AM82">
        <v>62338.9</v>
      </c>
      <c r="AO82">
        <v>5106.3999999999996</v>
      </c>
      <c r="AQ82">
        <v>916.1</v>
      </c>
      <c r="AS82">
        <v>1545.9</v>
      </c>
      <c r="AU82">
        <v>1159</v>
      </c>
      <c r="AW82">
        <v>1224.7</v>
      </c>
      <c r="AY82">
        <v>144400.1</v>
      </c>
      <c r="BA82">
        <v>659198.5</v>
      </c>
      <c r="BC82">
        <v>3504.3</v>
      </c>
      <c r="BE82">
        <v>1346.8</v>
      </c>
      <c r="BG82">
        <v>464651.1</v>
      </c>
      <c r="BI82">
        <v>394029.6</v>
      </c>
      <c r="BK82">
        <v>998108</v>
      </c>
      <c r="BM82">
        <v>7922.7</v>
      </c>
      <c r="BO82">
        <v>1455902.2</v>
      </c>
      <c r="BQ82">
        <v>1478869.9</v>
      </c>
      <c r="BS82">
        <v>1334370.3999999999</v>
      </c>
      <c r="BU82">
        <v>1512713.5</v>
      </c>
      <c r="BW82">
        <v>18867.7</v>
      </c>
      <c r="BY82">
        <v>241875</v>
      </c>
      <c r="CA82">
        <v>347086.4</v>
      </c>
      <c r="CC82">
        <v>3504.3</v>
      </c>
      <c r="CE82">
        <v>3989.1</v>
      </c>
      <c r="CG82">
        <v>301900.7</v>
      </c>
      <c r="CI82">
        <v>148719.79999999999</v>
      </c>
      <c r="CK82">
        <v>3413614.8</v>
      </c>
      <c r="CM82">
        <v>9713.7000000000007</v>
      </c>
      <c r="CO82">
        <v>44673.599999999999</v>
      </c>
      <c r="CQ82">
        <v>62878.400000000001</v>
      </c>
      <c r="CS82">
        <v>42142.8</v>
      </c>
      <c r="CU82">
        <v>258583</v>
      </c>
      <c r="CW82">
        <v>3262.3</v>
      </c>
      <c r="CY82">
        <v>59779.8</v>
      </c>
      <c r="DA82">
        <v>876342.7</v>
      </c>
      <c r="DC82">
        <v>6.7</v>
      </c>
      <c r="DE82">
        <v>91</v>
      </c>
      <c r="DG82">
        <v>31.2</v>
      </c>
      <c r="DI82">
        <v>1052.7</v>
      </c>
      <c r="DK82">
        <v>922.6</v>
      </c>
      <c r="DM82">
        <v>79866.2</v>
      </c>
      <c r="DO82">
        <v>933.3</v>
      </c>
      <c r="DQ82">
        <v>17666.900000000001</v>
      </c>
    </row>
    <row r="83" spans="1:121" x14ac:dyDescent="0.2">
      <c r="D83" t="s">
        <v>62</v>
      </c>
      <c r="E83" t="s">
        <v>61</v>
      </c>
      <c r="G83">
        <v>405.5</v>
      </c>
      <c r="I83">
        <v>143.19999999999999</v>
      </c>
      <c r="K83">
        <v>1015.2</v>
      </c>
      <c r="M83">
        <v>1799</v>
      </c>
      <c r="O83">
        <v>818.4</v>
      </c>
      <c r="Q83">
        <v>6901.9</v>
      </c>
      <c r="S83">
        <v>30.9</v>
      </c>
      <c r="U83">
        <v>20.3</v>
      </c>
      <c r="W83">
        <v>71.3</v>
      </c>
      <c r="Y83">
        <v>155.4</v>
      </c>
      <c r="AA83">
        <v>81010.100000000006</v>
      </c>
      <c r="AC83">
        <v>543.70000000000005</v>
      </c>
      <c r="AE83">
        <v>1856.8</v>
      </c>
      <c r="AG83">
        <v>201.8</v>
      </c>
      <c r="AI83">
        <v>2337.6999999999998</v>
      </c>
      <c r="AK83">
        <v>1140.0999999999999</v>
      </c>
      <c r="AM83">
        <v>1082.0999999999999</v>
      </c>
      <c r="AO83">
        <v>102.1</v>
      </c>
      <c r="AQ83">
        <v>110.7</v>
      </c>
      <c r="AS83">
        <v>127.8</v>
      </c>
      <c r="AU83">
        <v>59.9</v>
      </c>
      <c r="AW83">
        <v>54.7</v>
      </c>
      <c r="AY83">
        <v>2093.9</v>
      </c>
      <c r="BA83">
        <v>9386.6</v>
      </c>
      <c r="BC83">
        <v>45.7</v>
      </c>
      <c r="BE83">
        <v>91.3</v>
      </c>
      <c r="BG83">
        <v>5503.5</v>
      </c>
      <c r="BI83">
        <v>4755.6000000000004</v>
      </c>
      <c r="BK83">
        <v>15500</v>
      </c>
      <c r="BM83">
        <v>200.2</v>
      </c>
      <c r="BO83">
        <v>12900.2</v>
      </c>
      <c r="BQ83">
        <v>32163</v>
      </c>
      <c r="BS83">
        <v>52702.8</v>
      </c>
      <c r="BU83">
        <v>22511.8</v>
      </c>
      <c r="BW83">
        <v>651.29999999999995</v>
      </c>
      <c r="BY83">
        <v>3872.5</v>
      </c>
      <c r="CA83">
        <v>7678.5</v>
      </c>
      <c r="CC83">
        <v>311</v>
      </c>
      <c r="CE83">
        <v>63.7</v>
      </c>
      <c r="CG83">
        <v>5996</v>
      </c>
      <c r="CI83">
        <v>1871.7</v>
      </c>
      <c r="CK83">
        <v>82392</v>
      </c>
      <c r="CM83">
        <v>218.5</v>
      </c>
      <c r="CO83">
        <v>409.4</v>
      </c>
      <c r="CQ83">
        <v>363.1</v>
      </c>
      <c r="CS83">
        <v>1330.4</v>
      </c>
      <c r="CU83">
        <v>4905</v>
      </c>
      <c r="CW83">
        <v>119.7</v>
      </c>
      <c r="CY83">
        <v>1130.0999999999999</v>
      </c>
      <c r="DA83">
        <v>16063.9</v>
      </c>
      <c r="DC83">
        <v>4.4000000000000004</v>
      </c>
      <c r="DE83">
        <v>12.4</v>
      </c>
      <c r="DG83">
        <v>10.3</v>
      </c>
      <c r="DI83">
        <v>162.9</v>
      </c>
      <c r="DK83">
        <v>40.6</v>
      </c>
      <c r="DM83">
        <v>1215.5999999999999</v>
      </c>
      <c r="DO83">
        <v>39.5</v>
      </c>
      <c r="DQ83">
        <v>272</v>
      </c>
    </row>
    <row r="84" spans="1:121" x14ac:dyDescent="0.2">
      <c r="D84" t="s">
        <v>63</v>
      </c>
      <c r="G84">
        <v>7.5560000000000002E-2</v>
      </c>
      <c r="H84" t="s">
        <v>75</v>
      </c>
      <c r="I84">
        <v>1.217E-2</v>
      </c>
      <c r="J84" t="s">
        <v>75</v>
      </c>
      <c r="K84">
        <v>9.8239999999999994E-2</v>
      </c>
      <c r="L84" t="s">
        <v>75</v>
      </c>
      <c r="M84">
        <v>0.58316000000000001</v>
      </c>
      <c r="N84" t="s">
        <v>75</v>
      </c>
      <c r="O84">
        <v>7.5600000000000001E-2</v>
      </c>
      <c r="P84" t="s">
        <v>75</v>
      </c>
      <c r="Q84">
        <v>2.9056799999999998</v>
      </c>
      <c r="R84" t="s">
        <v>75</v>
      </c>
      <c r="S84">
        <v>1.06E-3</v>
      </c>
      <c r="T84" t="s">
        <v>75</v>
      </c>
      <c r="U84">
        <v>1.916E-2</v>
      </c>
      <c r="V84" t="s">
        <v>75</v>
      </c>
      <c r="W84">
        <v>3.4290000000000001E-2</v>
      </c>
      <c r="X84" t="s">
        <v>75</v>
      </c>
      <c r="Y84">
        <v>2.9420000000000002E-2</v>
      </c>
      <c r="Z84" t="s">
        <v>75</v>
      </c>
      <c r="AB84" t="s">
        <v>76</v>
      </c>
      <c r="AC84">
        <v>0.15464</v>
      </c>
      <c r="AD84" t="s">
        <v>75</v>
      </c>
      <c r="AE84">
        <v>0.27137</v>
      </c>
      <c r="AF84" t="s">
        <v>75</v>
      </c>
      <c r="AG84">
        <v>-7.5700000000000003E-3</v>
      </c>
      <c r="AH84" t="s">
        <v>75</v>
      </c>
      <c r="AI84">
        <v>0.76502999999999999</v>
      </c>
      <c r="AJ84" t="s">
        <v>75</v>
      </c>
      <c r="AK84">
        <v>1.814E-2</v>
      </c>
      <c r="AL84" t="s">
        <v>75</v>
      </c>
      <c r="AM84">
        <v>4.249E-2</v>
      </c>
      <c r="AN84" t="s">
        <v>75</v>
      </c>
      <c r="AO84">
        <v>2.061E-2</v>
      </c>
      <c r="AP84" t="s">
        <v>75</v>
      </c>
      <c r="AQ84">
        <v>3.0799999999999998E-3</v>
      </c>
      <c r="AR84" t="s">
        <v>75</v>
      </c>
      <c r="AS84">
        <v>6.0299999999999998E-3</v>
      </c>
      <c r="AT84" t="s">
        <v>75</v>
      </c>
      <c r="AU84">
        <v>2.1299999999999999E-3</v>
      </c>
      <c r="AV84" t="s">
        <v>75</v>
      </c>
      <c r="AW84">
        <v>2.2399999999999998E-3</v>
      </c>
      <c r="AX84" t="s">
        <v>75</v>
      </c>
      <c r="AY84">
        <v>0.46893000000000001</v>
      </c>
      <c r="AZ84" t="s">
        <v>75</v>
      </c>
      <c r="BC84">
        <v>-2.0491199999999998</v>
      </c>
      <c r="BD84" t="s">
        <v>75</v>
      </c>
      <c r="BE84">
        <v>3.8899999999999998E-3</v>
      </c>
      <c r="BF84" t="s">
        <v>75</v>
      </c>
      <c r="BG84">
        <v>1.33517</v>
      </c>
      <c r="BH84" t="s">
        <v>75</v>
      </c>
      <c r="BI84">
        <v>1.3232900000000001</v>
      </c>
      <c r="BJ84" t="s">
        <v>75</v>
      </c>
      <c r="BK84">
        <v>1.3573900000000001</v>
      </c>
      <c r="BL84" t="s">
        <v>75</v>
      </c>
      <c r="BM84">
        <v>-2.3400000000000001E-3</v>
      </c>
      <c r="BN84" t="s">
        <v>75</v>
      </c>
      <c r="BO84">
        <v>30.339659999999999</v>
      </c>
      <c r="BP84" t="s">
        <v>75</v>
      </c>
      <c r="BQ84">
        <v>49.523960000000002</v>
      </c>
      <c r="BR84" t="s">
        <v>75</v>
      </c>
      <c r="BS84">
        <v>29.3858</v>
      </c>
      <c r="BT84" t="s">
        <v>75</v>
      </c>
      <c r="BU84">
        <v>41.95111</v>
      </c>
      <c r="BV84" t="s">
        <v>75</v>
      </c>
      <c r="BW84">
        <v>7.7404900000000003</v>
      </c>
      <c r="BX84" t="s">
        <v>75</v>
      </c>
      <c r="BY84">
        <v>59.65748</v>
      </c>
      <c r="BZ84" t="s">
        <v>75</v>
      </c>
      <c r="CA84">
        <v>181.96117000000001</v>
      </c>
      <c r="CB84" t="s">
        <v>75</v>
      </c>
      <c r="CC84">
        <v>0.73131999999999997</v>
      </c>
      <c r="CD84" t="s">
        <v>75</v>
      </c>
      <c r="CE84">
        <v>5.765E-2</v>
      </c>
      <c r="CF84" t="s">
        <v>75</v>
      </c>
      <c r="CG84">
        <v>5.1164899999999998</v>
      </c>
      <c r="CH84" t="s">
        <v>75</v>
      </c>
      <c r="CI84">
        <v>1.90689</v>
      </c>
      <c r="CJ84" t="s">
        <v>75</v>
      </c>
      <c r="CK84">
        <v>47.884830000000001</v>
      </c>
      <c r="CL84" t="s">
        <v>75</v>
      </c>
      <c r="CM84">
        <v>0.13059999999999999</v>
      </c>
      <c r="CN84" t="s">
        <v>75</v>
      </c>
      <c r="CO84">
        <v>2.5306500000000001</v>
      </c>
      <c r="CP84" t="s">
        <v>75</v>
      </c>
      <c r="CQ84">
        <v>1.8701099999999999</v>
      </c>
      <c r="CR84" t="s">
        <v>75</v>
      </c>
      <c r="CS84">
        <v>10.90269</v>
      </c>
      <c r="CT84" t="s">
        <v>75</v>
      </c>
      <c r="CV84" t="s">
        <v>76</v>
      </c>
      <c r="CW84">
        <v>9.5089999999999994E-2</v>
      </c>
      <c r="CX84" t="s">
        <v>75</v>
      </c>
      <c r="DA84">
        <v>47.986739999999998</v>
      </c>
      <c r="DB84" t="s">
        <v>75</v>
      </c>
      <c r="DC84">
        <v>1.66E-3</v>
      </c>
      <c r="DD84" t="s">
        <v>75</v>
      </c>
      <c r="DE84">
        <v>1.9800000000000002E-2</v>
      </c>
      <c r="DF84" t="s">
        <v>75</v>
      </c>
      <c r="DG84">
        <v>8.9459999999999998E-2</v>
      </c>
      <c r="DH84" t="s">
        <v>75</v>
      </c>
      <c r="DI84">
        <v>1.2589999999999999</v>
      </c>
      <c r="DJ84" t="s">
        <v>75</v>
      </c>
      <c r="DL84" t="s">
        <v>76</v>
      </c>
      <c r="DN84" t="s">
        <v>76</v>
      </c>
      <c r="DO84">
        <v>0.11932</v>
      </c>
      <c r="DP84" t="s">
        <v>75</v>
      </c>
    </row>
    <row r="85" spans="1:121" x14ac:dyDescent="0.2">
      <c r="D85" t="s">
        <v>64</v>
      </c>
      <c r="G85">
        <v>4.8700000000000002E-3</v>
      </c>
      <c r="H85" t="s">
        <v>75</v>
      </c>
      <c r="I85">
        <v>5.0200000000000002E-3</v>
      </c>
      <c r="J85" t="s">
        <v>75</v>
      </c>
      <c r="K85">
        <v>2.1800000000000001E-3</v>
      </c>
      <c r="L85" t="s">
        <v>75</v>
      </c>
      <c r="M85">
        <v>1.0449999999999999E-2</v>
      </c>
      <c r="N85" t="s">
        <v>75</v>
      </c>
      <c r="O85">
        <v>1.56E-3</v>
      </c>
      <c r="P85" t="s">
        <v>75</v>
      </c>
      <c r="Q85">
        <v>7.6689999999999994E-2</v>
      </c>
      <c r="R85" t="s">
        <v>75</v>
      </c>
      <c r="S85">
        <v>4.0000000000000003E-5</v>
      </c>
      <c r="T85" t="s">
        <v>75</v>
      </c>
      <c r="U85">
        <v>1.7000000000000001E-4</v>
      </c>
      <c r="V85" t="s">
        <v>75</v>
      </c>
      <c r="W85">
        <v>5.0000000000000001E-4</v>
      </c>
      <c r="X85" t="s">
        <v>75</v>
      </c>
      <c r="Y85">
        <v>2.64E-3</v>
      </c>
      <c r="Z85" t="s">
        <v>75</v>
      </c>
      <c r="AC85">
        <v>3.5999999999999999E-3</v>
      </c>
      <c r="AD85" t="s">
        <v>75</v>
      </c>
      <c r="AE85">
        <v>1.013E-2</v>
      </c>
      <c r="AF85" t="s">
        <v>75</v>
      </c>
      <c r="AG85">
        <v>2.2000000000000001E-4</v>
      </c>
      <c r="AH85" t="s">
        <v>75</v>
      </c>
      <c r="AI85">
        <v>2.4889999999999999E-2</v>
      </c>
      <c r="AJ85" t="s">
        <v>75</v>
      </c>
      <c r="AK85">
        <v>1.09E-3</v>
      </c>
      <c r="AL85" t="s">
        <v>75</v>
      </c>
      <c r="AM85">
        <v>1.42E-3</v>
      </c>
      <c r="AN85" t="s">
        <v>75</v>
      </c>
      <c r="AO85">
        <v>5.5999999999999995E-4</v>
      </c>
      <c r="AP85" t="s">
        <v>75</v>
      </c>
      <c r="AQ85">
        <v>5.1000000000000004E-4</v>
      </c>
      <c r="AR85" t="s">
        <v>75</v>
      </c>
      <c r="AS85">
        <v>6.8000000000000005E-4</v>
      </c>
      <c r="AT85" t="s">
        <v>75</v>
      </c>
      <c r="AU85">
        <v>5.0000000000000002E-5</v>
      </c>
      <c r="AV85" t="s">
        <v>75</v>
      </c>
      <c r="AW85">
        <v>1.4999999999999999E-4</v>
      </c>
      <c r="AX85" t="s">
        <v>75</v>
      </c>
      <c r="AY85">
        <v>1.1480000000000001E-2</v>
      </c>
      <c r="AZ85" t="s">
        <v>75</v>
      </c>
      <c r="BC85">
        <v>1.1E-4</v>
      </c>
      <c r="BD85" t="s">
        <v>75</v>
      </c>
      <c r="BE85">
        <v>6.9999999999999994E-5</v>
      </c>
      <c r="BF85" t="s">
        <v>75</v>
      </c>
      <c r="BG85">
        <v>2.1170000000000001E-2</v>
      </c>
      <c r="BH85" t="s">
        <v>75</v>
      </c>
      <c r="BI85">
        <v>1.1050000000000001E-2</v>
      </c>
      <c r="BJ85" t="s">
        <v>75</v>
      </c>
      <c r="BK85">
        <v>1.7559999999999999E-2</v>
      </c>
      <c r="BL85" t="s">
        <v>75</v>
      </c>
      <c r="BM85">
        <v>2.9999999999999997E-4</v>
      </c>
      <c r="BN85" t="s">
        <v>75</v>
      </c>
      <c r="BO85">
        <v>0.88463999999999998</v>
      </c>
      <c r="BP85" t="s">
        <v>75</v>
      </c>
      <c r="BQ85">
        <v>2.04332</v>
      </c>
      <c r="BR85" t="s">
        <v>75</v>
      </c>
      <c r="BS85">
        <v>1.5772900000000001</v>
      </c>
      <c r="BT85" t="s">
        <v>75</v>
      </c>
      <c r="BU85">
        <v>1.8825000000000001</v>
      </c>
      <c r="BV85" t="s">
        <v>75</v>
      </c>
      <c r="BW85">
        <v>0.39015</v>
      </c>
      <c r="BX85" t="s">
        <v>75</v>
      </c>
      <c r="BY85">
        <v>1.6929799999999999</v>
      </c>
      <c r="BZ85" t="s">
        <v>75</v>
      </c>
      <c r="CA85">
        <v>7.2298600000000004</v>
      </c>
      <c r="CB85" t="s">
        <v>75</v>
      </c>
      <c r="CC85">
        <v>6.0350000000000001E-2</v>
      </c>
      <c r="CD85" t="s">
        <v>75</v>
      </c>
      <c r="CE85">
        <v>1.82E-3</v>
      </c>
      <c r="CF85" t="s">
        <v>75</v>
      </c>
      <c r="CG85">
        <v>0.16191</v>
      </c>
      <c r="CH85" t="s">
        <v>75</v>
      </c>
      <c r="CI85">
        <v>3.3669999999999999E-2</v>
      </c>
      <c r="CJ85" t="s">
        <v>75</v>
      </c>
      <c r="CK85">
        <v>1.24949</v>
      </c>
      <c r="CL85" t="s">
        <v>75</v>
      </c>
      <c r="CM85">
        <v>1.0399999999999999E-3</v>
      </c>
      <c r="CN85" t="s">
        <v>75</v>
      </c>
      <c r="CO85">
        <v>6.0139999999999999E-2</v>
      </c>
      <c r="CP85" t="s">
        <v>75</v>
      </c>
      <c r="CQ85">
        <v>3.6429999999999997E-2</v>
      </c>
      <c r="CR85" t="s">
        <v>75</v>
      </c>
      <c r="CS85">
        <v>0.52431000000000005</v>
      </c>
      <c r="CT85" t="s">
        <v>75</v>
      </c>
      <c r="CW85">
        <v>4.47E-3</v>
      </c>
      <c r="CX85" t="s">
        <v>75</v>
      </c>
      <c r="DA85">
        <v>0.95526999999999995</v>
      </c>
      <c r="DB85" t="s">
        <v>75</v>
      </c>
      <c r="DC85">
        <v>1.82E-3</v>
      </c>
      <c r="DD85" t="s">
        <v>75</v>
      </c>
      <c r="DE85">
        <v>5.5999999999999999E-3</v>
      </c>
      <c r="DF85" t="s">
        <v>75</v>
      </c>
      <c r="DG85">
        <v>4.9430000000000002E-2</v>
      </c>
      <c r="DH85" t="s">
        <v>75</v>
      </c>
      <c r="DI85">
        <v>0.28786</v>
      </c>
      <c r="DJ85" t="s">
        <v>75</v>
      </c>
      <c r="DO85">
        <v>7.1300000000000001E-3</v>
      </c>
      <c r="DP85" t="s">
        <v>75</v>
      </c>
    </row>
    <row r="86" spans="1:121" x14ac:dyDescent="0.2">
      <c r="D86" t="s">
        <v>65</v>
      </c>
      <c r="G86" t="s">
        <v>66</v>
      </c>
      <c r="I86" t="s">
        <v>66</v>
      </c>
      <c r="K86" t="s">
        <v>66</v>
      </c>
      <c r="M86" t="s">
        <v>66</v>
      </c>
      <c r="O86" t="s">
        <v>66</v>
      </c>
      <c r="Q86" t="s">
        <v>66</v>
      </c>
      <c r="S86" t="s">
        <v>66</v>
      </c>
      <c r="U86" t="s">
        <v>66</v>
      </c>
      <c r="W86" t="s">
        <v>66</v>
      </c>
      <c r="Y86" t="s">
        <v>66</v>
      </c>
      <c r="AA86" t="s">
        <v>66</v>
      </c>
      <c r="AC86" t="s">
        <v>66</v>
      </c>
      <c r="AE86" t="s">
        <v>66</v>
      </c>
      <c r="AG86" t="s">
        <v>66</v>
      </c>
      <c r="AI86" t="s">
        <v>66</v>
      </c>
      <c r="AK86" t="s">
        <v>66</v>
      </c>
      <c r="AM86" t="s">
        <v>66</v>
      </c>
      <c r="AO86" t="s">
        <v>66</v>
      </c>
      <c r="AQ86" t="s">
        <v>66</v>
      </c>
      <c r="AS86" t="s">
        <v>66</v>
      </c>
      <c r="AU86" t="s">
        <v>66</v>
      </c>
      <c r="AW86" t="s">
        <v>66</v>
      </c>
      <c r="AY86" t="s">
        <v>66</v>
      </c>
      <c r="BA86" t="s">
        <v>66</v>
      </c>
      <c r="BC86" t="s">
        <v>66</v>
      </c>
      <c r="BE86" t="s">
        <v>66</v>
      </c>
      <c r="BG86" t="s">
        <v>66</v>
      </c>
      <c r="BI86" t="s">
        <v>66</v>
      </c>
      <c r="BK86" t="s">
        <v>66</v>
      </c>
      <c r="BM86" t="s">
        <v>66</v>
      </c>
      <c r="BO86" t="s">
        <v>66</v>
      </c>
      <c r="BQ86" t="s">
        <v>66</v>
      </c>
      <c r="BS86" t="s">
        <v>66</v>
      </c>
      <c r="BU86" t="s">
        <v>66</v>
      </c>
      <c r="BW86" t="s">
        <v>66</v>
      </c>
      <c r="BY86" t="s">
        <v>66</v>
      </c>
      <c r="CA86" t="s">
        <v>66</v>
      </c>
      <c r="CC86" t="s">
        <v>66</v>
      </c>
      <c r="CE86" t="s">
        <v>66</v>
      </c>
      <c r="CG86" t="s">
        <v>66</v>
      </c>
      <c r="CI86" t="s">
        <v>66</v>
      </c>
      <c r="CK86" t="s">
        <v>66</v>
      </c>
      <c r="CM86" t="s">
        <v>66</v>
      </c>
      <c r="CO86" t="s">
        <v>66</v>
      </c>
      <c r="CQ86" t="s">
        <v>66</v>
      </c>
      <c r="CS86" t="s">
        <v>66</v>
      </c>
      <c r="CU86" t="s">
        <v>66</v>
      </c>
      <c r="CW86" t="s">
        <v>66</v>
      </c>
      <c r="CY86" t="s">
        <v>66</v>
      </c>
      <c r="DA86" t="s">
        <v>66</v>
      </c>
      <c r="DC86" t="s">
        <v>66</v>
      </c>
      <c r="DE86" t="s">
        <v>66</v>
      </c>
      <c r="DG86" t="s">
        <v>66</v>
      </c>
      <c r="DI86" t="s">
        <v>66</v>
      </c>
      <c r="DK86" t="s">
        <v>66</v>
      </c>
      <c r="DM86" t="s">
        <v>66</v>
      </c>
      <c r="DO86" t="s">
        <v>66</v>
      </c>
      <c r="DQ86" t="s">
        <v>66</v>
      </c>
    </row>
    <row r="87" spans="1:121" x14ac:dyDescent="0.2">
      <c r="A87" t="s">
        <v>587</v>
      </c>
      <c r="D87" t="s">
        <v>60</v>
      </c>
      <c r="E87" t="s">
        <v>61</v>
      </c>
      <c r="G87">
        <v>11382.2</v>
      </c>
      <c r="I87">
        <v>801.8</v>
      </c>
      <c r="K87">
        <v>33048.9</v>
      </c>
      <c r="M87">
        <v>85768.5</v>
      </c>
      <c r="O87">
        <v>3763</v>
      </c>
      <c r="Q87">
        <v>48281.3</v>
      </c>
      <c r="S87">
        <v>2472</v>
      </c>
      <c r="U87">
        <v>2675.3</v>
      </c>
      <c r="W87">
        <v>37212.9</v>
      </c>
      <c r="Y87">
        <v>431.3</v>
      </c>
      <c r="AA87">
        <v>2929620</v>
      </c>
      <c r="AC87">
        <v>16832.5</v>
      </c>
      <c r="AE87">
        <v>207366.7</v>
      </c>
      <c r="AG87">
        <v>9541.9</v>
      </c>
      <c r="AI87">
        <v>151200.5</v>
      </c>
      <c r="AK87">
        <v>5205.5</v>
      </c>
      <c r="AM87">
        <v>9740</v>
      </c>
      <c r="AO87">
        <v>1122.5999999999999</v>
      </c>
      <c r="AQ87">
        <v>285.39999999999998</v>
      </c>
      <c r="AS87">
        <v>677.3</v>
      </c>
      <c r="AU87">
        <v>431.3</v>
      </c>
      <c r="AW87">
        <v>422</v>
      </c>
      <c r="AY87">
        <v>12821.1</v>
      </c>
      <c r="BA87">
        <v>660819.69999999995</v>
      </c>
      <c r="BC87">
        <v>3515.9</v>
      </c>
      <c r="BE87">
        <v>692.9</v>
      </c>
      <c r="BG87">
        <v>560068.30000000005</v>
      </c>
      <c r="BI87">
        <v>465017.4</v>
      </c>
      <c r="BK87">
        <v>1191616.2</v>
      </c>
      <c r="BM87">
        <v>1610909</v>
      </c>
      <c r="BO87">
        <v>2142290.4</v>
      </c>
      <c r="BQ87">
        <v>89667.8</v>
      </c>
      <c r="BS87">
        <v>943111.4</v>
      </c>
      <c r="BU87">
        <v>641496.69999999995</v>
      </c>
      <c r="BW87">
        <v>10994.3</v>
      </c>
      <c r="BY87">
        <v>40612.1</v>
      </c>
      <c r="CA87">
        <v>24392.1</v>
      </c>
      <c r="CC87">
        <v>299.10000000000002</v>
      </c>
      <c r="CE87">
        <v>2218.5</v>
      </c>
      <c r="CG87">
        <v>792903.9</v>
      </c>
      <c r="CI87">
        <v>307398.09999999998</v>
      </c>
      <c r="CK87">
        <v>3032821.3</v>
      </c>
      <c r="CM87">
        <v>8574</v>
      </c>
      <c r="CO87">
        <v>148210.1</v>
      </c>
      <c r="CQ87">
        <v>484851.1</v>
      </c>
      <c r="CS87">
        <v>15698.7</v>
      </c>
      <c r="CU87">
        <v>257809.4</v>
      </c>
      <c r="CW87">
        <v>1712.4</v>
      </c>
      <c r="CY87">
        <v>58624.7</v>
      </c>
      <c r="DA87">
        <v>147906.5</v>
      </c>
      <c r="DC87">
        <v>0</v>
      </c>
      <c r="DE87">
        <v>27.4</v>
      </c>
      <c r="DG87">
        <v>18.2</v>
      </c>
      <c r="DI87">
        <v>957.9</v>
      </c>
      <c r="DK87">
        <v>1006.7</v>
      </c>
      <c r="DM87">
        <v>78457.899999999994</v>
      </c>
      <c r="DO87">
        <v>519.6</v>
      </c>
      <c r="DQ87">
        <v>18061.2</v>
      </c>
    </row>
    <row r="88" spans="1:121" x14ac:dyDescent="0.2">
      <c r="D88" t="s">
        <v>62</v>
      </c>
      <c r="E88" t="s">
        <v>61</v>
      </c>
      <c r="G88">
        <v>122</v>
      </c>
      <c r="I88">
        <v>19.7</v>
      </c>
      <c r="K88">
        <v>398.6</v>
      </c>
      <c r="M88">
        <v>1290.2</v>
      </c>
      <c r="O88">
        <v>92.1</v>
      </c>
      <c r="Q88">
        <v>159.6</v>
      </c>
      <c r="S88">
        <v>53.3</v>
      </c>
      <c r="U88">
        <v>179.9</v>
      </c>
      <c r="W88">
        <v>771.3</v>
      </c>
      <c r="Y88">
        <v>51.7</v>
      </c>
      <c r="AA88">
        <v>10630.3</v>
      </c>
      <c r="AC88">
        <v>332.1</v>
      </c>
      <c r="AE88">
        <v>1797.4</v>
      </c>
      <c r="AG88">
        <v>23</v>
      </c>
      <c r="AI88">
        <v>2279.1</v>
      </c>
      <c r="AK88">
        <v>100.7</v>
      </c>
      <c r="AM88">
        <v>128.80000000000001</v>
      </c>
      <c r="AO88">
        <v>70.7</v>
      </c>
      <c r="AQ88">
        <v>17.2</v>
      </c>
      <c r="AS88">
        <v>96.6</v>
      </c>
      <c r="AU88">
        <v>30.8</v>
      </c>
      <c r="AW88">
        <v>43.4</v>
      </c>
      <c r="AY88">
        <v>178.9</v>
      </c>
      <c r="BA88">
        <v>5936.7</v>
      </c>
      <c r="BC88">
        <v>255.5</v>
      </c>
      <c r="BE88">
        <v>44</v>
      </c>
      <c r="BG88">
        <v>7128</v>
      </c>
      <c r="BI88">
        <v>7052.5</v>
      </c>
      <c r="BK88">
        <v>10658.6</v>
      </c>
      <c r="BM88">
        <v>17604.3</v>
      </c>
      <c r="BO88">
        <v>21204.1</v>
      </c>
      <c r="BQ88">
        <v>1256.4000000000001</v>
      </c>
      <c r="BS88">
        <v>13754.8</v>
      </c>
      <c r="BU88">
        <v>6197.8</v>
      </c>
      <c r="BW88">
        <v>368.8</v>
      </c>
      <c r="BY88">
        <v>162.19999999999999</v>
      </c>
      <c r="CA88">
        <v>635</v>
      </c>
      <c r="CC88">
        <v>6.4</v>
      </c>
      <c r="CE88">
        <v>51.5</v>
      </c>
      <c r="CG88">
        <v>2020.9</v>
      </c>
      <c r="CI88">
        <v>4793.8</v>
      </c>
      <c r="CK88">
        <v>29146.799999999999</v>
      </c>
      <c r="CM88">
        <v>330</v>
      </c>
      <c r="CO88">
        <v>2034</v>
      </c>
      <c r="CQ88">
        <v>3287.7</v>
      </c>
      <c r="CS88">
        <v>75</v>
      </c>
      <c r="CU88">
        <v>3841.4</v>
      </c>
      <c r="CW88">
        <v>68.3</v>
      </c>
      <c r="CY88">
        <v>941.3</v>
      </c>
      <c r="DA88">
        <v>1931.1</v>
      </c>
      <c r="DC88">
        <v>0</v>
      </c>
      <c r="DE88">
        <v>16</v>
      </c>
      <c r="DG88">
        <v>16.2</v>
      </c>
      <c r="DI88">
        <v>139.19999999999999</v>
      </c>
      <c r="DK88">
        <v>41.1</v>
      </c>
      <c r="DM88">
        <v>818.7</v>
      </c>
      <c r="DO88">
        <v>19.100000000000001</v>
      </c>
      <c r="DQ88">
        <v>578.5</v>
      </c>
    </row>
    <row r="89" spans="1:121" x14ac:dyDescent="0.2">
      <c r="D89" t="s">
        <v>63</v>
      </c>
      <c r="G89">
        <v>5.8389999999999997E-2</v>
      </c>
      <c r="H89" t="s">
        <v>75</v>
      </c>
      <c r="I89">
        <v>1.6080000000000001E-2</v>
      </c>
      <c r="J89" t="s">
        <v>75</v>
      </c>
      <c r="K89">
        <v>3.9640000000000002E-2</v>
      </c>
      <c r="L89" t="s">
        <v>75</v>
      </c>
      <c r="M89">
        <v>5.5169999999999997E-2</v>
      </c>
      <c r="N89" t="s">
        <v>75</v>
      </c>
      <c r="O89">
        <v>6.1500000000000001E-3</v>
      </c>
      <c r="P89" t="s">
        <v>75</v>
      </c>
      <c r="Q89">
        <v>0.34079999999999999</v>
      </c>
      <c r="R89" t="s">
        <v>75</v>
      </c>
      <c r="S89">
        <v>1.5299999999999999E-3</v>
      </c>
      <c r="T89" t="s">
        <v>75</v>
      </c>
      <c r="U89">
        <v>1.7000000000000001E-2</v>
      </c>
      <c r="V89" t="s">
        <v>75</v>
      </c>
      <c r="W89">
        <v>8.4510000000000002E-2</v>
      </c>
      <c r="X89" t="s">
        <v>75</v>
      </c>
      <c r="Y89">
        <v>6.5799999999999999E-3</v>
      </c>
      <c r="Z89" t="s">
        <v>75</v>
      </c>
      <c r="AB89" t="s">
        <v>76</v>
      </c>
      <c r="AC89">
        <v>0.10314</v>
      </c>
      <c r="AD89" t="s">
        <v>75</v>
      </c>
      <c r="AE89">
        <v>0.83603000000000005</v>
      </c>
      <c r="AF89" t="s">
        <v>75</v>
      </c>
      <c r="AG89">
        <v>-8.6700000000000006E-3</v>
      </c>
      <c r="AH89" t="s">
        <v>75</v>
      </c>
      <c r="AI89">
        <v>0.98051999999999995</v>
      </c>
      <c r="AJ89" t="s">
        <v>75</v>
      </c>
      <c r="AK89">
        <v>1.5200000000000001E-3</v>
      </c>
      <c r="AL89" t="s">
        <v>75</v>
      </c>
      <c r="AM89">
        <v>1.82E-3</v>
      </c>
      <c r="AN89" t="s">
        <v>75</v>
      </c>
      <c r="AO89">
        <v>5.6299999999999996E-3</v>
      </c>
      <c r="AP89" t="s">
        <v>75</v>
      </c>
      <c r="AQ89">
        <v>2.9999999999999997E-4</v>
      </c>
      <c r="AR89" t="s">
        <v>75</v>
      </c>
      <c r="AS89">
        <v>2.0500000000000002E-3</v>
      </c>
      <c r="AT89" t="s">
        <v>75</v>
      </c>
      <c r="AU89">
        <v>1.64E-3</v>
      </c>
      <c r="AV89" t="s">
        <v>75</v>
      </c>
      <c r="AW89">
        <v>2.5000000000000001E-4</v>
      </c>
      <c r="AX89" t="s">
        <v>75</v>
      </c>
      <c r="AY89">
        <v>3.2079999999999997E-2</v>
      </c>
      <c r="AZ89" t="s">
        <v>75</v>
      </c>
      <c r="BC89">
        <v>-2.0491199999999998</v>
      </c>
      <c r="BD89" t="s">
        <v>75</v>
      </c>
      <c r="BE89">
        <v>3.2499999999999999E-3</v>
      </c>
      <c r="BF89" t="s">
        <v>75</v>
      </c>
      <c r="BG89">
        <v>1.61307</v>
      </c>
      <c r="BH89" t="s">
        <v>75</v>
      </c>
      <c r="BI89">
        <v>1.5608299999999999</v>
      </c>
      <c r="BJ89" t="s">
        <v>75</v>
      </c>
      <c r="BK89">
        <v>1.6256999999999999</v>
      </c>
      <c r="BL89" t="s">
        <v>75</v>
      </c>
      <c r="BM89">
        <v>1.54331</v>
      </c>
      <c r="BN89" t="s">
        <v>75</v>
      </c>
      <c r="BO89">
        <v>46.383949999999999</v>
      </c>
      <c r="BP89" t="s">
        <v>75</v>
      </c>
      <c r="BQ89">
        <v>2.6676799999999998</v>
      </c>
      <c r="BR89" t="s">
        <v>75</v>
      </c>
      <c r="BS89">
        <v>21.04373</v>
      </c>
      <c r="BT89" t="s">
        <v>75</v>
      </c>
      <c r="BU89">
        <v>6.5139300000000002</v>
      </c>
      <c r="BV89" t="s">
        <v>75</v>
      </c>
      <c r="BW89">
        <v>4.4964199999999996</v>
      </c>
      <c r="BX89" t="s">
        <v>75</v>
      </c>
      <c r="BY89">
        <v>3.4750700000000001</v>
      </c>
      <c r="BZ89" t="s">
        <v>75</v>
      </c>
      <c r="CA89">
        <v>9.6872199999999999</v>
      </c>
      <c r="CB89" t="s">
        <v>75</v>
      </c>
      <c r="CC89">
        <v>5.0650000000000001E-2</v>
      </c>
      <c r="CD89" t="s">
        <v>75</v>
      </c>
      <c r="CE89">
        <v>3.1980000000000001E-2</v>
      </c>
      <c r="CF89" t="s">
        <v>75</v>
      </c>
      <c r="CG89">
        <v>13.729810000000001</v>
      </c>
      <c r="CH89" t="s">
        <v>75</v>
      </c>
      <c r="CI89">
        <v>4.0512899999999998</v>
      </c>
      <c r="CJ89" t="s">
        <v>75</v>
      </c>
      <c r="CK89">
        <v>43.355829999999997</v>
      </c>
      <c r="CL89" t="s">
        <v>75</v>
      </c>
      <c r="CM89">
        <v>0.11688999999999999</v>
      </c>
      <c r="CN89" t="s">
        <v>75</v>
      </c>
      <c r="CO89">
        <v>8.5364400000000007</v>
      </c>
      <c r="CP89" t="s">
        <v>75</v>
      </c>
      <c r="CQ89">
        <v>14.89171</v>
      </c>
      <c r="CR89" t="s">
        <v>75</v>
      </c>
      <c r="CS89">
        <v>4.0781999999999998</v>
      </c>
      <c r="CT89" t="s">
        <v>75</v>
      </c>
      <c r="CV89" t="s">
        <v>76</v>
      </c>
      <c r="CW89">
        <v>3.8960000000000002E-2</v>
      </c>
      <c r="CX89" t="s">
        <v>75</v>
      </c>
      <c r="DA89">
        <v>7.7384899999999996</v>
      </c>
      <c r="DB89" t="s">
        <v>75</v>
      </c>
      <c r="DC89">
        <v>-1.07E-3</v>
      </c>
      <c r="DD89" t="s">
        <v>75</v>
      </c>
      <c r="DE89">
        <v>-7.1999999999999998E-3</v>
      </c>
      <c r="DF89" t="s">
        <v>75</v>
      </c>
      <c r="DG89">
        <v>2.555E-2</v>
      </c>
      <c r="DH89" t="s">
        <v>75</v>
      </c>
      <c r="DI89">
        <v>1.0621799999999999</v>
      </c>
      <c r="DJ89" t="s">
        <v>75</v>
      </c>
      <c r="DL89" t="s">
        <v>76</v>
      </c>
      <c r="DN89" t="s">
        <v>76</v>
      </c>
      <c r="DO89">
        <v>6.132E-2</v>
      </c>
      <c r="DP89" t="s">
        <v>75</v>
      </c>
    </row>
    <row r="90" spans="1:121" x14ac:dyDescent="0.2">
      <c r="D90" t="s">
        <v>64</v>
      </c>
      <c r="G90">
        <v>1.3699999999999999E-3</v>
      </c>
      <c r="H90" t="s">
        <v>75</v>
      </c>
      <c r="I90">
        <v>5.6999999999999998E-4</v>
      </c>
      <c r="J90" t="s">
        <v>75</v>
      </c>
      <c r="K90">
        <v>8.4000000000000003E-4</v>
      </c>
      <c r="L90" t="s">
        <v>75</v>
      </c>
      <c r="M90">
        <v>7.2000000000000005E-4</v>
      </c>
      <c r="N90" t="s">
        <v>75</v>
      </c>
      <c r="O90">
        <v>6.0000000000000002E-5</v>
      </c>
      <c r="P90" t="s">
        <v>75</v>
      </c>
      <c r="Q90">
        <v>1.8500000000000001E-3</v>
      </c>
      <c r="R90" t="s">
        <v>75</v>
      </c>
      <c r="S90">
        <v>3.0000000000000001E-5</v>
      </c>
      <c r="T90" t="s">
        <v>75</v>
      </c>
      <c r="U90">
        <v>8.4000000000000003E-4</v>
      </c>
      <c r="V90" t="s">
        <v>75</v>
      </c>
      <c r="W90">
        <v>1E-3</v>
      </c>
      <c r="X90" t="s">
        <v>75</v>
      </c>
      <c r="Y90">
        <v>8.4999999999999995E-4</v>
      </c>
      <c r="Z90" t="s">
        <v>75</v>
      </c>
      <c r="AC90">
        <v>1.6299999999999999E-3</v>
      </c>
      <c r="AD90" t="s">
        <v>75</v>
      </c>
      <c r="AE90">
        <v>1.4E-2</v>
      </c>
      <c r="AF90" t="s">
        <v>75</v>
      </c>
      <c r="AG90">
        <v>5.0000000000000002E-5</v>
      </c>
      <c r="AH90" t="s">
        <v>75</v>
      </c>
      <c r="AI90">
        <v>2.35E-2</v>
      </c>
      <c r="AJ90" t="s">
        <v>75</v>
      </c>
      <c r="AK90">
        <v>4.0000000000000003E-5</v>
      </c>
      <c r="AL90" t="s">
        <v>75</v>
      </c>
      <c r="AM90">
        <v>1.7000000000000001E-4</v>
      </c>
      <c r="AN90" t="s">
        <v>75</v>
      </c>
      <c r="AO90">
        <v>2.9999999999999997E-4</v>
      </c>
      <c r="AP90" t="s">
        <v>75</v>
      </c>
      <c r="AQ90">
        <v>6.9999999999999994E-5</v>
      </c>
      <c r="AR90" t="s">
        <v>75</v>
      </c>
      <c r="AS90">
        <v>4.0999999999999999E-4</v>
      </c>
      <c r="AT90" t="s">
        <v>75</v>
      </c>
      <c r="AU90">
        <v>2.0000000000000002E-5</v>
      </c>
      <c r="AV90" t="s">
        <v>75</v>
      </c>
      <c r="AW90">
        <v>1.1E-4</v>
      </c>
      <c r="AX90" t="s">
        <v>75</v>
      </c>
      <c r="AY90">
        <v>6.9999999999999999E-4</v>
      </c>
      <c r="AZ90" t="s">
        <v>75</v>
      </c>
      <c r="BC90">
        <v>7.7999999999999999E-4</v>
      </c>
      <c r="BD90" t="s">
        <v>75</v>
      </c>
      <c r="BE90">
        <v>5.0000000000000002E-5</v>
      </c>
      <c r="BF90" t="s">
        <v>75</v>
      </c>
      <c r="BG90">
        <v>1.1939999999999999E-2</v>
      </c>
      <c r="BH90" t="s">
        <v>75</v>
      </c>
      <c r="BI90">
        <v>3.4979999999999997E-2</v>
      </c>
      <c r="BJ90" t="s">
        <v>75</v>
      </c>
      <c r="BK90">
        <v>2.2710000000000001E-2</v>
      </c>
      <c r="BL90" t="s">
        <v>75</v>
      </c>
      <c r="BM90">
        <v>2.7720000000000002E-2</v>
      </c>
      <c r="BN90" t="s">
        <v>75</v>
      </c>
      <c r="BO90">
        <v>1.1407</v>
      </c>
      <c r="BP90" t="s">
        <v>75</v>
      </c>
      <c r="BQ90">
        <v>9.3039999999999998E-2</v>
      </c>
      <c r="BR90" t="s">
        <v>75</v>
      </c>
      <c r="BS90">
        <v>0.56491000000000002</v>
      </c>
      <c r="BT90" t="s">
        <v>75</v>
      </c>
      <c r="BU90">
        <v>0.23683000000000001</v>
      </c>
      <c r="BV90" t="s">
        <v>75</v>
      </c>
      <c r="BW90">
        <v>0.21231</v>
      </c>
      <c r="BX90" t="s">
        <v>75</v>
      </c>
      <c r="BY90">
        <v>0.19616</v>
      </c>
      <c r="BZ90" t="s">
        <v>75</v>
      </c>
      <c r="CA90">
        <v>0.35970999999999997</v>
      </c>
      <c r="CB90" t="s">
        <v>75</v>
      </c>
      <c r="CC90">
        <v>1.8600000000000001E-3</v>
      </c>
      <c r="CD90" t="s">
        <v>75</v>
      </c>
      <c r="CE90">
        <v>1.1999999999999999E-3</v>
      </c>
      <c r="CF90" t="s">
        <v>75</v>
      </c>
      <c r="CG90">
        <v>0.23963000000000001</v>
      </c>
      <c r="CH90" t="s">
        <v>75</v>
      </c>
      <c r="CI90">
        <v>0.11212999999999999</v>
      </c>
      <c r="CJ90" t="s">
        <v>75</v>
      </c>
      <c r="CK90">
        <v>1.1254599999999999</v>
      </c>
      <c r="CL90" t="s">
        <v>75</v>
      </c>
      <c r="CM90">
        <v>5.5999999999999999E-3</v>
      </c>
      <c r="CN90" t="s">
        <v>75</v>
      </c>
      <c r="CO90">
        <v>0.22741</v>
      </c>
      <c r="CP90" t="s">
        <v>75</v>
      </c>
      <c r="CQ90">
        <v>0.28469</v>
      </c>
      <c r="CR90" t="s">
        <v>75</v>
      </c>
      <c r="CS90">
        <v>4.8840000000000001E-2</v>
      </c>
      <c r="CT90" t="s">
        <v>75</v>
      </c>
      <c r="CW90">
        <v>3.3899999999999998E-3</v>
      </c>
      <c r="CX90" t="s">
        <v>75</v>
      </c>
      <c r="DA90">
        <v>0.33443000000000001</v>
      </c>
      <c r="DB90" t="s">
        <v>75</v>
      </c>
      <c r="DC90">
        <v>0</v>
      </c>
      <c r="DD90" t="s">
        <v>75</v>
      </c>
      <c r="DE90">
        <v>6.1700000000000001E-3</v>
      </c>
      <c r="DF90" t="s">
        <v>75</v>
      </c>
      <c r="DG90">
        <v>7.714E-2</v>
      </c>
      <c r="DH90" t="s">
        <v>75</v>
      </c>
      <c r="DI90">
        <v>0.17674999999999999</v>
      </c>
      <c r="DJ90" t="s">
        <v>75</v>
      </c>
      <c r="DO90">
        <v>4.5399999999999998E-3</v>
      </c>
      <c r="DP90" t="s">
        <v>75</v>
      </c>
    </row>
    <row r="91" spans="1:121" x14ac:dyDescent="0.2">
      <c r="D91" t="s">
        <v>65</v>
      </c>
      <c r="G91" t="s">
        <v>66</v>
      </c>
      <c r="I91" t="s">
        <v>66</v>
      </c>
      <c r="K91" t="s">
        <v>66</v>
      </c>
      <c r="M91" t="s">
        <v>66</v>
      </c>
      <c r="O91" t="s">
        <v>66</v>
      </c>
      <c r="Q91" t="s">
        <v>66</v>
      </c>
      <c r="S91" t="s">
        <v>66</v>
      </c>
      <c r="U91" t="s">
        <v>66</v>
      </c>
      <c r="W91" t="s">
        <v>66</v>
      </c>
      <c r="Y91" t="s">
        <v>66</v>
      </c>
      <c r="AA91" t="s">
        <v>66</v>
      </c>
      <c r="AC91" t="s">
        <v>66</v>
      </c>
      <c r="AE91" t="s">
        <v>66</v>
      </c>
      <c r="AG91" t="s">
        <v>66</v>
      </c>
      <c r="AI91" t="s">
        <v>66</v>
      </c>
      <c r="AK91" t="s">
        <v>66</v>
      </c>
      <c r="AM91" t="s">
        <v>66</v>
      </c>
      <c r="AO91" t="s">
        <v>66</v>
      </c>
      <c r="AQ91" t="s">
        <v>66</v>
      </c>
      <c r="AS91" t="s">
        <v>66</v>
      </c>
      <c r="AU91" t="s">
        <v>66</v>
      </c>
      <c r="AW91" t="s">
        <v>66</v>
      </c>
      <c r="AY91" t="s">
        <v>66</v>
      </c>
      <c r="BA91" t="s">
        <v>66</v>
      </c>
      <c r="BC91" t="s">
        <v>66</v>
      </c>
      <c r="BE91" t="s">
        <v>66</v>
      </c>
      <c r="BG91" t="s">
        <v>66</v>
      </c>
      <c r="BI91" t="s">
        <v>66</v>
      </c>
      <c r="BK91" t="s">
        <v>66</v>
      </c>
      <c r="BM91" t="s">
        <v>66</v>
      </c>
      <c r="BO91" t="s">
        <v>66</v>
      </c>
      <c r="BQ91" t="s">
        <v>66</v>
      </c>
      <c r="BS91" t="s">
        <v>66</v>
      </c>
      <c r="BU91" t="s">
        <v>66</v>
      </c>
      <c r="BW91" t="s">
        <v>66</v>
      </c>
      <c r="BY91" t="s">
        <v>66</v>
      </c>
      <c r="CA91" t="s">
        <v>66</v>
      </c>
      <c r="CC91" t="s">
        <v>66</v>
      </c>
      <c r="CE91" t="s">
        <v>66</v>
      </c>
      <c r="CG91" t="s">
        <v>66</v>
      </c>
      <c r="CI91" t="s">
        <v>66</v>
      </c>
      <c r="CK91" t="s">
        <v>66</v>
      </c>
      <c r="CM91" t="s">
        <v>66</v>
      </c>
      <c r="CO91" t="s">
        <v>66</v>
      </c>
      <c r="CQ91" t="s">
        <v>66</v>
      </c>
      <c r="CS91" t="s">
        <v>66</v>
      </c>
      <c r="CU91" t="s">
        <v>66</v>
      </c>
      <c r="CW91" t="s">
        <v>66</v>
      </c>
      <c r="CY91" t="s">
        <v>66</v>
      </c>
      <c r="DA91" t="s">
        <v>66</v>
      </c>
      <c r="DC91" t="s">
        <v>66</v>
      </c>
      <c r="DE91" t="s">
        <v>66</v>
      </c>
      <c r="DG91" t="s">
        <v>66</v>
      </c>
      <c r="DI91" t="s">
        <v>66</v>
      </c>
      <c r="DK91" t="s">
        <v>66</v>
      </c>
      <c r="DM91" t="s">
        <v>66</v>
      </c>
      <c r="DO91" t="s">
        <v>66</v>
      </c>
      <c r="DQ91" t="s">
        <v>66</v>
      </c>
    </row>
    <row r="92" spans="1:121" x14ac:dyDescent="0.2">
      <c r="A92" t="s">
        <v>588</v>
      </c>
      <c r="D92" t="s">
        <v>60</v>
      </c>
      <c r="E92" t="s">
        <v>61</v>
      </c>
      <c r="G92">
        <v>160328.5</v>
      </c>
      <c r="I92">
        <v>36300.6</v>
      </c>
      <c r="K92">
        <v>945224.8</v>
      </c>
      <c r="M92">
        <v>1253149.5</v>
      </c>
      <c r="O92">
        <v>1453022.2</v>
      </c>
      <c r="Q92">
        <v>179501.9</v>
      </c>
      <c r="S92">
        <v>1385984.5</v>
      </c>
      <c r="U92">
        <v>283554.09999999998</v>
      </c>
      <c r="W92">
        <v>562288.30000000005</v>
      </c>
      <c r="Y92">
        <v>80827.199999999997</v>
      </c>
      <c r="AA92">
        <v>2969963</v>
      </c>
      <c r="AC92">
        <v>314171.5</v>
      </c>
      <c r="AE92">
        <v>304991.8</v>
      </c>
      <c r="AG92">
        <v>1583037.7</v>
      </c>
      <c r="AI92">
        <v>659622.40000000002</v>
      </c>
      <c r="AK92">
        <v>1765962</v>
      </c>
      <c r="AM92">
        <v>1624389.2</v>
      </c>
      <c r="AO92">
        <v>335899.6</v>
      </c>
      <c r="AQ92">
        <v>288469.2</v>
      </c>
      <c r="AS92">
        <v>278174.7</v>
      </c>
      <c r="AU92">
        <v>1928323.7</v>
      </c>
      <c r="AW92">
        <v>521769.8</v>
      </c>
      <c r="AY92">
        <v>397144.7</v>
      </c>
      <c r="BA92">
        <v>668802.5</v>
      </c>
      <c r="BC92">
        <v>308961.5</v>
      </c>
      <c r="BE92">
        <v>1281798.2</v>
      </c>
      <c r="BG92">
        <v>428777.3</v>
      </c>
      <c r="BI92">
        <v>359517.6</v>
      </c>
      <c r="BK92">
        <v>907644.8</v>
      </c>
      <c r="BM92">
        <v>1391792.7</v>
      </c>
      <c r="BO92">
        <v>437911.2</v>
      </c>
      <c r="BQ92">
        <v>259055.6</v>
      </c>
      <c r="BS92">
        <v>201882.1</v>
      </c>
      <c r="BU92">
        <v>696142.2</v>
      </c>
      <c r="BW92">
        <v>3514.5</v>
      </c>
      <c r="BY92">
        <v>110220.3</v>
      </c>
      <c r="CA92">
        <v>24079.3</v>
      </c>
      <c r="CC92">
        <v>5666.3</v>
      </c>
      <c r="CE92">
        <v>78188</v>
      </c>
      <c r="CG92">
        <v>69611</v>
      </c>
      <c r="CI92">
        <v>89753.4</v>
      </c>
      <c r="CK92">
        <v>288787.90000000002</v>
      </c>
      <c r="CM92">
        <v>82389.399999999994</v>
      </c>
      <c r="CO92">
        <v>19160</v>
      </c>
      <c r="CQ92">
        <v>40524.1</v>
      </c>
      <c r="CS92">
        <v>16882.400000000001</v>
      </c>
      <c r="CU92">
        <v>258712.1</v>
      </c>
      <c r="CW92">
        <v>32546.9</v>
      </c>
      <c r="CY92">
        <v>59041</v>
      </c>
      <c r="DA92">
        <v>176181.1</v>
      </c>
      <c r="DC92">
        <v>3581.7</v>
      </c>
      <c r="DE92">
        <v>3058.5</v>
      </c>
      <c r="DG92">
        <v>273.89999999999998</v>
      </c>
      <c r="DI92">
        <v>1227.5</v>
      </c>
      <c r="DK92">
        <v>1000</v>
      </c>
      <c r="DM92">
        <v>81151.5</v>
      </c>
      <c r="DO92">
        <v>9298.4</v>
      </c>
      <c r="DQ92">
        <v>18140.8</v>
      </c>
    </row>
    <row r="93" spans="1:121" x14ac:dyDescent="0.2">
      <c r="D93" t="s">
        <v>62</v>
      </c>
      <c r="E93" t="s">
        <v>61</v>
      </c>
      <c r="G93">
        <v>2587</v>
      </c>
      <c r="I93">
        <v>460.6</v>
      </c>
      <c r="K93">
        <v>9741.7999999999993</v>
      </c>
      <c r="M93">
        <v>5151.8</v>
      </c>
      <c r="O93">
        <v>24071.3</v>
      </c>
      <c r="Q93">
        <v>1718.9</v>
      </c>
      <c r="S93">
        <v>15491.3</v>
      </c>
      <c r="U93">
        <v>2418.5</v>
      </c>
      <c r="W93">
        <v>1855.2</v>
      </c>
      <c r="Y93">
        <v>1497.2</v>
      </c>
      <c r="AA93">
        <v>40112.300000000003</v>
      </c>
      <c r="AC93">
        <v>4784.5</v>
      </c>
      <c r="AE93">
        <v>773</v>
      </c>
      <c r="AG93">
        <v>3208.6</v>
      </c>
      <c r="AI93">
        <v>2308.1</v>
      </c>
      <c r="AK93">
        <v>12993.9</v>
      </c>
      <c r="AM93">
        <v>11302.8</v>
      </c>
      <c r="AO93">
        <v>1878</v>
      </c>
      <c r="AQ93">
        <v>1104.8</v>
      </c>
      <c r="AS93">
        <v>4592.6000000000004</v>
      </c>
      <c r="AU93">
        <v>32855.4</v>
      </c>
      <c r="AW93">
        <v>3460.6</v>
      </c>
      <c r="AY93">
        <v>2768.5</v>
      </c>
      <c r="BA93">
        <v>10993.8</v>
      </c>
      <c r="BC93">
        <v>2292.9</v>
      </c>
      <c r="BE93">
        <v>25411.3</v>
      </c>
      <c r="BG93">
        <v>914.3</v>
      </c>
      <c r="BI93">
        <v>2805.9</v>
      </c>
      <c r="BK93">
        <v>9561.2999999999993</v>
      </c>
      <c r="BM93">
        <v>7010.9</v>
      </c>
      <c r="BO93">
        <v>4242.1000000000004</v>
      </c>
      <c r="BQ93">
        <v>1559.8</v>
      </c>
      <c r="BS93">
        <v>923.6</v>
      </c>
      <c r="BU93">
        <v>5162.8</v>
      </c>
      <c r="BW93">
        <v>97.9</v>
      </c>
      <c r="BY93">
        <v>1496</v>
      </c>
      <c r="CA93">
        <v>595.70000000000005</v>
      </c>
      <c r="CC93">
        <v>45.2</v>
      </c>
      <c r="CE93">
        <v>1372.5</v>
      </c>
      <c r="CG93">
        <v>1930.5</v>
      </c>
      <c r="CI93">
        <v>456</v>
      </c>
      <c r="CK93">
        <v>6586.4</v>
      </c>
      <c r="CM93">
        <v>1312.9</v>
      </c>
      <c r="CO93">
        <v>541.4</v>
      </c>
      <c r="CQ93">
        <v>487.8</v>
      </c>
      <c r="CS93">
        <v>479.3</v>
      </c>
      <c r="CU93">
        <v>1004.6</v>
      </c>
      <c r="CW93">
        <v>382.8</v>
      </c>
      <c r="CY93">
        <v>1076.3</v>
      </c>
      <c r="DA93">
        <v>1806.7</v>
      </c>
      <c r="DC93">
        <v>23.7</v>
      </c>
      <c r="DE93">
        <v>41.6</v>
      </c>
      <c r="DG93">
        <v>16.7</v>
      </c>
      <c r="DI93">
        <v>32.6</v>
      </c>
      <c r="DK93">
        <v>79.3</v>
      </c>
      <c r="DM93">
        <v>1354.6</v>
      </c>
      <c r="DO93">
        <v>201</v>
      </c>
      <c r="DQ93">
        <v>375.6</v>
      </c>
    </row>
    <row r="94" spans="1:121" x14ac:dyDescent="0.2">
      <c r="D94" t="s">
        <v>63</v>
      </c>
      <c r="G94">
        <v>1.2566999999999999</v>
      </c>
      <c r="H94" t="s">
        <v>75</v>
      </c>
      <c r="I94">
        <v>1.27339</v>
      </c>
      <c r="J94" t="s">
        <v>75</v>
      </c>
      <c r="K94">
        <v>1.2153700000000001</v>
      </c>
      <c r="L94" t="s">
        <v>75</v>
      </c>
      <c r="M94">
        <v>1.25654</v>
      </c>
      <c r="N94" t="s">
        <v>75</v>
      </c>
      <c r="O94">
        <v>1.2309699999999999</v>
      </c>
      <c r="P94" t="s">
        <v>75</v>
      </c>
      <c r="Q94">
        <v>1.19608</v>
      </c>
      <c r="R94" t="s">
        <v>75</v>
      </c>
      <c r="S94">
        <v>1.2283500000000001</v>
      </c>
      <c r="T94" t="s">
        <v>75</v>
      </c>
      <c r="U94">
        <v>1.19468</v>
      </c>
      <c r="V94" t="s">
        <v>75</v>
      </c>
      <c r="W94">
        <v>1.21269</v>
      </c>
      <c r="X94" t="s">
        <v>75</v>
      </c>
      <c r="Y94">
        <v>1.2165999999999999</v>
      </c>
      <c r="Z94" t="s">
        <v>75</v>
      </c>
      <c r="AB94" t="s">
        <v>76</v>
      </c>
      <c r="AC94">
        <v>1.1749000000000001</v>
      </c>
      <c r="AD94" t="s">
        <v>75</v>
      </c>
      <c r="AE94">
        <v>1.19726</v>
      </c>
      <c r="AF94" t="s">
        <v>75</v>
      </c>
      <c r="AG94">
        <v>1.2436</v>
      </c>
      <c r="AH94" t="s">
        <v>75</v>
      </c>
      <c r="AI94">
        <v>4.2267599999999996</v>
      </c>
      <c r="AJ94" t="s">
        <v>75</v>
      </c>
      <c r="AK94">
        <v>1.2263999999999999</v>
      </c>
      <c r="AL94" t="s">
        <v>75</v>
      </c>
      <c r="AM94">
        <v>1.2315799999999999</v>
      </c>
      <c r="AN94" t="s">
        <v>75</v>
      </c>
      <c r="AO94">
        <v>1.2448699999999999</v>
      </c>
      <c r="AP94" t="s">
        <v>75</v>
      </c>
      <c r="AQ94">
        <v>1.2531099999999999</v>
      </c>
      <c r="AR94" t="s">
        <v>75</v>
      </c>
      <c r="AS94">
        <v>1.25116</v>
      </c>
      <c r="AT94" t="s">
        <v>75</v>
      </c>
      <c r="AU94">
        <v>1.28759</v>
      </c>
      <c r="AV94" t="s">
        <v>75</v>
      </c>
      <c r="AW94">
        <v>1.2740100000000001</v>
      </c>
      <c r="AX94" t="s">
        <v>75</v>
      </c>
      <c r="AY94">
        <v>1.28881</v>
      </c>
      <c r="AZ94" t="s">
        <v>75</v>
      </c>
      <c r="BC94">
        <v>-1.1224799999999999</v>
      </c>
      <c r="BD94" t="s">
        <v>75</v>
      </c>
      <c r="BE94">
        <v>1.2435700000000001</v>
      </c>
      <c r="BF94" t="s">
        <v>75</v>
      </c>
      <c r="BG94">
        <v>1.2110099999999999</v>
      </c>
      <c r="BH94" t="s">
        <v>75</v>
      </c>
      <c r="BI94">
        <v>1.18855</v>
      </c>
      <c r="BJ94" t="s">
        <v>75</v>
      </c>
      <c r="BK94">
        <v>1.21739</v>
      </c>
      <c r="BL94" t="s">
        <v>75</v>
      </c>
      <c r="BM94">
        <v>1.3162</v>
      </c>
      <c r="BN94" t="s">
        <v>75</v>
      </c>
      <c r="BO94">
        <v>8.0341000000000005</v>
      </c>
      <c r="BP94" t="s">
        <v>75</v>
      </c>
      <c r="BQ94">
        <v>8.4353300000000004</v>
      </c>
      <c r="BR94" t="s">
        <v>75</v>
      </c>
      <c r="BS94">
        <v>4.1105900000000002</v>
      </c>
      <c r="BT94" t="s">
        <v>75</v>
      </c>
      <c r="BU94">
        <v>8.6080199999999998</v>
      </c>
      <c r="BV94" t="s">
        <v>75</v>
      </c>
      <c r="BW94">
        <v>1.25485</v>
      </c>
      <c r="BX94" t="s">
        <v>75</v>
      </c>
      <c r="BY94">
        <v>23.14209</v>
      </c>
      <c r="BZ94" t="s">
        <v>75</v>
      </c>
      <c r="CA94">
        <v>9.4242899999999992</v>
      </c>
      <c r="CB94" t="s">
        <v>75</v>
      </c>
      <c r="CC94">
        <v>1.2070700000000001</v>
      </c>
      <c r="CD94" t="s">
        <v>75</v>
      </c>
      <c r="CE94">
        <v>1.1747700000000001</v>
      </c>
      <c r="CF94" t="s">
        <v>75</v>
      </c>
      <c r="CG94">
        <v>1.1809700000000001</v>
      </c>
      <c r="CH94" t="s">
        <v>75</v>
      </c>
      <c r="CI94">
        <v>1.15418</v>
      </c>
      <c r="CJ94" t="s">
        <v>75</v>
      </c>
      <c r="CK94">
        <v>3.8012899999999998</v>
      </c>
      <c r="CL94" t="s">
        <v>75</v>
      </c>
      <c r="CM94">
        <v>1.1748499999999999</v>
      </c>
      <c r="CN94" t="s">
        <v>75</v>
      </c>
      <c r="CO94">
        <v>1.1044799999999999</v>
      </c>
      <c r="CP94" t="s">
        <v>75</v>
      </c>
      <c r="CQ94">
        <v>1.21068</v>
      </c>
      <c r="CR94" t="s">
        <v>75</v>
      </c>
      <c r="CS94">
        <v>4.3614600000000001</v>
      </c>
      <c r="CT94" t="s">
        <v>75</v>
      </c>
      <c r="CV94" t="s">
        <v>76</v>
      </c>
      <c r="CW94">
        <v>1.19472</v>
      </c>
      <c r="CX94" t="s">
        <v>75</v>
      </c>
      <c r="DA94">
        <v>9.2152200000000004</v>
      </c>
      <c r="DB94" t="s">
        <v>75</v>
      </c>
      <c r="DC94">
        <v>1.4147000000000001</v>
      </c>
      <c r="DD94" t="s">
        <v>75</v>
      </c>
      <c r="DE94">
        <v>1.22607</v>
      </c>
      <c r="DF94" t="s">
        <v>75</v>
      </c>
      <c r="DG94">
        <v>1.23448</v>
      </c>
      <c r="DH94" t="s">
        <v>75</v>
      </c>
      <c r="DI94">
        <v>1.48647</v>
      </c>
      <c r="DJ94" t="s">
        <v>75</v>
      </c>
      <c r="DL94" t="s">
        <v>76</v>
      </c>
      <c r="DN94" t="s">
        <v>76</v>
      </c>
      <c r="DO94">
        <v>1.22855</v>
      </c>
      <c r="DP94" t="s">
        <v>75</v>
      </c>
    </row>
    <row r="95" spans="1:121" x14ac:dyDescent="0.2">
      <c r="D95" t="s">
        <v>64</v>
      </c>
      <c r="G95">
        <v>2.1319999999999999E-2</v>
      </c>
      <c r="H95" t="s">
        <v>75</v>
      </c>
      <c r="I95">
        <v>1.7469999999999999E-2</v>
      </c>
      <c r="J95" t="s">
        <v>75</v>
      </c>
      <c r="K95">
        <v>2.8469999999999999E-2</v>
      </c>
      <c r="L95" t="s">
        <v>75</v>
      </c>
      <c r="M95">
        <v>2.664E-2</v>
      </c>
      <c r="N95" t="s">
        <v>75</v>
      </c>
      <c r="O95">
        <v>4.0509999999999997E-2</v>
      </c>
      <c r="P95" t="s">
        <v>75</v>
      </c>
      <c r="Q95">
        <v>3.0710000000000001E-2</v>
      </c>
      <c r="R95" t="s">
        <v>75</v>
      </c>
      <c r="S95">
        <v>3.117E-2</v>
      </c>
      <c r="T95" t="s">
        <v>75</v>
      </c>
      <c r="U95">
        <v>9.4599999999999997E-3</v>
      </c>
      <c r="V95" t="s">
        <v>75</v>
      </c>
      <c r="W95">
        <v>2.3650000000000001E-2</v>
      </c>
      <c r="X95" t="s">
        <v>75</v>
      </c>
      <c r="Y95">
        <v>2.0709999999999999E-2</v>
      </c>
      <c r="Z95" t="s">
        <v>75</v>
      </c>
      <c r="AC95">
        <v>3.3180000000000001E-2</v>
      </c>
      <c r="AD95" t="s">
        <v>75</v>
      </c>
      <c r="AE95">
        <v>1.9040000000000001E-2</v>
      </c>
      <c r="AF95" t="s">
        <v>75</v>
      </c>
      <c r="AG95">
        <v>1.9050000000000001E-2</v>
      </c>
      <c r="AH95" t="s">
        <v>75</v>
      </c>
      <c r="AI95">
        <v>7.8880000000000006E-2</v>
      </c>
      <c r="AJ95" t="s">
        <v>75</v>
      </c>
      <c r="AK95">
        <v>2.8920000000000001E-2</v>
      </c>
      <c r="AL95" t="s">
        <v>75</v>
      </c>
      <c r="AM95">
        <v>2.4830000000000001E-2</v>
      </c>
      <c r="AN95" t="s">
        <v>75</v>
      </c>
      <c r="AO95">
        <v>2.1010000000000001E-2</v>
      </c>
      <c r="AP95" t="s">
        <v>75</v>
      </c>
      <c r="AQ95">
        <v>1.6990000000000002E-2</v>
      </c>
      <c r="AR95" t="s">
        <v>75</v>
      </c>
      <c r="AS95">
        <v>4.0370000000000003E-2</v>
      </c>
      <c r="AT95" t="s">
        <v>75</v>
      </c>
      <c r="AU95">
        <v>7.9000000000000001E-4</v>
      </c>
      <c r="AV95" t="s">
        <v>75</v>
      </c>
      <c r="AW95">
        <v>1.413E-2</v>
      </c>
      <c r="AX95" t="s">
        <v>75</v>
      </c>
      <c r="AY95">
        <v>1.264E-2</v>
      </c>
      <c r="AZ95" t="s">
        <v>75</v>
      </c>
      <c r="BC95">
        <v>2.1999999999999999E-2</v>
      </c>
      <c r="BD95" t="s">
        <v>75</v>
      </c>
      <c r="BE95">
        <v>4.2909999999999997E-2</v>
      </c>
      <c r="BF95" t="s">
        <v>75</v>
      </c>
      <c r="BG95">
        <v>2.3189999999999999E-2</v>
      </c>
      <c r="BH95" t="s">
        <v>75</v>
      </c>
      <c r="BI95">
        <v>1.7909999999999999E-2</v>
      </c>
      <c r="BJ95" t="s">
        <v>75</v>
      </c>
      <c r="BK95">
        <v>2.3009999999999999E-2</v>
      </c>
      <c r="BL95" t="s">
        <v>75</v>
      </c>
      <c r="BM95">
        <v>2.843E-2</v>
      </c>
      <c r="BN95" t="s">
        <v>75</v>
      </c>
      <c r="BO95">
        <v>8.6550000000000002E-2</v>
      </c>
      <c r="BP95" t="s">
        <v>75</v>
      </c>
      <c r="BQ95">
        <v>0.11051999999999999</v>
      </c>
      <c r="BR95" t="s">
        <v>75</v>
      </c>
      <c r="BS95">
        <v>8.6449999999999999E-2</v>
      </c>
      <c r="BT95" t="s">
        <v>75</v>
      </c>
      <c r="BU95">
        <v>0.35328999999999999</v>
      </c>
      <c r="BV95" t="s">
        <v>75</v>
      </c>
      <c r="BW95">
        <v>3.0159999999999999E-2</v>
      </c>
      <c r="BX95" t="s">
        <v>75</v>
      </c>
      <c r="BY95">
        <v>0.39900999999999998</v>
      </c>
      <c r="BZ95" t="s">
        <v>75</v>
      </c>
      <c r="CA95">
        <v>0.32034000000000001</v>
      </c>
      <c r="CB95" t="s">
        <v>75</v>
      </c>
      <c r="CC95">
        <v>2.3470000000000001E-2</v>
      </c>
      <c r="CD95" t="s">
        <v>75</v>
      </c>
      <c r="CE95">
        <v>2.5409999999999999E-2</v>
      </c>
      <c r="CF95" t="s">
        <v>75</v>
      </c>
      <c r="CG95">
        <v>3.5150000000000001E-2</v>
      </c>
      <c r="CH95" t="s">
        <v>75</v>
      </c>
      <c r="CI95">
        <v>2.69E-2</v>
      </c>
      <c r="CJ95" t="s">
        <v>75</v>
      </c>
      <c r="CK95">
        <v>0.15306</v>
      </c>
      <c r="CL95" t="s">
        <v>75</v>
      </c>
      <c r="CM95">
        <v>2.7529999999999999E-2</v>
      </c>
      <c r="CN95" t="s">
        <v>75</v>
      </c>
      <c r="CO95">
        <v>2.4559999999999998E-2</v>
      </c>
      <c r="CP95" t="s">
        <v>75</v>
      </c>
      <c r="CQ95">
        <v>1.619E-2</v>
      </c>
      <c r="CR95" t="s">
        <v>75</v>
      </c>
      <c r="CS95">
        <v>0.12827</v>
      </c>
      <c r="CT95" t="s">
        <v>75</v>
      </c>
      <c r="CW95">
        <v>2.716E-2</v>
      </c>
      <c r="CX95" t="s">
        <v>75</v>
      </c>
      <c r="DA95">
        <v>0.27629999999999999</v>
      </c>
      <c r="DB95" t="s">
        <v>75</v>
      </c>
      <c r="DC95">
        <v>3.4450000000000001E-2</v>
      </c>
      <c r="DD95" t="s">
        <v>75</v>
      </c>
      <c r="DE95">
        <v>3.1620000000000002E-2</v>
      </c>
      <c r="DF95" t="s">
        <v>75</v>
      </c>
      <c r="DG95">
        <v>0.10213</v>
      </c>
      <c r="DH95" t="s">
        <v>75</v>
      </c>
      <c r="DI95">
        <v>5.0099999999999999E-2</v>
      </c>
      <c r="DJ95" t="s">
        <v>75</v>
      </c>
      <c r="DO95">
        <v>4.2130000000000001E-2</v>
      </c>
      <c r="DP95" t="s">
        <v>75</v>
      </c>
    </row>
    <row r="96" spans="1:121" x14ac:dyDescent="0.2">
      <c r="D96" t="s">
        <v>65</v>
      </c>
      <c r="G96" t="s">
        <v>66</v>
      </c>
      <c r="I96" t="s">
        <v>66</v>
      </c>
      <c r="K96" t="s">
        <v>66</v>
      </c>
      <c r="M96" t="s">
        <v>66</v>
      </c>
      <c r="O96" t="s">
        <v>66</v>
      </c>
      <c r="Q96" t="s">
        <v>66</v>
      </c>
      <c r="S96" t="s">
        <v>66</v>
      </c>
      <c r="U96" t="s">
        <v>66</v>
      </c>
      <c r="W96" t="s">
        <v>66</v>
      </c>
      <c r="Y96" t="s">
        <v>66</v>
      </c>
      <c r="AA96" t="s">
        <v>66</v>
      </c>
      <c r="AC96" t="s">
        <v>66</v>
      </c>
      <c r="AE96" t="s">
        <v>66</v>
      </c>
      <c r="AG96" t="s">
        <v>66</v>
      </c>
      <c r="AI96" t="s">
        <v>66</v>
      </c>
      <c r="AK96" t="s">
        <v>66</v>
      </c>
      <c r="AM96" t="s">
        <v>66</v>
      </c>
      <c r="AO96" t="s">
        <v>66</v>
      </c>
      <c r="AQ96" t="s">
        <v>66</v>
      </c>
      <c r="AS96" t="s">
        <v>66</v>
      </c>
      <c r="AU96" t="s">
        <v>66</v>
      </c>
      <c r="AW96" t="s">
        <v>66</v>
      </c>
      <c r="AY96" t="s">
        <v>66</v>
      </c>
      <c r="BA96" t="s">
        <v>66</v>
      </c>
      <c r="BC96" t="s">
        <v>66</v>
      </c>
      <c r="BE96" t="s">
        <v>66</v>
      </c>
      <c r="BG96" t="s">
        <v>66</v>
      </c>
      <c r="BI96" t="s">
        <v>66</v>
      </c>
      <c r="BK96" t="s">
        <v>66</v>
      </c>
      <c r="BM96" t="s">
        <v>66</v>
      </c>
      <c r="BO96" t="s">
        <v>66</v>
      </c>
      <c r="BQ96" t="s">
        <v>66</v>
      </c>
      <c r="BS96" t="s">
        <v>66</v>
      </c>
      <c r="BU96" t="s">
        <v>66</v>
      </c>
      <c r="BW96" t="s">
        <v>66</v>
      </c>
      <c r="BY96" t="s">
        <v>66</v>
      </c>
      <c r="CA96" t="s">
        <v>66</v>
      </c>
      <c r="CC96" t="s">
        <v>66</v>
      </c>
      <c r="CE96" t="s">
        <v>66</v>
      </c>
      <c r="CG96" t="s">
        <v>66</v>
      </c>
      <c r="CI96" t="s">
        <v>66</v>
      </c>
      <c r="CK96" t="s">
        <v>66</v>
      </c>
      <c r="CM96" t="s">
        <v>66</v>
      </c>
      <c r="CO96" t="s">
        <v>66</v>
      </c>
      <c r="CQ96" t="s">
        <v>66</v>
      </c>
      <c r="CS96" t="s">
        <v>66</v>
      </c>
      <c r="CU96" t="s">
        <v>66</v>
      </c>
      <c r="CW96" t="s">
        <v>66</v>
      </c>
      <c r="CY96" t="s">
        <v>66</v>
      </c>
      <c r="DA96" t="s">
        <v>66</v>
      </c>
      <c r="DC96" t="s">
        <v>66</v>
      </c>
      <c r="DE96" t="s">
        <v>66</v>
      </c>
      <c r="DG96" t="s">
        <v>66</v>
      </c>
      <c r="DI96" t="s">
        <v>66</v>
      </c>
      <c r="DK96" t="s">
        <v>66</v>
      </c>
      <c r="DM96" t="s">
        <v>66</v>
      </c>
      <c r="DO96" t="s">
        <v>66</v>
      </c>
      <c r="DQ96" t="s">
        <v>66</v>
      </c>
    </row>
    <row r="97" spans="1:121" x14ac:dyDescent="0.2">
      <c r="A97" t="s">
        <v>589</v>
      </c>
      <c r="D97" t="s">
        <v>60</v>
      </c>
      <c r="E97" t="s">
        <v>61</v>
      </c>
      <c r="G97">
        <v>10413.1</v>
      </c>
      <c r="I97">
        <v>672.5</v>
      </c>
      <c r="K97">
        <v>9351</v>
      </c>
      <c r="M97">
        <v>40795.4</v>
      </c>
      <c r="O97">
        <v>155.19999999999999</v>
      </c>
      <c r="Q97">
        <v>843.1</v>
      </c>
      <c r="S97">
        <v>2054.8000000000002</v>
      </c>
      <c r="U97">
        <v>1862.9</v>
      </c>
      <c r="W97">
        <v>1458.3</v>
      </c>
      <c r="Y97">
        <v>58.3</v>
      </c>
      <c r="AA97">
        <v>2916769.7</v>
      </c>
      <c r="AC97">
        <v>558.5</v>
      </c>
      <c r="AE97">
        <v>1167.4000000000001</v>
      </c>
      <c r="AG97">
        <v>5346.3</v>
      </c>
      <c r="AI97">
        <v>7281.2</v>
      </c>
      <c r="AK97">
        <v>324</v>
      </c>
      <c r="AM97">
        <v>138.5</v>
      </c>
      <c r="AO97">
        <v>125</v>
      </c>
      <c r="AQ97">
        <v>105.2</v>
      </c>
      <c r="AS97">
        <v>534.5</v>
      </c>
      <c r="AU97">
        <v>262.5</v>
      </c>
      <c r="AW97">
        <v>144.80000000000001</v>
      </c>
      <c r="AY97">
        <v>2466.6999999999998</v>
      </c>
      <c r="BA97">
        <v>662339.69999999995</v>
      </c>
      <c r="BC97">
        <v>3714</v>
      </c>
      <c r="BE97">
        <v>680.5</v>
      </c>
      <c r="BG97">
        <v>452.1</v>
      </c>
      <c r="BI97">
        <v>631.5</v>
      </c>
      <c r="BK97">
        <v>1085</v>
      </c>
      <c r="BM97">
        <v>970.3</v>
      </c>
      <c r="BO97">
        <v>65266.1</v>
      </c>
      <c r="BQ97">
        <v>14497.4</v>
      </c>
      <c r="BS97">
        <v>16086.6</v>
      </c>
      <c r="BU97">
        <v>492100.4</v>
      </c>
      <c r="BW97">
        <v>456.5</v>
      </c>
      <c r="BY97">
        <v>27395.8</v>
      </c>
      <c r="CA97">
        <v>9252.7999999999993</v>
      </c>
      <c r="CC97">
        <v>19.399999999999999</v>
      </c>
      <c r="CE97">
        <v>251.9</v>
      </c>
      <c r="CG97">
        <v>574.20000000000005</v>
      </c>
      <c r="CI97">
        <v>190.7</v>
      </c>
      <c r="CK97">
        <v>2667.2</v>
      </c>
      <c r="CM97">
        <v>63</v>
      </c>
      <c r="CO97">
        <v>175</v>
      </c>
      <c r="CQ97">
        <v>337.1</v>
      </c>
      <c r="CS97">
        <v>155.6</v>
      </c>
      <c r="CU97">
        <v>253028.1</v>
      </c>
      <c r="CW97">
        <v>75.900000000000006</v>
      </c>
      <c r="CY97">
        <v>57363.6</v>
      </c>
      <c r="DA97">
        <v>10148.200000000001</v>
      </c>
      <c r="DC97">
        <v>0.6</v>
      </c>
      <c r="DE97">
        <v>15.3</v>
      </c>
      <c r="DG97">
        <v>49.3</v>
      </c>
      <c r="DI97">
        <v>1366.2</v>
      </c>
      <c r="DK97">
        <v>923.7</v>
      </c>
      <c r="DM97">
        <v>78770.5</v>
      </c>
      <c r="DO97">
        <v>20.399999999999999</v>
      </c>
      <c r="DQ97">
        <v>17514</v>
      </c>
    </row>
    <row r="98" spans="1:121" x14ac:dyDescent="0.2">
      <c r="D98" t="s">
        <v>62</v>
      </c>
      <c r="E98" t="s">
        <v>61</v>
      </c>
      <c r="G98">
        <v>459.9</v>
      </c>
      <c r="I98">
        <v>106.3</v>
      </c>
      <c r="K98">
        <v>47</v>
      </c>
      <c r="M98">
        <v>809.9</v>
      </c>
      <c r="O98">
        <v>18.8</v>
      </c>
      <c r="Q98">
        <v>89.2</v>
      </c>
      <c r="S98">
        <v>109.6</v>
      </c>
      <c r="U98">
        <v>91.6</v>
      </c>
      <c r="W98">
        <v>25.4</v>
      </c>
      <c r="Y98">
        <v>19.100000000000001</v>
      </c>
      <c r="AA98">
        <v>17319.8</v>
      </c>
      <c r="AC98">
        <v>89.9</v>
      </c>
      <c r="AE98">
        <v>68.599999999999994</v>
      </c>
      <c r="AG98">
        <v>146.6</v>
      </c>
      <c r="AI98">
        <v>61</v>
      </c>
      <c r="AK98">
        <v>13</v>
      </c>
      <c r="AM98">
        <v>21.3</v>
      </c>
      <c r="AO98">
        <v>21.9</v>
      </c>
      <c r="AQ98">
        <v>28.4</v>
      </c>
      <c r="AS98">
        <v>81.5</v>
      </c>
      <c r="AU98">
        <v>50.3</v>
      </c>
      <c r="AW98">
        <v>47.4</v>
      </c>
      <c r="AY98">
        <v>60.1</v>
      </c>
      <c r="BA98">
        <v>3509.4</v>
      </c>
      <c r="BC98">
        <v>138.80000000000001</v>
      </c>
      <c r="BE98">
        <v>89.9</v>
      </c>
      <c r="BG98">
        <v>17.8</v>
      </c>
      <c r="BI98">
        <v>73.5</v>
      </c>
      <c r="BK98">
        <v>76.099999999999994</v>
      </c>
      <c r="BM98">
        <v>87.5</v>
      </c>
      <c r="BO98">
        <v>1857.8</v>
      </c>
      <c r="BQ98">
        <v>286.7</v>
      </c>
      <c r="BS98">
        <v>2177</v>
      </c>
      <c r="BU98">
        <v>6071.5</v>
      </c>
      <c r="BW98">
        <v>33.4</v>
      </c>
      <c r="BY98">
        <v>617.29999999999995</v>
      </c>
      <c r="CA98">
        <v>132.9</v>
      </c>
      <c r="CC98">
        <v>15.5</v>
      </c>
      <c r="CE98">
        <v>58.7</v>
      </c>
      <c r="CG98">
        <v>57.2</v>
      </c>
      <c r="CI98">
        <v>30.6</v>
      </c>
      <c r="CK98">
        <v>49.5</v>
      </c>
      <c r="CM98">
        <v>18.899999999999999</v>
      </c>
      <c r="CO98">
        <v>38.9</v>
      </c>
      <c r="CQ98">
        <v>15.8</v>
      </c>
      <c r="CS98">
        <v>17.3</v>
      </c>
      <c r="CU98">
        <v>8649.7000000000007</v>
      </c>
      <c r="CW98">
        <v>53.4</v>
      </c>
      <c r="CY98">
        <v>1123</v>
      </c>
      <c r="DA98">
        <v>213.8</v>
      </c>
      <c r="DC98">
        <v>1</v>
      </c>
      <c r="DE98">
        <v>6</v>
      </c>
      <c r="DG98">
        <v>8.1999999999999993</v>
      </c>
      <c r="DI98">
        <v>180.1</v>
      </c>
      <c r="DK98">
        <v>53.7</v>
      </c>
      <c r="DM98">
        <v>1301.5</v>
      </c>
      <c r="DO98">
        <v>7.8</v>
      </c>
      <c r="DQ98">
        <v>502.5</v>
      </c>
    </row>
    <row r="99" spans="1:121" x14ac:dyDescent="0.2">
      <c r="D99" t="s">
        <v>63</v>
      </c>
      <c r="G99">
        <v>5.0290000000000001E-2</v>
      </c>
      <c r="H99" t="s">
        <v>75</v>
      </c>
      <c r="I99">
        <v>1.141E-2</v>
      </c>
      <c r="J99" t="s">
        <v>75</v>
      </c>
      <c r="K99">
        <v>8.6899999999999998E-3</v>
      </c>
      <c r="L99" t="s">
        <v>75</v>
      </c>
      <c r="M99">
        <v>8.2100000000000003E-3</v>
      </c>
      <c r="N99" t="s">
        <v>75</v>
      </c>
      <c r="O99">
        <v>3.0599999999999998E-3</v>
      </c>
      <c r="P99" t="s">
        <v>75</v>
      </c>
      <c r="Q99">
        <v>2.657E-2</v>
      </c>
      <c r="R99" t="s">
        <v>75</v>
      </c>
      <c r="S99">
        <v>1.15E-3</v>
      </c>
      <c r="T99" t="s">
        <v>75</v>
      </c>
      <c r="U99">
        <v>1.354E-2</v>
      </c>
      <c r="V99" t="s">
        <v>75</v>
      </c>
      <c r="W99">
        <v>6.7099999999999998E-3</v>
      </c>
      <c r="X99" t="s">
        <v>75</v>
      </c>
      <c r="Y99">
        <v>8.8999999999999995E-4</v>
      </c>
      <c r="Z99" t="s">
        <v>75</v>
      </c>
      <c r="AB99" t="s">
        <v>76</v>
      </c>
      <c r="AC99">
        <v>4.3740000000000001E-2</v>
      </c>
      <c r="AD99" t="s">
        <v>75</v>
      </c>
      <c r="AE99">
        <v>4.3700000000000003E-2</v>
      </c>
      <c r="AF99" t="s">
        <v>75</v>
      </c>
      <c r="AG99">
        <v>-1.206E-2</v>
      </c>
      <c r="AH99" t="s">
        <v>75</v>
      </c>
      <c r="AI99">
        <v>4.7100000000000003E-2</v>
      </c>
      <c r="AJ99" t="s">
        <v>75</v>
      </c>
      <c r="AK99">
        <v>-1.92E-3</v>
      </c>
      <c r="AL99" t="s">
        <v>75</v>
      </c>
      <c r="AM99">
        <v>-5.5799999999999999E-3</v>
      </c>
      <c r="AN99" t="s">
        <v>75</v>
      </c>
      <c r="AO99">
        <v>1.89E-3</v>
      </c>
      <c r="AP99" t="s">
        <v>75</v>
      </c>
      <c r="AQ99">
        <v>-5.0000000000000001E-4</v>
      </c>
      <c r="AR99" t="s">
        <v>75</v>
      </c>
      <c r="AS99">
        <v>1.4E-3</v>
      </c>
      <c r="AT99" t="s">
        <v>75</v>
      </c>
      <c r="AU99">
        <v>1.5299999999999999E-3</v>
      </c>
      <c r="AV99" t="s">
        <v>75</v>
      </c>
      <c r="AW99">
        <v>-4.4000000000000002E-4</v>
      </c>
      <c r="AX99" t="s">
        <v>75</v>
      </c>
      <c r="AY99">
        <v>-2.2200000000000002E-3</v>
      </c>
      <c r="AZ99" t="s">
        <v>75</v>
      </c>
      <c r="BC99">
        <v>-2.04853</v>
      </c>
      <c r="BD99" t="s">
        <v>75</v>
      </c>
      <c r="BE99">
        <v>3.2399999999999998E-3</v>
      </c>
      <c r="BF99" t="s">
        <v>75</v>
      </c>
      <c r="BG99">
        <v>-3.7470000000000003E-2</v>
      </c>
      <c r="BH99" t="s">
        <v>75</v>
      </c>
      <c r="BI99">
        <v>-1.3990000000000001E-2</v>
      </c>
      <c r="BJ99" t="s">
        <v>75</v>
      </c>
      <c r="BK99">
        <v>-4.6379999999999998E-2</v>
      </c>
      <c r="BL99" t="s">
        <v>75</v>
      </c>
      <c r="BM99">
        <v>-9.0600000000000003E-3</v>
      </c>
      <c r="BN99" t="s">
        <v>75</v>
      </c>
      <c r="BO99">
        <v>-0.23283000000000001</v>
      </c>
      <c r="BP99" t="s">
        <v>75</v>
      </c>
      <c r="BQ99">
        <v>9.0469999999999995E-2</v>
      </c>
      <c r="BR99" t="s">
        <v>75</v>
      </c>
      <c r="BS99">
        <v>-8.4419999999999995E-2</v>
      </c>
      <c r="BT99" t="s">
        <v>75</v>
      </c>
      <c r="BU99">
        <v>0.68484999999999996</v>
      </c>
      <c r="BV99" t="s">
        <v>75</v>
      </c>
      <c r="BW99">
        <v>-0.05</v>
      </c>
      <c r="BX99" t="s">
        <v>75</v>
      </c>
      <c r="BY99">
        <v>-0.13116</v>
      </c>
      <c r="BZ99" t="s">
        <v>75</v>
      </c>
      <c r="CA99">
        <v>1.5482199999999999</v>
      </c>
      <c r="CB99" t="s">
        <v>75</v>
      </c>
      <c r="CC99">
        <v>-9.9500000000000005E-3</v>
      </c>
      <c r="CD99" t="s">
        <v>75</v>
      </c>
      <c r="CE99">
        <v>2.2499999999999998E-3</v>
      </c>
      <c r="CF99" t="s">
        <v>75</v>
      </c>
      <c r="CG99">
        <v>-7.1999999999999998E-3</v>
      </c>
      <c r="CH99" t="s">
        <v>75</v>
      </c>
      <c r="CI99">
        <v>-2.6120000000000001E-2</v>
      </c>
      <c r="CJ99" t="s">
        <v>75</v>
      </c>
      <c r="CK99">
        <v>-0.29037000000000002</v>
      </c>
      <c r="CL99" t="s">
        <v>75</v>
      </c>
      <c r="CM99">
        <v>-6.0600000000000003E-3</v>
      </c>
      <c r="CN99" t="s">
        <v>75</v>
      </c>
      <c r="CO99">
        <v>2.0590000000000001E-2</v>
      </c>
      <c r="CP99" t="s">
        <v>75</v>
      </c>
      <c r="CQ99">
        <v>-1.677E-2</v>
      </c>
      <c r="CR99" t="s">
        <v>75</v>
      </c>
      <c r="CS99">
        <v>-5.6710000000000003E-2</v>
      </c>
      <c r="CT99" t="s">
        <v>75</v>
      </c>
      <c r="CV99" t="s">
        <v>76</v>
      </c>
      <c r="CW99">
        <v>-2.281E-2</v>
      </c>
      <c r="CX99" t="s">
        <v>75</v>
      </c>
      <c r="DA99">
        <v>0.33579999999999999</v>
      </c>
      <c r="DB99" t="s">
        <v>75</v>
      </c>
      <c r="DC99">
        <v>-8.4000000000000003E-4</v>
      </c>
      <c r="DD99" t="s">
        <v>75</v>
      </c>
      <c r="DE99">
        <v>-1.176E-2</v>
      </c>
      <c r="DF99" t="s">
        <v>75</v>
      </c>
      <c r="DG99">
        <v>0.18043999999999999</v>
      </c>
      <c r="DH99" t="s">
        <v>75</v>
      </c>
      <c r="DI99">
        <v>1.78976</v>
      </c>
      <c r="DJ99" t="s">
        <v>75</v>
      </c>
      <c r="DL99" t="s">
        <v>76</v>
      </c>
      <c r="DN99" t="s">
        <v>76</v>
      </c>
      <c r="DO99">
        <v>-5.3499999999999997E-3</v>
      </c>
      <c r="DP99" t="s">
        <v>75</v>
      </c>
    </row>
    <row r="100" spans="1:121" x14ac:dyDescent="0.2">
      <c r="D100" t="s">
        <v>64</v>
      </c>
      <c r="G100">
        <v>3.31E-3</v>
      </c>
      <c r="H100" t="s">
        <v>75</v>
      </c>
      <c r="I100">
        <v>3.9300000000000003E-3</v>
      </c>
      <c r="J100" t="s">
        <v>75</v>
      </c>
      <c r="K100">
        <v>3.0000000000000001E-5</v>
      </c>
      <c r="L100" t="s">
        <v>75</v>
      </c>
      <c r="M100">
        <v>8.4000000000000003E-4</v>
      </c>
      <c r="N100" t="s">
        <v>75</v>
      </c>
      <c r="O100">
        <v>2.0000000000000002E-5</v>
      </c>
      <c r="P100" t="s">
        <v>75</v>
      </c>
      <c r="Q100">
        <v>5.9000000000000003E-4</v>
      </c>
      <c r="R100" t="s">
        <v>75</v>
      </c>
      <c r="S100">
        <v>9.0000000000000006E-5</v>
      </c>
      <c r="T100" t="s">
        <v>75</v>
      </c>
      <c r="U100">
        <v>4.2999999999999999E-4</v>
      </c>
      <c r="V100" t="s">
        <v>75</v>
      </c>
      <c r="W100">
        <v>6.9999999999999994E-5</v>
      </c>
      <c r="X100" t="s">
        <v>75</v>
      </c>
      <c r="Y100">
        <v>2.9E-4</v>
      </c>
      <c r="Z100" t="s">
        <v>75</v>
      </c>
      <c r="AC100">
        <v>3.3E-4</v>
      </c>
      <c r="AD100" t="s">
        <v>75</v>
      </c>
      <c r="AE100">
        <v>2.7E-4</v>
      </c>
      <c r="AF100" t="s">
        <v>75</v>
      </c>
      <c r="AG100">
        <v>1E-4</v>
      </c>
      <c r="AH100" t="s">
        <v>75</v>
      </c>
      <c r="AI100">
        <v>6.2E-4</v>
      </c>
      <c r="AJ100" t="s">
        <v>75</v>
      </c>
      <c r="AK100">
        <v>1.0000000000000001E-5</v>
      </c>
      <c r="AL100" t="s">
        <v>75</v>
      </c>
      <c r="AM100">
        <v>2.0000000000000002E-5</v>
      </c>
      <c r="AN100" t="s">
        <v>75</v>
      </c>
      <c r="AO100">
        <v>8.0000000000000007E-5</v>
      </c>
      <c r="AP100" t="s">
        <v>75</v>
      </c>
      <c r="AQ100">
        <v>1.2E-4</v>
      </c>
      <c r="AR100" t="s">
        <v>75</v>
      </c>
      <c r="AS100">
        <v>3.8000000000000002E-4</v>
      </c>
      <c r="AT100" t="s">
        <v>75</v>
      </c>
      <c r="AU100">
        <v>3.0000000000000001E-5</v>
      </c>
      <c r="AV100" t="s">
        <v>75</v>
      </c>
      <c r="AW100">
        <v>1.2E-4</v>
      </c>
      <c r="AX100" t="s">
        <v>75</v>
      </c>
      <c r="AY100">
        <v>1.6000000000000001E-4</v>
      </c>
      <c r="AZ100" t="s">
        <v>75</v>
      </c>
      <c r="BC100">
        <v>3.6999999999999999E-4</v>
      </c>
      <c r="BD100" t="s">
        <v>75</v>
      </c>
      <c r="BE100">
        <v>8.0000000000000007E-5</v>
      </c>
      <c r="BF100" t="s">
        <v>75</v>
      </c>
      <c r="BG100">
        <v>5.0000000000000002E-5</v>
      </c>
      <c r="BH100" t="s">
        <v>75</v>
      </c>
      <c r="BI100">
        <v>2.5000000000000001E-4</v>
      </c>
      <c r="BJ100" t="s">
        <v>75</v>
      </c>
      <c r="BK100">
        <v>6.9999999999999994E-5</v>
      </c>
      <c r="BL100" t="s">
        <v>75</v>
      </c>
      <c r="BM100">
        <v>8.0000000000000007E-5</v>
      </c>
      <c r="BN100" t="s">
        <v>75</v>
      </c>
      <c r="BO100">
        <v>2.1610000000000001E-2</v>
      </c>
      <c r="BP100" t="s">
        <v>75</v>
      </c>
      <c r="BQ100">
        <v>1.2460000000000001E-2</v>
      </c>
      <c r="BR100" t="s">
        <v>75</v>
      </c>
      <c r="BS100">
        <v>5.8610000000000002E-2</v>
      </c>
      <c r="BT100" t="s">
        <v>75</v>
      </c>
      <c r="BU100">
        <v>0.19603999999999999</v>
      </c>
      <c r="BV100" t="s">
        <v>75</v>
      </c>
      <c r="BW100">
        <v>1.8579999999999999E-2</v>
      </c>
      <c r="BX100" t="s">
        <v>75</v>
      </c>
      <c r="BY100">
        <v>4.9209999999999997E-2</v>
      </c>
      <c r="BZ100" t="s">
        <v>75</v>
      </c>
      <c r="CA100">
        <v>0.12391000000000001</v>
      </c>
      <c r="CB100" t="s">
        <v>75</v>
      </c>
      <c r="CC100">
        <v>3.3999999999999998E-3</v>
      </c>
      <c r="CD100" t="s">
        <v>75</v>
      </c>
      <c r="CE100">
        <v>8.4999999999999995E-4</v>
      </c>
      <c r="CF100" t="s">
        <v>75</v>
      </c>
      <c r="CG100">
        <v>8.1999999999999998E-4</v>
      </c>
      <c r="CH100" t="s">
        <v>75</v>
      </c>
      <c r="CI100">
        <v>4.2999999999999999E-4</v>
      </c>
      <c r="CJ100" t="s">
        <v>75</v>
      </c>
      <c r="CK100">
        <v>1E-4</v>
      </c>
      <c r="CL100" t="s">
        <v>75</v>
      </c>
      <c r="CM100">
        <v>2.5999999999999998E-4</v>
      </c>
      <c r="CN100" t="s">
        <v>75</v>
      </c>
      <c r="CO100">
        <v>2.32E-3</v>
      </c>
      <c r="CP100" t="s">
        <v>75</v>
      </c>
      <c r="CQ100">
        <v>6.2E-4</v>
      </c>
      <c r="CR100" t="s">
        <v>75</v>
      </c>
      <c r="CS100">
        <v>5.1200000000000004E-3</v>
      </c>
      <c r="CT100" t="s">
        <v>75</v>
      </c>
      <c r="CW100">
        <v>2E-3</v>
      </c>
      <c r="CX100" t="s">
        <v>75</v>
      </c>
      <c r="DA100">
        <v>7.8300000000000002E-3</v>
      </c>
      <c r="DB100" t="s">
        <v>75</v>
      </c>
      <c r="DC100">
        <v>4.0000000000000002E-4</v>
      </c>
      <c r="DD100" t="s">
        <v>75</v>
      </c>
      <c r="DE100">
        <v>2.6700000000000001E-3</v>
      </c>
      <c r="DF100" t="s">
        <v>75</v>
      </c>
      <c r="DG100">
        <v>4.6600000000000003E-2</v>
      </c>
      <c r="DH100" t="s">
        <v>75</v>
      </c>
      <c r="DI100">
        <v>0.33994999999999997</v>
      </c>
      <c r="DJ100" t="s">
        <v>75</v>
      </c>
      <c r="DO100">
        <v>1.1199999999999999E-3</v>
      </c>
      <c r="DP100" t="s">
        <v>75</v>
      </c>
    </row>
    <row r="101" spans="1:121" x14ac:dyDescent="0.2">
      <c r="D101" t="s">
        <v>65</v>
      </c>
      <c r="G101" t="s">
        <v>66</v>
      </c>
      <c r="I101" t="s">
        <v>66</v>
      </c>
      <c r="K101" t="s">
        <v>66</v>
      </c>
      <c r="M101" t="s">
        <v>66</v>
      </c>
      <c r="O101" t="s">
        <v>66</v>
      </c>
      <c r="Q101" t="s">
        <v>66</v>
      </c>
      <c r="S101" t="s">
        <v>66</v>
      </c>
      <c r="U101" t="s">
        <v>66</v>
      </c>
      <c r="W101" t="s">
        <v>66</v>
      </c>
      <c r="Y101" t="s">
        <v>66</v>
      </c>
      <c r="AA101" t="s">
        <v>66</v>
      </c>
      <c r="AC101" t="s">
        <v>66</v>
      </c>
      <c r="AE101" t="s">
        <v>66</v>
      </c>
      <c r="AG101" t="s">
        <v>66</v>
      </c>
      <c r="AI101" t="s">
        <v>66</v>
      </c>
      <c r="AK101" t="s">
        <v>66</v>
      </c>
      <c r="AM101" t="s">
        <v>66</v>
      </c>
      <c r="AO101" t="s">
        <v>66</v>
      </c>
      <c r="AQ101" t="s">
        <v>66</v>
      </c>
      <c r="AS101" t="s">
        <v>66</v>
      </c>
      <c r="AU101" t="s">
        <v>66</v>
      </c>
      <c r="AW101" t="s">
        <v>66</v>
      </c>
      <c r="AY101" t="s">
        <v>66</v>
      </c>
      <c r="BA101" t="s">
        <v>66</v>
      </c>
      <c r="BC101" t="s">
        <v>66</v>
      </c>
      <c r="BE101" t="s">
        <v>66</v>
      </c>
      <c r="BG101" t="s">
        <v>66</v>
      </c>
      <c r="BI101" t="s">
        <v>66</v>
      </c>
      <c r="BK101" t="s">
        <v>66</v>
      </c>
      <c r="BM101" t="s">
        <v>66</v>
      </c>
      <c r="BO101" t="s">
        <v>66</v>
      </c>
      <c r="BQ101" t="s">
        <v>66</v>
      </c>
      <c r="BS101" t="s">
        <v>66</v>
      </c>
      <c r="BU101" t="s">
        <v>66</v>
      </c>
      <c r="BW101" t="s">
        <v>66</v>
      </c>
      <c r="BY101" t="s">
        <v>66</v>
      </c>
      <c r="CA101" t="s">
        <v>66</v>
      </c>
      <c r="CC101" t="s">
        <v>66</v>
      </c>
      <c r="CE101" t="s">
        <v>66</v>
      </c>
      <c r="CG101" t="s">
        <v>66</v>
      </c>
      <c r="CI101" t="s">
        <v>66</v>
      </c>
      <c r="CK101" t="s">
        <v>66</v>
      </c>
      <c r="CM101" t="s">
        <v>66</v>
      </c>
      <c r="CO101" t="s">
        <v>66</v>
      </c>
      <c r="CQ101" t="s">
        <v>66</v>
      </c>
      <c r="CS101" t="s">
        <v>66</v>
      </c>
      <c r="CU101" t="s">
        <v>66</v>
      </c>
      <c r="CW101" t="s">
        <v>66</v>
      </c>
      <c r="CY101" t="s">
        <v>66</v>
      </c>
      <c r="DA101" t="s">
        <v>66</v>
      </c>
      <c r="DC101" t="s">
        <v>66</v>
      </c>
      <c r="DE101" t="s">
        <v>66</v>
      </c>
      <c r="DG101" t="s">
        <v>66</v>
      </c>
      <c r="DI101" t="s">
        <v>66</v>
      </c>
      <c r="DK101" t="s">
        <v>66</v>
      </c>
      <c r="DM101" t="s">
        <v>66</v>
      </c>
      <c r="DO101" t="s">
        <v>66</v>
      </c>
      <c r="DQ101" t="s">
        <v>66</v>
      </c>
    </row>
    <row r="102" spans="1:121" x14ac:dyDescent="0.2">
      <c r="A102" t="s">
        <v>590</v>
      </c>
      <c r="D102" t="s">
        <v>60</v>
      </c>
      <c r="E102" t="s">
        <v>61</v>
      </c>
      <c r="G102">
        <v>10732.2</v>
      </c>
      <c r="I102">
        <v>817.1</v>
      </c>
      <c r="K102">
        <v>18500.7</v>
      </c>
      <c r="M102">
        <v>78106</v>
      </c>
      <c r="O102">
        <v>2230</v>
      </c>
      <c r="Q102">
        <v>40989.9</v>
      </c>
      <c r="S102">
        <v>2314.5</v>
      </c>
      <c r="U102">
        <v>2310.3000000000002</v>
      </c>
      <c r="W102">
        <v>16246.1</v>
      </c>
      <c r="Y102">
        <v>444.9</v>
      </c>
      <c r="AA102">
        <v>2938553</v>
      </c>
      <c r="AC102">
        <v>13564.1</v>
      </c>
      <c r="AE102">
        <v>85632.5</v>
      </c>
      <c r="AG102">
        <v>7543</v>
      </c>
      <c r="AI102">
        <v>83234.7</v>
      </c>
      <c r="AK102">
        <v>4093.6</v>
      </c>
      <c r="AM102">
        <v>6047.2</v>
      </c>
      <c r="AO102">
        <v>1041.2</v>
      </c>
      <c r="AQ102">
        <v>265.60000000000002</v>
      </c>
      <c r="AS102">
        <v>638.70000000000005</v>
      </c>
      <c r="AU102">
        <v>664.8</v>
      </c>
      <c r="AW102">
        <v>563.70000000000005</v>
      </c>
      <c r="AY102">
        <v>10685.3</v>
      </c>
      <c r="BA102">
        <v>661928.30000000005</v>
      </c>
      <c r="BC102">
        <v>3537.8</v>
      </c>
      <c r="BE102">
        <v>1061</v>
      </c>
      <c r="BG102">
        <v>266993.59999999998</v>
      </c>
      <c r="BI102">
        <v>225211.3</v>
      </c>
      <c r="BK102">
        <v>561099.69999999995</v>
      </c>
      <c r="BM102">
        <v>641780.80000000005</v>
      </c>
      <c r="BO102">
        <v>982885.2</v>
      </c>
      <c r="BQ102">
        <v>89913.8</v>
      </c>
      <c r="BS102">
        <v>348761</v>
      </c>
      <c r="BU102">
        <v>625041.5</v>
      </c>
      <c r="BW102">
        <v>11175.1</v>
      </c>
      <c r="BY102">
        <v>48271.199999999997</v>
      </c>
      <c r="CA102">
        <v>29272.400000000001</v>
      </c>
      <c r="CC102">
        <v>252.8</v>
      </c>
      <c r="CE102">
        <v>1802.3</v>
      </c>
      <c r="CG102">
        <v>644825.30000000005</v>
      </c>
      <c r="CI102">
        <v>267719</v>
      </c>
      <c r="CK102">
        <v>2480784</v>
      </c>
      <c r="CM102">
        <v>7160</v>
      </c>
      <c r="CO102">
        <v>100611.8</v>
      </c>
      <c r="CQ102">
        <v>190998.2</v>
      </c>
      <c r="CS102">
        <v>18997.7</v>
      </c>
      <c r="CU102">
        <v>258107</v>
      </c>
      <c r="CW102">
        <v>1425.5</v>
      </c>
      <c r="CY102">
        <v>59513</v>
      </c>
      <c r="DA102">
        <v>87419.3</v>
      </c>
      <c r="DC102">
        <v>6.7</v>
      </c>
      <c r="DE102">
        <v>31.4</v>
      </c>
      <c r="DG102">
        <v>28.5</v>
      </c>
      <c r="DI102">
        <v>1177.9000000000001</v>
      </c>
      <c r="DK102">
        <v>892.6</v>
      </c>
      <c r="DM102">
        <v>77971.100000000006</v>
      </c>
      <c r="DO102">
        <v>412.2</v>
      </c>
      <c r="DQ102">
        <v>17790.5</v>
      </c>
    </row>
    <row r="103" spans="1:121" x14ac:dyDescent="0.2">
      <c r="D103" t="s">
        <v>62</v>
      </c>
      <c r="E103" t="s">
        <v>61</v>
      </c>
      <c r="G103">
        <v>486.5</v>
      </c>
      <c r="I103">
        <v>37.5</v>
      </c>
      <c r="K103">
        <v>339.1</v>
      </c>
      <c r="M103">
        <v>497.3</v>
      </c>
      <c r="O103">
        <v>106.4</v>
      </c>
      <c r="Q103">
        <v>698.8</v>
      </c>
      <c r="S103">
        <v>115.3</v>
      </c>
      <c r="U103">
        <v>131.30000000000001</v>
      </c>
      <c r="W103">
        <v>97.1</v>
      </c>
      <c r="Y103">
        <v>17.8</v>
      </c>
      <c r="AA103">
        <v>16743.5</v>
      </c>
      <c r="AC103">
        <v>203</v>
      </c>
      <c r="AE103">
        <v>1147.3</v>
      </c>
      <c r="AG103">
        <v>230.3</v>
      </c>
      <c r="AI103">
        <v>80.7</v>
      </c>
      <c r="AK103">
        <v>28.1</v>
      </c>
      <c r="AM103">
        <v>8.3000000000000007</v>
      </c>
      <c r="AO103">
        <v>162</v>
      </c>
      <c r="AQ103">
        <v>0</v>
      </c>
      <c r="AS103">
        <v>88.5</v>
      </c>
      <c r="AU103">
        <v>57.8</v>
      </c>
      <c r="AW103">
        <v>45.6</v>
      </c>
      <c r="AY103">
        <v>171.6</v>
      </c>
      <c r="BA103">
        <v>7445.4</v>
      </c>
      <c r="BC103">
        <v>24.5</v>
      </c>
      <c r="BE103">
        <v>129.19999999999999</v>
      </c>
      <c r="BG103">
        <v>1485.4</v>
      </c>
      <c r="BI103">
        <v>2107.1</v>
      </c>
      <c r="BK103">
        <v>5146.7</v>
      </c>
      <c r="BM103">
        <v>2207.3000000000002</v>
      </c>
      <c r="BO103">
        <v>11696.3</v>
      </c>
      <c r="BQ103">
        <v>478.8</v>
      </c>
      <c r="BS103">
        <v>991.5</v>
      </c>
      <c r="BU103">
        <v>3326.3</v>
      </c>
      <c r="BW103">
        <v>127.7</v>
      </c>
      <c r="BY103">
        <v>114.4</v>
      </c>
      <c r="CA103">
        <v>313.10000000000002</v>
      </c>
      <c r="CC103">
        <v>35.5</v>
      </c>
      <c r="CE103">
        <v>100.3</v>
      </c>
      <c r="CG103">
        <v>8129.3</v>
      </c>
      <c r="CI103">
        <v>4678.2</v>
      </c>
      <c r="CK103">
        <v>66350.399999999994</v>
      </c>
      <c r="CM103">
        <v>238.3</v>
      </c>
      <c r="CO103">
        <v>2389.1999999999998</v>
      </c>
      <c r="CQ103">
        <v>2367.1</v>
      </c>
      <c r="CS103">
        <v>329.7</v>
      </c>
      <c r="CU103">
        <v>1721.2</v>
      </c>
      <c r="CW103">
        <v>73.400000000000006</v>
      </c>
      <c r="CY103">
        <v>1605.8</v>
      </c>
      <c r="DA103">
        <v>123</v>
      </c>
      <c r="DC103">
        <v>6</v>
      </c>
      <c r="DE103">
        <v>11.7</v>
      </c>
      <c r="DG103">
        <v>14.2</v>
      </c>
      <c r="DI103">
        <v>79.2</v>
      </c>
      <c r="DK103">
        <v>37.299999999999997</v>
      </c>
      <c r="DM103">
        <v>410.1</v>
      </c>
      <c r="DO103">
        <v>25.8</v>
      </c>
      <c r="DQ103">
        <v>402</v>
      </c>
    </row>
    <row r="104" spans="1:121" x14ac:dyDescent="0.2">
      <c r="D104" t="s">
        <v>63</v>
      </c>
      <c r="G104">
        <v>5.2979999999999999E-2</v>
      </c>
      <c r="H104" t="s">
        <v>75</v>
      </c>
      <c r="I104">
        <v>1.66E-2</v>
      </c>
      <c r="J104" t="s">
        <v>75</v>
      </c>
      <c r="K104">
        <v>2.0619999999999999E-2</v>
      </c>
      <c r="L104" t="s">
        <v>75</v>
      </c>
      <c r="M104">
        <v>4.7059999999999998E-2</v>
      </c>
      <c r="N104" t="s">
        <v>75</v>
      </c>
      <c r="O104">
        <v>4.8300000000000001E-3</v>
      </c>
      <c r="P104" t="s">
        <v>75</v>
      </c>
      <c r="Q104">
        <v>0.29204999999999998</v>
      </c>
      <c r="R104" t="s">
        <v>75</v>
      </c>
      <c r="S104">
        <v>1.3799999999999999E-3</v>
      </c>
      <c r="T104" t="s">
        <v>75</v>
      </c>
      <c r="U104">
        <v>1.5440000000000001E-2</v>
      </c>
      <c r="V104" t="s">
        <v>75</v>
      </c>
      <c r="W104">
        <v>3.884E-2</v>
      </c>
      <c r="X104" t="s">
        <v>75</v>
      </c>
      <c r="Y104">
        <v>6.77E-3</v>
      </c>
      <c r="Z104" t="s">
        <v>75</v>
      </c>
      <c r="AB104" t="s">
        <v>76</v>
      </c>
      <c r="AC104">
        <v>9.1130000000000003E-2</v>
      </c>
      <c r="AD104" t="s">
        <v>75</v>
      </c>
      <c r="AE104">
        <v>0.36774000000000001</v>
      </c>
      <c r="AF104" t="s">
        <v>75</v>
      </c>
      <c r="AG104">
        <v>-1.0290000000000001E-2</v>
      </c>
      <c r="AH104" t="s">
        <v>75</v>
      </c>
      <c r="AI104">
        <v>0.53883000000000003</v>
      </c>
      <c r="AJ104" t="s">
        <v>75</v>
      </c>
      <c r="AK104">
        <v>7.2999999999999996E-4</v>
      </c>
      <c r="AL104" t="s">
        <v>75</v>
      </c>
      <c r="AM104">
        <v>-1.0300000000000001E-3</v>
      </c>
      <c r="AN104" t="s">
        <v>75</v>
      </c>
      <c r="AO104">
        <v>5.3200000000000001E-3</v>
      </c>
      <c r="AP104" t="s">
        <v>75</v>
      </c>
      <c r="AQ104">
        <v>2.1000000000000001E-4</v>
      </c>
      <c r="AR104" t="s">
        <v>75</v>
      </c>
      <c r="AS104">
        <v>1.8699999999999999E-3</v>
      </c>
      <c r="AT104" t="s">
        <v>75</v>
      </c>
      <c r="AU104">
        <v>1.8E-3</v>
      </c>
      <c r="AV104" t="s">
        <v>75</v>
      </c>
      <c r="AW104">
        <v>5.9000000000000003E-4</v>
      </c>
      <c r="AX104" t="s">
        <v>75</v>
      </c>
      <c r="AY104">
        <v>2.495E-2</v>
      </c>
      <c r="AZ104" t="s">
        <v>75</v>
      </c>
      <c r="BC104">
        <v>-2.0490699999999999</v>
      </c>
      <c r="BD104" t="s">
        <v>75</v>
      </c>
      <c r="BE104">
        <v>3.6099999999999999E-3</v>
      </c>
      <c r="BF104" t="s">
        <v>75</v>
      </c>
      <c r="BG104">
        <v>0.74741999999999997</v>
      </c>
      <c r="BH104" t="s">
        <v>75</v>
      </c>
      <c r="BI104">
        <v>0.74626000000000003</v>
      </c>
      <c r="BJ104" t="s">
        <v>75</v>
      </c>
      <c r="BK104">
        <v>0.74592999999999998</v>
      </c>
      <c r="BL104" t="s">
        <v>75</v>
      </c>
      <c r="BM104">
        <v>0.60780999999999996</v>
      </c>
      <c r="BN104" t="s">
        <v>75</v>
      </c>
      <c r="BO104">
        <v>20.01709</v>
      </c>
      <c r="BP104" t="s">
        <v>75</v>
      </c>
      <c r="BQ104">
        <v>2.63042</v>
      </c>
      <c r="BR104" t="s">
        <v>75</v>
      </c>
      <c r="BS104">
        <v>7.3751600000000002</v>
      </c>
      <c r="BT104" t="s">
        <v>75</v>
      </c>
      <c r="BU104">
        <v>5.4411100000000001</v>
      </c>
      <c r="BV104" t="s">
        <v>75</v>
      </c>
      <c r="BW104">
        <v>4.5021699999999996</v>
      </c>
      <c r="BX104" t="s">
        <v>75</v>
      </c>
      <c r="BY104">
        <v>5.4616600000000002</v>
      </c>
      <c r="BZ104" t="s">
        <v>75</v>
      </c>
      <c r="CA104">
        <v>12.11181</v>
      </c>
      <c r="CB104" t="s">
        <v>75</v>
      </c>
      <c r="CC104">
        <v>3.9750000000000001E-2</v>
      </c>
      <c r="CD104" t="s">
        <v>75</v>
      </c>
      <c r="CE104">
        <v>2.529E-2</v>
      </c>
      <c r="CF104" t="s">
        <v>75</v>
      </c>
      <c r="CG104">
        <v>10.9976</v>
      </c>
      <c r="CH104" t="s">
        <v>75</v>
      </c>
      <c r="CI104">
        <v>3.4720900000000001</v>
      </c>
      <c r="CJ104" t="s">
        <v>75</v>
      </c>
      <c r="CK104">
        <v>34.863549999999996</v>
      </c>
      <c r="CL104" t="s">
        <v>75</v>
      </c>
      <c r="CM104">
        <v>9.4969999999999999E-2</v>
      </c>
      <c r="CN104" t="s">
        <v>75</v>
      </c>
      <c r="CO104">
        <v>5.7124199999999998</v>
      </c>
      <c r="CP104" t="s">
        <v>75</v>
      </c>
      <c r="CQ104">
        <v>5.7634499999999997</v>
      </c>
      <c r="CR104" t="s">
        <v>75</v>
      </c>
      <c r="CS104">
        <v>4.8819800000000004</v>
      </c>
      <c r="CT104" t="s">
        <v>75</v>
      </c>
      <c r="CV104" t="s">
        <v>76</v>
      </c>
      <c r="CW104">
        <v>2.7369999999999998E-2</v>
      </c>
      <c r="CX104" t="s">
        <v>75</v>
      </c>
      <c r="DA104">
        <v>4.5497800000000002</v>
      </c>
      <c r="DB104" t="s">
        <v>75</v>
      </c>
      <c r="DC104">
        <v>1.65E-3</v>
      </c>
      <c r="DD104" t="s">
        <v>75</v>
      </c>
      <c r="DE104">
        <v>-5.3099999999999996E-3</v>
      </c>
      <c r="DF104" t="s">
        <v>75</v>
      </c>
      <c r="DG104">
        <v>7.4359999999999996E-2</v>
      </c>
      <c r="DH104" t="s">
        <v>75</v>
      </c>
      <c r="DI104">
        <v>1.44747</v>
      </c>
      <c r="DJ104" t="s">
        <v>75</v>
      </c>
      <c r="DL104" t="s">
        <v>76</v>
      </c>
      <c r="DN104" t="s">
        <v>76</v>
      </c>
      <c r="DO104">
        <v>4.7750000000000001E-2</v>
      </c>
      <c r="DP104" t="s">
        <v>75</v>
      </c>
    </row>
    <row r="105" spans="1:121" x14ac:dyDescent="0.2">
      <c r="D105" t="s">
        <v>64</v>
      </c>
      <c r="G105">
        <v>4.96E-3</v>
      </c>
      <c r="H105" t="s">
        <v>75</v>
      </c>
      <c r="I105">
        <v>1.66E-3</v>
      </c>
      <c r="J105" t="s">
        <v>75</v>
      </c>
      <c r="K105">
        <v>7.1000000000000002E-4</v>
      </c>
      <c r="L105" t="s">
        <v>75</v>
      </c>
      <c r="M105">
        <v>1.1000000000000001E-3</v>
      </c>
      <c r="N105" t="s">
        <v>75</v>
      </c>
      <c r="O105">
        <v>9.0000000000000006E-5</v>
      </c>
      <c r="P105" t="s">
        <v>75</v>
      </c>
      <c r="Q105">
        <v>3.8899999999999998E-3</v>
      </c>
      <c r="R105" t="s">
        <v>75</v>
      </c>
      <c r="S105">
        <v>1.2999999999999999E-4</v>
      </c>
      <c r="T105" t="s">
        <v>75</v>
      </c>
      <c r="U105">
        <v>6.2E-4</v>
      </c>
      <c r="V105" t="s">
        <v>75</v>
      </c>
      <c r="W105">
        <v>6.0999999999999997E-4</v>
      </c>
      <c r="X105" t="s">
        <v>75</v>
      </c>
      <c r="Y105">
        <v>3.1E-4</v>
      </c>
      <c r="Z105" t="s">
        <v>75</v>
      </c>
      <c r="AC105">
        <v>1.2899999999999999E-3</v>
      </c>
      <c r="AD105" t="s">
        <v>75</v>
      </c>
      <c r="AE105">
        <v>8.1099999999999992E-3</v>
      </c>
      <c r="AF105" t="s">
        <v>75</v>
      </c>
      <c r="AG105">
        <v>1.8000000000000001E-4</v>
      </c>
      <c r="AH105" t="s">
        <v>75</v>
      </c>
      <c r="AI105">
        <v>5.5799999999999999E-3</v>
      </c>
      <c r="AJ105" t="s">
        <v>75</v>
      </c>
      <c r="AK105">
        <v>2.0000000000000002E-5</v>
      </c>
      <c r="AL105" t="s">
        <v>75</v>
      </c>
      <c r="AM105">
        <v>5.0000000000000002E-5</v>
      </c>
      <c r="AN105" t="s">
        <v>75</v>
      </c>
      <c r="AO105">
        <v>6.0999999999999997E-4</v>
      </c>
      <c r="AP105" t="s">
        <v>75</v>
      </c>
      <c r="AQ105">
        <v>1.0000000000000001E-5</v>
      </c>
      <c r="AR105" t="s">
        <v>75</v>
      </c>
      <c r="AS105">
        <v>4.4000000000000002E-4</v>
      </c>
      <c r="AT105" t="s">
        <v>75</v>
      </c>
      <c r="AU105">
        <v>4.0000000000000003E-5</v>
      </c>
      <c r="AV105" t="s">
        <v>75</v>
      </c>
      <c r="AW105">
        <v>1.1E-4</v>
      </c>
      <c r="AX105" t="s">
        <v>75</v>
      </c>
      <c r="AY105">
        <v>7.7999999999999999E-4</v>
      </c>
      <c r="AZ105" t="s">
        <v>75</v>
      </c>
      <c r="BC105">
        <v>1.6000000000000001E-4</v>
      </c>
      <c r="BD105" t="s">
        <v>75</v>
      </c>
      <c r="BE105">
        <v>1.2E-4</v>
      </c>
      <c r="BF105" t="s">
        <v>75</v>
      </c>
      <c r="BG105">
        <v>9.3699999999999999E-3</v>
      </c>
      <c r="BH105" t="s">
        <v>75</v>
      </c>
      <c r="BI105">
        <v>4.0699999999999998E-3</v>
      </c>
      <c r="BJ105" t="s">
        <v>75</v>
      </c>
      <c r="BK105">
        <v>4.3400000000000001E-3</v>
      </c>
      <c r="BL105" t="s">
        <v>75</v>
      </c>
      <c r="BM105">
        <v>8.5299999999999994E-3</v>
      </c>
      <c r="BN105" t="s">
        <v>75</v>
      </c>
      <c r="BO105">
        <v>0.44535999999999998</v>
      </c>
      <c r="BP105" t="s">
        <v>75</v>
      </c>
      <c r="BQ105">
        <v>8.2299999999999998E-2</v>
      </c>
      <c r="BR105" t="s">
        <v>75</v>
      </c>
      <c r="BS105">
        <v>0.20563999999999999</v>
      </c>
      <c r="BT105" t="s">
        <v>75</v>
      </c>
      <c r="BU105">
        <v>0.78788999999999998</v>
      </c>
      <c r="BV105" t="s">
        <v>75</v>
      </c>
      <c r="BW105">
        <v>8.498E-2</v>
      </c>
      <c r="BX105" t="s">
        <v>75</v>
      </c>
      <c r="BY105">
        <v>0.34544999999999998</v>
      </c>
      <c r="BZ105" t="s">
        <v>75</v>
      </c>
      <c r="CA105">
        <v>0.25958999999999999</v>
      </c>
      <c r="CB105" t="s">
        <v>75</v>
      </c>
      <c r="CC105">
        <v>7.0499999999999998E-3</v>
      </c>
      <c r="CD105" t="s">
        <v>75</v>
      </c>
      <c r="CE105">
        <v>2.1099999999999999E-3</v>
      </c>
      <c r="CF105" t="s">
        <v>75</v>
      </c>
      <c r="CG105">
        <v>0.25344</v>
      </c>
      <c r="CH105" t="s">
        <v>75</v>
      </c>
      <c r="CI105">
        <v>9.6890000000000004E-2</v>
      </c>
      <c r="CJ105" t="s">
        <v>75</v>
      </c>
      <c r="CK105">
        <v>0.48363</v>
      </c>
      <c r="CL105" t="s">
        <v>75</v>
      </c>
      <c r="CM105">
        <v>5.6100000000000004E-3</v>
      </c>
      <c r="CN105" t="s">
        <v>75</v>
      </c>
      <c r="CO105">
        <v>0.17246</v>
      </c>
      <c r="CP105" t="s">
        <v>75</v>
      </c>
      <c r="CQ105">
        <v>0.15926999999999999</v>
      </c>
      <c r="CR105" t="s">
        <v>75</v>
      </c>
      <c r="CS105">
        <v>0.14058000000000001</v>
      </c>
      <c r="CT105" t="s">
        <v>75</v>
      </c>
      <c r="CW105">
        <v>4.2199999999999998E-3</v>
      </c>
      <c r="CX105" t="s">
        <v>75</v>
      </c>
      <c r="DA105">
        <v>0.10106999999999999</v>
      </c>
      <c r="DB105" t="s">
        <v>75</v>
      </c>
      <c r="DC105">
        <v>2.47E-3</v>
      </c>
      <c r="DD105" t="s">
        <v>75</v>
      </c>
      <c r="DE105">
        <v>4.4900000000000001E-3</v>
      </c>
      <c r="DF105" t="s">
        <v>75</v>
      </c>
      <c r="DG105">
        <v>6.4689999999999998E-2</v>
      </c>
      <c r="DH105" t="s">
        <v>75</v>
      </c>
      <c r="DI105">
        <v>8.5180000000000006E-2</v>
      </c>
      <c r="DJ105" t="s">
        <v>75</v>
      </c>
      <c r="DO105">
        <v>3.9100000000000003E-3</v>
      </c>
      <c r="DP105" t="s">
        <v>75</v>
      </c>
    </row>
    <row r="106" spans="1:121" x14ac:dyDescent="0.2">
      <c r="D106" t="s">
        <v>65</v>
      </c>
      <c r="G106" t="s">
        <v>66</v>
      </c>
      <c r="I106" t="s">
        <v>66</v>
      </c>
      <c r="K106" t="s">
        <v>66</v>
      </c>
      <c r="M106" t="s">
        <v>66</v>
      </c>
      <c r="O106" t="s">
        <v>66</v>
      </c>
      <c r="Q106" t="s">
        <v>66</v>
      </c>
      <c r="S106" t="s">
        <v>66</v>
      </c>
      <c r="U106" t="s">
        <v>66</v>
      </c>
      <c r="W106" t="s">
        <v>66</v>
      </c>
      <c r="Y106" t="s">
        <v>66</v>
      </c>
      <c r="AA106" t="s">
        <v>66</v>
      </c>
      <c r="AC106" t="s">
        <v>66</v>
      </c>
      <c r="AE106" t="s">
        <v>66</v>
      </c>
      <c r="AG106" t="s">
        <v>66</v>
      </c>
      <c r="AI106" t="s">
        <v>66</v>
      </c>
      <c r="AK106" t="s">
        <v>66</v>
      </c>
      <c r="AM106" t="s">
        <v>66</v>
      </c>
      <c r="AO106" t="s">
        <v>66</v>
      </c>
      <c r="AQ106" t="s">
        <v>66</v>
      </c>
      <c r="AS106" t="s">
        <v>66</v>
      </c>
      <c r="AU106" t="s">
        <v>66</v>
      </c>
      <c r="AW106" t="s">
        <v>66</v>
      </c>
      <c r="AY106" t="s">
        <v>66</v>
      </c>
      <c r="BA106" t="s">
        <v>66</v>
      </c>
      <c r="BC106" t="s">
        <v>66</v>
      </c>
      <c r="BE106" t="s">
        <v>66</v>
      </c>
      <c r="BG106" t="s">
        <v>66</v>
      </c>
      <c r="BI106" t="s">
        <v>66</v>
      </c>
      <c r="BK106" t="s">
        <v>66</v>
      </c>
      <c r="BM106" t="s">
        <v>66</v>
      </c>
      <c r="BO106" t="s">
        <v>66</v>
      </c>
      <c r="BQ106" t="s">
        <v>66</v>
      </c>
      <c r="BS106" t="s">
        <v>66</v>
      </c>
      <c r="BU106" t="s">
        <v>66</v>
      </c>
      <c r="BW106" t="s">
        <v>66</v>
      </c>
      <c r="BY106" t="s">
        <v>66</v>
      </c>
      <c r="CA106" t="s">
        <v>66</v>
      </c>
      <c r="CC106" t="s">
        <v>66</v>
      </c>
      <c r="CE106" t="s">
        <v>66</v>
      </c>
      <c r="CG106" t="s">
        <v>66</v>
      </c>
      <c r="CI106" t="s">
        <v>66</v>
      </c>
      <c r="CK106" t="s">
        <v>66</v>
      </c>
      <c r="CM106" t="s">
        <v>66</v>
      </c>
      <c r="CO106" t="s">
        <v>66</v>
      </c>
      <c r="CQ106" t="s">
        <v>66</v>
      </c>
      <c r="CS106" t="s">
        <v>66</v>
      </c>
      <c r="CU106" t="s">
        <v>66</v>
      </c>
      <c r="CW106" t="s">
        <v>66</v>
      </c>
      <c r="CY106" t="s">
        <v>66</v>
      </c>
      <c r="DA106" t="s">
        <v>66</v>
      </c>
      <c r="DC106" t="s">
        <v>66</v>
      </c>
      <c r="DE106" t="s">
        <v>66</v>
      </c>
      <c r="DG106" t="s">
        <v>66</v>
      </c>
      <c r="DI106" t="s">
        <v>66</v>
      </c>
      <c r="DK106" t="s">
        <v>66</v>
      </c>
      <c r="DM106" t="s">
        <v>66</v>
      </c>
      <c r="DO106" t="s">
        <v>66</v>
      </c>
      <c r="DQ106" t="s">
        <v>66</v>
      </c>
    </row>
    <row r="107" spans="1:121" x14ac:dyDescent="0.2">
      <c r="A107" t="s">
        <v>591</v>
      </c>
      <c r="D107" t="s">
        <v>60</v>
      </c>
      <c r="E107" t="s">
        <v>61</v>
      </c>
      <c r="G107">
        <v>10180.799999999999</v>
      </c>
      <c r="I107">
        <v>713.8</v>
      </c>
      <c r="K107">
        <v>7988.5</v>
      </c>
      <c r="M107">
        <v>38737.5</v>
      </c>
      <c r="O107">
        <v>152.1</v>
      </c>
      <c r="Q107">
        <v>506.4</v>
      </c>
      <c r="S107">
        <v>2066.3000000000002</v>
      </c>
      <c r="U107">
        <v>1650.2</v>
      </c>
      <c r="W107">
        <v>727.4</v>
      </c>
      <c r="Y107">
        <v>57.3</v>
      </c>
      <c r="AA107">
        <v>2876605.7</v>
      </c>
      <c r="AC107">
        <v>388.6</v>
      </c>
      <c r="AE107">
        <v>1143.4000000000001</v>
      </c>
      <c r="AG107">
        <v>4351.3</v>
      </c>
      <c r="AI107">
        <v>6970.4</v>
      </c>
      <c r="AK107">
        <v>316.7</v>
      </c>
      <c r="AM107">
        <v>276.10000000000002</v>
      </c>
      <c r="AO107">
        <v>126.1</v>
      </c>
      <c r="AQ107">
        <v>86.5</v>
      </c>
      <c r="AS107">
        <v>444.8</v>
      </c>
      <c r="AU107">
        <v>170.9</v>
      </c>
      <c r="AW107">
        <v>144.80000000000001</v>
      </c>
      <c r="AY107">
        <v>1915</v>
      </c>
      <c r="BA107">
        <v>649169.1</v>
      </c>
      <c r="BC107">
        <v>3594.1</v>
      </c>
      <c r="BE107">
        <v>234.4</v>
      </c>
      <c r="BG107">
        <v>426.1</v>
      </c>
      <c r="BI107">
        <v>565.79999999999995</v>
      </c>
      <c r="BK107">
        <v>1141.3</v>
      </c>
      <c r="BM107">
        <v>1080.8</v>
      </c>
      <c r="BO107">
        <v>67924.7</v>
      </c>
      <c r="BQ107">
        <v>13492.9</v>
      </c>
      <c r="BS107">
        <v>39314.9</v>
      </c>
      <c r="BU107">
        <v>487125.3</v>
      </c>
      <c r="BW107">
        <v>11139.9</v>
      </c>
      <c r="BY107">
        <v>27473.8</v>
      </c>
      <c r="CA107">
        <v>9206.5</v>
      </c>
      <c r="CC107">
        <v>50</v>
      </c>
      <c r="CE107">
        <v>251.9</v>
      </c>
      <c r="CG107">
        <v>592.79999999999995</v>
      </c>
      <c r="CI107">
        <v>153.69999999999999</v>
      </c>
      <c r="CK107">
        <v>2385.4</v>
      </c>
      <c r="CM107">
        <v>92.6</v>
      </c>
      <c r="CO107">
        <v>185.2</v>
      </c>
      <c r="CQ107">
        <v>652</v>
      </c>
      <c r="CS107">
        <v>574.20000000000005</v>
      </c>
      <c r="CU107">
        <v>250472.8</v>
      </c>
      <c r="CW107">
        <v>31</v>
      </c>
      <c r="CY107">
        <v>57388.5</v>
      </c>
      <c r="DA107">
        <v>9178.5</v>
      </c>
      <c r="DC107">
        <v>1.1000000000000001</v>
      </c>
      <c r="DE107">
        <v>6.7</v>
      </c>
      <c r="DG107">
        <v>15.9</v>
      </c>
      <c r="DI107">
        <v>868.6</v>
      </c>
      <c r="DK107">
        <v>857.5</v>
      </c>
      <c r="DM107">
        <v>79131.899999999994</v>
      </c>
      <c r="DO107">
        <v>8</v>
      </c>
      <c r="DQ107">
        <v>17329.400000000001</v>
      </c>
    </row>
    <row r="108" spans="1:121" x14ac:dyDescent="0.2">
      <c r="D108" t="s">
        <v>62</v>
      </c>
      <c r="E108" t="s">
        <v>61</v>
      </c>
      <c r="G108">
        <v>1022.8</v>
      </c>
      <c r="I108">
        <v>56.1</v>
      </c>
      <c r="K108">
        <v>115.5</v>
      </c>
      <c r="M108">
        <v>380.4</v>
      </c>
      <c r="O108">
        <v>16</v>
      </c>
      <c r="Q108">
        <v>27.3</v>
      </c>
      <c r="S108">
        <v>67.3</v>
      </c>
      <c r="U108">
        <v>144.5</v>
      </c>
      <c r="W108">
        <v>19.100000000000001</v>
      </c>
      <c r="Y108">
        <v>15.4</v>
      </c>
      <c r="AA108">
        <v>46891.9</v>
      </c>
      <c r="AC108">
        <v>63.2</v>
      </c>
      <c r="AE108">
        <v>155.6</v>
      </c>
      <c r="AG108">
        <v>124.8</v>
      </c>
      <c r="AI108">
        <v>130.1</v>
      </c>
      <c r="AK108">
        <v>15.4</v>
      </c>
      <c r="AM108">
        <v>34.9</v>
      </c>
      <c r="AO108">
        <v>20.8</v>
      </c>
      <c r="AQ108">
        <v>18.8</v>
      </c>
      <c r="AS108">
        <v>30</v>
      </c>
      <c r="AU108">
        <v>46.9</v>
      </c>
      <c r="AW108">
        <v>31.5</v>
      </c>
      <c r="AY108">
        <v>126.8</v>
      </c>
      <c r="BA108">
        <v>5553.2</v>
      </c>
      <c r="BC108">
        <v>167.4</v>
      </c>
      <c r="BE108">
        <v>66.5</v>
      </c>
      <c r="BG108">
        <v>72.400000000000006</v>
      </c>
      <c r="BI108">
        <v>101.9</v>
      </c>
      <c r="BK108">
        <v>75.900000000000006</v>
      </c>
      <c r="BM108">
        <v>142.4</v>
      </c>
      <c r="BO108">
        <v>1169.3</v>
      </c>
      <c r="BQ108">
        <v>274.89999999999998</v>
      </c>
      <c r="BS108">
        <v>334.4</v>
      </c>
      <c r="BU108">
        <v>11449.4</v>
      </c>
      <c r="BW108">
        <v>122.5</v>
      </c>
      <c r="BY108">
        <v>401.6</v>
      </c>
      <c r="CA108">
        <v>155</v>
      </c>
      <c r="CC108">
        <v>5.6</v>
      </c>
      <c r="CE108">
        <v>10.5</v>
      </c>
      <c r="CG108">
        <v>37.4</v>
      </c>
      <c r="CI108">
        <v>3.2</v>
      </c>
      <c r="CK108">
        <v>268.7</v>
      </c>
      <c r="CM108">
        <v>13.7</v>
      </c>
      <c r="CO108">
        <v>25.1</v>
      </c>
      <c r="CQ108">
        <v>13.7</v>
      </c>
      <c r="CS108">
        <v>37.299999999999997</v>
      </c>
      <c r="CU108">
        <v>7299.8</v>
      </c>
      <c r="CW108">
        <v>1.6</v>
      </c>
      <c r="CY108">
        <v>1090.0999999999999</v>
      </c>
      <c r="DA108">
        <v>93.5</v>
      </c>
      <c r="DC108">
        <v>1.9</v>
      </c>
      <c r="DE108">
        <v>6.7</v>
      </c>
      <c r="DG108">
        <v>4.2</v>
      </c>
      <c r="DI108">
        <v>17.100000000000001</v>
      </c>
      <c r="DK108">
        <v>61.8</v>
      </c>
      <c r="DM108">
        <v>893</v>
      </c>
      <c r="DO108">
        <v>3.3</v>
      </c>
      <c r="DQ108">
        <v>322.7</v>
      </c>
    </row>
    <row r="109" spans="1:121" x14ac:dyDescent="0.2">
      <c r="D109" t="s">
        <v>63</v>
      </c>
      <c r="G109">
        <v>5.0139999999999997E-2</v>
      </c>
      <c r="H109" t="s">
        <v>75</v>
      </c>
      <c r="I109">
        <v>1.338E-2</v>
      </c>
      <c r="J109" t="s">
        <v>75</v>
      </c>
      <c r="K109">
        <v>7.1300000000000001E-3</v>
      </c>
      <c r="L109" t="s">
        <v>75</v>
      </c>
      <c r="M109">
        <v>6.8900000000000003E-3</v>
      </c>
      <c r="N109" t="s">
        <v>75</v>
      </c>
      <c r="O109">
        <v>3.0599999999999998E-3</v>
      </c>
      <c r="P109" t="s">
        <v>75</v>
      </c>
      <c r="Q109">
        <v>2.4420000000000001E-2</v>
      </c>
      <c r="R109" t="s">
        <v>75</v>
      </c>
      <c r="S109">
        <v>1.1999999999999999E-3</v>
      </c>
      <c r="T109" t="s">
        <v>75</v>
      </c>
      <c r="U109">
        <v>1.278E-2</v>
      </c>
      <c r="V109" t="s">
        <v>75</v>
      </c>
      <c r="W109">
        <v>5.1599999999999997E-3</v>
      </c>
      <c r="X109" t="s">
        <v>75</v>
      </c>
      <c r="Y109">
        <v>8.8999999999999995E-4</v>
      </c>
      <c r="Z109" t="s">
        <v>75</v>
      </c>
      <c r="AB109" t="s">
        <v>76</v>
      </c>
      <c r="AC109">
        <v>4.3150000000000001E-2</v>
      </c>
      <c r="AD109" t="s">
        <v>75</v>
      </c>
      <c r="AE109">
        <v>4.369E-2</v>
      </c>
      <c r="AF109" t="s">
        <v>75</v>
      </c>
      <c r="AG109">
        <v>-1.2789999999999999E-2</v>
      </c>
      <c r="AH109" t="s">
        <v>75</v>
      </c>
      <c r="AI109">
        <v>4.6010000000000002E-2</v>
      </c>
      <c r="AJ109" t="s">
        <v>75</v>
      </c>
      <c r="AK109">
        <v>-1.92E-3</v>
      </c>
      <c r="AL109" t="s">
        <v>75</v>
      </c>
      <c r="AM109">
        <v>-5.47E-3</v>
      </c>
      <c r="AN109" t="s">
        <v>75</v>
      </c>
      <c r="AO109">
        <v>1.91E-3</v>
      </c>
      <c r="AP109" t="s">
        <v>75</v>
      </c>
      <c r="AQ109">
        <v>-5.6999999999999998E-4</v>
      </c>
      <c r="AR109" t="s">
        <v>75</v>
      </c>
      <c r="AS109">
        <v>1.0300000000000001E-3</v>
      </c>
      <c r="AT109" t="s">
        <v>75</v>
      </c>
      <c r="AU109">
        <v>1.47E-3</v>
      </c>
      <c r="AV109" t="s">
        <v>75</v>
      </c>
      <c r="AW109">
        <v>-4.2999999999999999E-4</v>
      </c>
      <c r="AX109" t="s">
        <v>75</v>
      </c>
      <c r="AY109">
        <v>-3.9100000000000003E-3</v>
      </c>
      <c r="AZ109" t="s">
        <v>75</v>
      </c>
      <c r="BC109">
        <v>-2.04867</v>
      </c>
      <c r="BD109" t="s">
        <v>75</v>
      </c>
      <c r="BE109">
        <v>2.8E-3</v>
      </c>
      <c r="BF109" t="s">
        <v>75</v>
      </c>
      <c r="BG109">
        <v>-3.7519999999999998E-2</v>
      </c>
      <c r="BH109" t="s">
        <v>75</v>
      </c>
      <c r="BI109">
        <v>-1.418E-2</v>
      </c>
      <c r="BJ109" t="s">
        <v>75</v>
      </c>
      <c r="BK109">
        <v>-4.6370000000000001E-2</v>
      </c>
      <c r="BL109" t="s">
        <v>75</v>
      </c>
      <c r="BM109">
        <v>-8.94E-3</v>
      </c>
      <c r="BN109" t="s">
        <v>75</v>
      </c>
      <c r="BO109">
        <v>-0.17197000000000001</v>
      </c>
      <c r="BP109" t="s">
        <v>75</v>
      </c>
      <c r="BQ109">
        <v>5.4899999999999997E-2</v>
      </c>
      <c r="BR109" t="s">
        <v>75</v>
      </c>
      <c r="BS109">
        <v>0.45578000000000002</v>
      </c>
      <c r="BT109" t="s">
        <v>75</v>
      </c>
      <c r="BU109">
        <v>0.46786</v>
      </c>
      <c r="BV109" t="s">
        <v>75</v>
      </c>
      <c r="BW109">
        <v>4.6617699999999997</v>
      </c>
      <c r="BX109" t="s">
        <v>75</v>
      </c>
      <c r="BY109">
        <v>-0.10888</v>
      </c>
      <c r="BZ109" t="s">
        <v>75</v>
      </c>
      <c r="CA109">
        <v>1.52092</v>
      </c>
      <c r="CB109" t="s">
        <v>75</v>
      </c>
      <c r="CC109">
        <v>-3.1700000000000001E-3</v>
      </c>
      <c r="CD109" t="s">
        <v>75</v>
      </c>
      <c r="CE109">
        <v>2.2599999999999999E-3</v>
      </c>
      <c r="CF109" t="s">
        <v>75</v>
      </c>
      <c r="CG109">
        <v>-6.8700000000000002E-3</v>
      </c>
      <c r="CH109" t="s">
        <v>75</v>
      </c>
      <c r="CI109">
        <v>-2.6630000000000001E-2</v>
      </c>
      <c r="CJ109" t="s">
        <v>75</v>
      </c>
      <c r="CK109">
        <v>-0.29448000000000002</v>
      </c>
      <c r="CL109" t="s">
        <v>75</v>
      </c>
      <c r="CM109">
        <v>-5.62E-3</v>
      </c>
      <c r="CN109" t="s">
        <v>75</v>
      </c>
      <c r="CO109">
        <v>2.1160000000000002E-2</v>
      </c>
      <c r="CP109" t="s">
        <v>75</v>
      </c>
      <c r="CQ109">
        <v>-6.8900000000000003E-3</v>
      </c>
      <c r="CR109" t="s">
        <v>75</v>
      </c>
      <c r="CS109">
        <v>5.7000000000000002E-2</v>
      </c>
      <c r="CT109" t="s">
        <v>75</v>
      </c>
      <c r="CV109" t="s">
        <v>76</v>
      </c>
      <c r="CW109">
        <v>-2.452E-2</v>
      </c>
      <c r="CX109" t="s">
        <v>75</v>
      </c>
      <c r="DA109">
        <v>0.28744999999999998</v>
      </c>
      <c r="DB109" t="s">
        <v>75</v>
      </c>
      <c r="DC109">
        <v>-5.9999999999999995E-4</v>
      </c>
      <c r="DD109" t="s">
        <v>75</v>
      </c>
      <c r="DE109">
        <v>-1.537E-2</v>
      </c>
      <c r="DF109" t="s">
        <v>75</v>
      </c>
      <c r="DG109">
        <v>1.7080000000000001E-2</v>
      </c>
      <c r="DH109" t="s">
        <v>75</v>
      </c>
      <c r="DI109">
        <v>0.98736999999999997</v>
      </c>
      <c r="DJ109" t="s">
        <v>75</v>
      </c>
      <c r="DL109" t="s">
        <v>76</v>
      </c>
      <c r="DN109" t="s">
        <v>76</v>
      </c>
      <c r="DO109">
        <v>-7.0499999999999998E-3</v>
      </c>
      <c r="DP109" t="s">
        <v>75</v>
      </c>
    </row>
    <row r="110" spans="1:121" x14ac:dyDescent="0.2">
      <c r="D110" t="s">
        <v>64</v>
      </c>
      <c r="G110">
        <v>9.2300000000000004E-3</v>
      </c>
      <c r="H110" t="s">
        <v>75</v>
      </c>
      <c r="I110">
        <v>1.8400000000000001E-3</v>
      </c>
      <c r="J110" t="s">
        <v>75</v>
      </c>
      <c r="K110">
        <v>1.9000000000000001E-4</v>
      </c>
      <c r="L110" t="s">
        <v>75</v>
      </c>
      <c r="M110">
        <v>7.6000000000000004E-4</v>
      </c>
      <c r="N110" t="s">
        <v>75</v>
      </c>
      <c r="O110">
        <v>1.0000000000000001E-5</v>
      </c>
      <c r="P110" t="s">
        <v>75</v>
      </c>
      <c r="Q110">
        <v>2.1000000000000001E-4</v>
      </c>
      <c r="R110" t="s">
        <v>75</v>
      </c>
      <c r="S110">
        <v>5.0000000000000002E-5</v>
      </c>
      <c r="T110" t="s">
        <v>75</v>
      </c>
      <c r="U110">
        <v>6.6E-4</v>
      </c>
      <c r="V110" t="s">
        <v>75</v>
      </c>
      <c r="W110">
        <v>4.0000000000000003E-5</v>
      </c>
      <c r="X110" t="s">
        <v>75</v>
      </c>
      <c r="Y110">
        <v>2.3000000000000001E-4</v>
      </c>
      <c r="Z110" t="s">
        <v>75</v>
      </c>
      <c r="AC110">
        <v>2.4000000000000001E-4</v>
      </c>
      <c r="AD110" t="s">
        <v>75</v>
      </c>
      <c r="AE110">
        <v>5.8E-4</v>
      </c>
      <c r="AF110" t="s">
        <v>75</v>
      </c>
      <c r="AG110">
        <v>9.0000000000000006E-5</v>
      </c>
      <c r="AH110" t="s">
        <v>75</v>
      </c>
      <c r="AI110">
        <v>7.9000000000000001E-4</v>
      </c>
      <c r="AJ110" t="s">
        <v>75</v>
      </c>
      <c r="AK110">
        <v>1.0000000000000001E-5</v>
      </c>
      <c r="AL110" t="s">
        <v>75</v>
      </c>
      <c r="AM110">
        <v>3.0000000000000001E-5</v>
      </c>
      <c r="AN110" t="s">
        <v>75</v>
      </c>
      <c r="AO110">
        <v>8.0000000000000007E-5</v>
      </c>
      <c r="AP110" t="s">
        <v>75</v>
      </c>
      <c r="AQ110">
        <v>9.0000000000000006E-5</v>
      </c>
      <c r="AR110" t="s">
        <v>75</v>
      </c>
      <c r="AS110">
        <v>1.6000000000000001E-4</v>
      </c>
      <c r="AT110" t="s">
        <v>75</v>
      </c>
      <c r="AU110">
        <v>3.0000000000000001E-5</v>
      </c>
      <c r="AV110" t="s">
        <v>75</v>
      </c>
      <c r="AW110">
        <v>8.0000000000000007E-5</v>
      </c>
      <c r="AX110" t="s">
        <v>75</v>
      </c>
      <c r="AY110">
        <v>4.0000000000000002E-4</v>
      </c>
      <c r="AZ110" t="s">
        <v>75</v>
      </c>
      <c r="BC110">
        <v>6.0999999999999997E-4</v>
      </c>
      <c r="BD110" t="s">
        <v>75</v>
      </c>
      <c r="BE110">
        <v>6.9999999999999994E-5</v>
      </c>
      <c r="BF110" t="s">
        <v>75</v>
      </c>
      <c r="BG110">
        <v>2.2000000000000001E-4</v>
      </c>
      <c r="BH110" t="s">
        <v>75</v>
      </c>
      <c r="BI110">
        <v>3.4000000000000002E-4</v>
      </c>
      <c r="BJ110" t="s">
        <v>75</v>
      </c>
      <c r="BK110">
        <v>1.7000000000000001E-4</v>
      </c>
      <c r="BL110" t="s">
        <v>75</v>
      </c>
      <c r="BM110">
        <v>1.2999999999999999E-4</v>
      </c>
      <c r="BN110" t="s">
        <v>75</v>
      </c>
      <c r="BO110">
        <v>4.172E-2</v>
      </c>
      <c r="BP110" t="s">
        <v>75</v>
      </c>
      <c r="BQ110">
        <v>1.082E-2</v>
      </c>
      <c r="BR110" t="s">
        <v>75</v>
      </c>
      <c r="BS110">
        <v>1.9130000000000001E-2</v>
      </c>
      <c r="BT110" t="s">
        <v>75</v>
      </c>
      <c r="BU110">
        <v>0.77102000000000004</v>
      </c>
      <c r="BV110" t="s">
        <v>75</v>
      </c>
      <c r="BW110">
        <v>6.2990000000000004E-2</v>
      </c>
      <c r="BX110" t="s">
        <v>75</v>
      </c>
      <c r="BY110">
        <v>0.23779</v>
      </c>
      <c r="BZ110" t="s">
        <v>75</v>
      </c>
      <c r="CA110">
        <v>0.16958000000000001</v>
      </c>
      <c r="CB110" t="s">
        <v>75</v>
      </c>
      <c r="CC110">
        <v>1.4E-3</v>
      </c>
      <c r="CD110" t="s">
        <v>75</v>
      </c>
      <c r="CE110">
        <v>1.7000000000000001E-4</v>
      </c>
      <c r="CF110" t="s">
        <v>75</v>
      </c>
      <c r="CG110">
        <v>4.6999999999999999E-4</v>
      </c>
      <c r="CH110" t="s">
        <v>75</v>
      </c>
      <c r="CI110">
        <v>8.0000000000000007E-5</v>
      </c>
      <c r="CJ110" t="s">
        <v>75</v>
      </c>
      <c r="CK110">
        <v>4.6100000000000004E-3</v>
      </c>
      <c r="CL110" t="s">
        <v>75</v>
      </c>
      <c r="CM110">
        <v>2.3000000000000001E-4</v>
      </c>
      <c r="CN110" t="s">
        <v>75</v>
      </c>
      <c r="CO110">
        <v>1.2800000000000001E-3</v>
      </c>
      <c r="CP110" t="s">
        <v>75</v>
      </c>
      <c r="CQ110">
        <v>1.4999999999999999E-4</v>
      </c>
      <c r="CR110" t="s">
        <v>75</v>
      </c>
      <c r="CS110">
        <v>9.2499999999999995E-3</v>
      </c>
      <c r="CT110" t="s">
        <v>75</v>
      </c>
      <c r="CW110">
        <v>4.0000000000000003E-5</v>
      </c>
      <c r="CX110" t="s">
        <v>75</v>
      </c>
      <c r="DA110">
        <v>1.189E-2</v>
      </c>
      <c r="DB110" t="s">
        <v>75</v>
      </c>
      <c r="DC110">
        <v>8.0999999999999996E-4</v>
      </c>
      <c r="DD110" t="s">
        <v>75</v>
      </c>
      <c r="DE110">
        <v>2.8900000000000002E-3</v>
      </c>
      <c r="DF110" t="s">
        <v>75</v>
      </c>
      <c r="DG110">
        <v>2.179E-2</v>
      </c>
      <c r="DH110" t="s">
        <v>75</v>
      </c>
      <c r="DI110">
        <v>1.329E-2</v>
      </c>
      <c r="DJ110" t="s">
        <v>75</v>
      </c>
      <c r="DO110">
        <v>4.6999999999999999E-4</v>
      </c>
      <c r="DP110" t="s">
        <v>75</v>
      </c>
    </row>
    <row r="111" spans="1:121" x14ac:dyDescent="0.2">
      <c r="D111" t="s">
        <v>65</v>
      </c>
      <c r="G111" t="s">
        <v>66</v>
      </c>
      <c r="I111" t="s">
        <v>66</v>
      </c>
      <c r="K111" t="s">
        <v>66</v>
      </c>
      <c r="M111" t="s">
        <v>66</v>
      </c>
      <c r="O111" t="s">
        <v>66</v>
      </c>
      <c r="Q111" t="s">
        <v>66</v>
      </c>
      <c r="S111" t="s">
        <v>66</v>
      </c>
      <c r="U111" t="s">
        <v>66</v>
      </c>
      <c r="W111" t="s">
        <v>66</v>
      </c>
      <c r="Y111" t="s">
        <v>66</v>
      </c>
      <c r="AA111" t="s">
        <v>66</v>
      </c>
      <c r="AC111" t="s">
        <v>66</v>
      </c>
      <c r="AE111" t="s">
        <v>66</v>
      </c>
      <c r="AG111" t="s">
        <v>66</v>
      </c>
      <c r="AI111" t="s">
        <v>66</v>
      </c>
      <c r="AK111" t="s">
        <v>66</v>
      </c>
      <c r="AM111" t="s">
        <v>66</v>
      </c>
      <c r="AO111" t="s">
        <v>66</v>
      </c>
      <c r="AQ111" t="s">
        <v>66</v>
      </c>
      <c r="AS111" t="s">
        <v>66</v>
      </c>
      <c r="AU111" t="s">
        <v>66</v>
      </c>
      <c r="AW111" t="s">
        <v>66</v>
      </c>
      <c r="AY111" t="s">
        <v>66</v>
      </c>
      <c r="BA111" t="s">
        <v>66</v>
      </c>
      <c r="BC111" t="s">
        <v>66</v>
      </c>
      <c r="BE111" t="s">
        <v>66</v>
      </c>
      <c r="BG111" t="s">
        <v>66</v>
      </c>
      <c r="BI111" t="s">
        <v>66</v>
      </c>
      <c r="BK111" t="s">
        <v>66</v>
      </c>
      <c r="BM111" t="s">
        <v>66</v>
      </c>
      <c r="BO111" t="s">
        <v>66</v>
      </c>
      <c r="BQ111" t="s">
        <v>66</v>
      </c>
      <c r="BS111" t="s">
        <v>66</v>
      </c>
      <c r="BU111" t="s">
        <v>66</v>
      </c>
      <c r="BW111" t="s">
        <v>66</v>
      </c>
      <c r="BY111" t="s">
        <v>66</v>
      </c>
      <c r="CA111" t="s">
        <v>66</v>
      </c>
      <c r="CC111" t="s">
        <v>66</v>
      </c>
      <c r="CE111" t="s">
        <v>66</v>
      </c>
      <c r="CG111" t="s">
        <v>66</v>
      </c>
      <c r="CI111" t="s">
        <v>66</v>
      </c>
      <c r="CK111" t="s">
        <v>66</v>
      </c>
      <c r="CM111" t="s">
        <v>66</v>
      </c>
      <c r="CO111" t="s">
        <v>66</v>
      </c>
      <c r="CQ111" t="s">
        <v>66</v>
      </c>
      <c r="CS111" t="s">
        <v>66</v>
      </c>
      <c r="CU111" t="s">
        <v>66</v>
      </c>
      <c r="CW111" t="s">
        <v>66</v>
      </c>
      <c r="CY111" t="s">
        <v>66</v>
      </c>
      <c r="DA111" t="s">
        <v>66</v>
      </c>
      <c r="DC111" t="s">
        <v>66</v>
      </c>
      <c r="DE111" t="s">
        <v>66</v>
      </c>
      <c r="DG111" t="s">
        <v>66</v>
      </c>
      <c r="DI111" t="s">
        <v>66</v>
      </c>
      <c r="DK111" t="s">
        <v>66</v>
      </c>
      <c r="DM111" t="s">
        <v>66</v>
      </c>
      <c r="DO111" t="s">
        <v>66</v>
      </c>
      <c r="DQ111" t="s">
        <v>66</v>
      </c>
    </row>
    <row r="112" spans="1:121" x14ac:dyDescent="0.2">
      <c r="A112" t="s">
        <v>592</v>
      </c>
      <c r="D112" t="s">
        <v>60</v>
      </c>
      <c r="E112" t="s">
        <v>61</v>
      </c>
      <c r="G112">
        <v>75162.399999999994</v>
      </c>
      <c r="I112">
        <v>16423.599999999999</v>
      </c>
      <c r="K112">
        <v>421768.1</v>
      </c>
      <c r="M112">
        <v>571241.4</v>
      </c>
      <c r="O112">
        <v>633040.1</v>
      </c>
      <c r="Q112">
        <v>82921.399999999994</v>
      </c>
      <c r="S112">
        <v>621351</v>
      </c>
      <c r="U112">
        <v>130072.4</v>
      </c>
      <c r="W112">
        <v>255831.6</v>
      </c>
      <c r="Y112">
        <v>35813.699999999997</v>
      </c>
      <c r="AA112">
        <v>2908672.3</v>
      </c>
      <c r="AC112">
        <v>144894.1</v>
      </c>
      <c r="AE112">
        <v>144733.4</v>
      </c>
      <c r="AG112">
        <v>695737.4</v>
      </c>
      <c r="AI112">
        <v>303040</v>
      </c>
      <c r="AK112">
        <v>775045.7</v>
      </c>
      <c r="AM112">
        <v>709777.5</v>
      </c>
      <c r="AO112">
        <v>149879.4</v>
      </c>
      <c r="AQ112">
        <v>129949.5</v>
      </c>
      <c r="AS112">
        <v>124553.1</v>
      </c>
      <c r="AU112">
        <v>843628.7</v>
      </c>
      <c r="AW112">
        <v>232295.2</v>
      </c>
      <c r="AY112">
        <v>184440.3</v>
      </c>
      <c r="BA112">
        <v>661573.30000000005</v>
      </c>
      <c r="BC112">
        <v>143450.6</v>
      </c>
      <c r="BE112">
        <v>568514.69999999995</v>
      </c>
      <c r="BG112">
        <v>192946.3</v>
      </c>
      <c r="BI112">
        <v>165071.9</v>
      </c>
      <c r="BK112">
        <v>405810.5</v>
      </c>
      <c r="BM112">
        <v>622288</v>
      </c>
      <c r="BO112">
        <v>238169.7</v>
      </c>
      <c r="BQ112">
        <v>128792.3</v>
      </c>
      <c r="BS112">
        <v>122211.9</v>
      </c>
      <c r="BU112">
        <v>578878.19999999995</v>
      </c>
      <c r="BW112">
        <v>12397.6</v>
      </c>
      <c r="BY112">
        <v>64683.199999999997</v>
      </c>
      <c r="CA112">
        <v>18230.5</v>
      </c>
      <c r="CC112">
        <v>2739.4</v>
      </c>
      <c r="CE112">
        <v>35945.599999999999</v>
      </c>
      <c r="CG112">
        <v>31989.5</v>
      </c>
      <c r="CI112">
        <v>41291.800000000003</v>
      </c>
      <c r="CK112">
        <v>131795.4</v>
      </c>
      <c r="CM112">
        <v>37287.1</v>
      </c>
      <c r="CO112">
        <v>8433</v>
      </c>
      <c r="CQ112">
        <v>18490.2</v>
      </c>
      <c r="CS112">
        <v>8503.5</v>
      </c>
      <c r="CU112">
        <v>259509.7</v>
      </c>
      <c r="CW112">
        <v>14757.2</v>
      </c>
      <c r="CY112">
        <v>58796.1</v>
      </c>
      <c r="DA112">
        <v>85137.600000000006</v>
      </c>
      <c r="DC112">
        <v>1541.4</v>
      </c>
      <c r="DE112">
        <v>1546.4</v>
      </c>
      <c r="DG112">
        <v>136.1</v>
      </c>
      <c r="DI112">
        <v>1048</v>
      </c>
      <c r="DK112">
        <v>838.6</v>
      </c>
      <c r="DM112">
        <v>77929.600000000006</v>
      </c>
      <c r="DO112">
        <v>4152.6000000000004</v>
      </c>
      <c r="DQ112">
        <v>17336.400000000001</v>
      </c>
    </row>
    <row r="113" spans="1:121" x14ac:dyDescent="0.2">
      <c r="D113" t="s">
        <v>62</v>
      </c>
      <c r="E113" t="s">
        <v>61</v>
      </c>
      <c r="G113">
        <v>478.6</v>
      </c>
      <c r="I113">
        <v>201.1</v>
      </c>
      <c r="K113">
        <v>2379.3000000000002</v>
      </c>
      <c r="M113">
        <v>764.7</v>
      </c>
      <c r="O113">
        <v>5841.4</v>
      </c>
      <c r="Q113">
        <v>975.3</v>
      </c>
      <c r="S113">
        <v>4184.6000000000004</v>
      </c>
      <c r="U113">
        <v>915.2</v>
      </c>
      <c r="W113">
        <v>2769.5</v>
      </c>
      <c r="Y113">
        <v>622.29999999999995</v>
      </c>
      <c r="AA113">
        <v>26420.6</v>
      </c>
      <c r="AC113">
        <v>948.5</v>
      </c>
      <c r="AE113">
        <v>1373.9</v>
      </c>
      <c r="AG113">
        <v>3928.3</v>
      </c>
      <c r="AI113">
        <v>3429.2</v>
      </c>
      <c r="AK113">
        <v>4296.5</v>
      </c>
      <c r="AM113">
        <v>12483.4</v>
      </c>
      <c r="AO113">
        <v>351.3</v>
      </c>
      <c r="AQ113">
        <v>654</v>
      </c>
      <c r="AS113">
        <v>1233.5</v>
      </c>
      <c r="AU113">
        <v>3508.4</v>
      </c>
      <c r="AW113">
        <v>3096.4</v>
      </c>
      <c r="AY113">
        <v>1191.5</v>
      </c>
      <c r="BA113">
        <v>6892.2</v>
      </c>
      <c r="BC113">
        <v>774.3</v>
      </c>
      <c r="BE113">
        <v>3825.3</v>
      </c>
      <c r="BG113">
        <v>885.8</v>
      </c>
      <c r="BI113">
        <v>3390.3</v>
      </c>
      <c r="BK113">
        <v>4154.8</v>
      </c>
      <c r="BM113">
        <v>8388.2999999999993</v>
      </c>
      <c r="BO113">
        <v>2181.5</v>
      </c>
      <c r="BQ113">
        <v>793.6</v>
      </c>
      <c r="BS113">
        <v>1582.3</v>
      </c>
      <c r="BU113">
        <v>3664.4</v>
      </c>
      <c r="BW113">
        <v>535.6</v>
      </c>
      <c r="BY113">
        <v>509.9</v>
      </c>
      <c r="CA113">
        <v>211.6</v>
      </c>
      <c r="CC113">
        <v>30.6</v>
      </c>
      <c r="CE113">
        <v>1013.4</v>
      </c>
      <c r="CG113">
        <v>512.9</v>
      </c>
      <c r="CI113">
        <v>641.4</v>
      </c>
      <c r="CK113">
        <v>1088.0999999999999</v>
      </c>
      <c r="CM113">
        <v>1148.8</v>
      </c>
      <c r="CO113">
        <v>220.9</v>
      </c>
      <c r="CQ113">
        <v>330.3</v>
      </c>
      <c r="CS113">
        <v>123</v>
      </c>
      <c r="CU113">
        <v>4463.2</v>
      </c>
      <c r="CW113">
        <v>208.9</v>
      </c>
      <c r="CY113">
        <v>1878.3</v>
      </c>
      <c r="DA113">
        <v>606.6</v>
      </c>
      <c r="DC113">
        <v>55.1</v>
      </c>
      <c r="DE113">
        <v>67.3</v>
      </c>
      <c r="DG113">
        <v>9.5</v>
      </c>
      <c r="DI113">
        <v>62.2</v>
      </c>
      <c r="DK113">
        <v>49.7</v>
      </c>
      <c r="DM113">
        <v>1844.3</v>
      </c>
      <c r="DO113">
        <v>83.9</v>
      </c>
      <c r="DQ113">
        <v>197.5</v>
      </c>
    </row>
    <row r="114" spans="1:121" x14ac:dyDescent="0.2">
      <c r="D114" t="s">
        <v>63</v>
      </c>
      <c r="G114">
        <v>0.57745999999999997</v>
      </c>
      <c r="H114" t="s">
        <v>75</v>
      </c>
      <c r="I114">
        <v>0.57552000000000003</v>
      </c>
      <c r="J114" t="s">
        <v>75</v>
      </c>
      <c r="K114">
        <v>0.54622000000000004</v>
      </c>
      <c r="L114" t="s">
        <v>75</v>
      </c>
      <c r="M114">
        <v>0.5605</v>
      </c>
      <c r="N114" t="s">
        <v>75</v>
      </c>
      <c r="O114">
        <v>0.54368000000000005</v>
      </c>
      <c r="P114" t="s">
        <v>75</v>
      </c>
      <c r="Q114">
        <v>0.56969000000000003</v>
      </c>
      <c r="R114" t="s">
        <v>75</v>
      </c>
      <c r="S114">
        <v>0.55623999999999996</v>
      </c>
      <c r="T114" t="s">
        <v>75</v>
      </c>
      <c r="U114">
        <v>0.55701000000000001</v>
      </c>
      <c r="V114" t="s">
        <v>75</v>
      </c>
      <c r="W114">
        <v>0.55957999999999997</v>
      </c>
      <c r="X114" t="s">
        <v>75</v>
      </c>
      <c r="Y114">
        <v>0.54498999999999997</v>
      </c>
      <c r="Z114" t="s">
        <v>75</v>
      </c>
      <c r="AB114" t="s">
        <v>76</v>
      </c>
      <c r="AC114">
        <v>0.56993000000000005</v>
      </c>
      <c r="AD114" t="s">
        <v>75</v>
      </c>
      <c r="AE114">
        <v>0.59467999999999999</v>
      </c>
      <c r="AF114" t="s">
        <v>75</v>
      </c>
      <c r="AG114">
        <v>0.54339000000000004</v>
      </c>
      <c r="AH114" t="s">
        <v>75</v>
      </c>
      <c r="AI114">
        <v>1.96296</v>
      </c>
      <c r="AJ114" t="s">
        <v>75</v>
      </c>
      <c r="AK114">
        <v>0.54285000000000005</v>
      </c>
      <c r="AL114" t="s">
        <v>75</v>
      </c>
      <c r="AM114">
        <v>0.54071000000000002</v>
      </c>
      <c r="AN114" t="s">
        <v>75</v>
      </c>
      <c r="AO114">
        <v>0.56225000000000003</v>
      </c>
      <c r="AP114" t="s">
        <v>75</v>
      </c>
      <c r="AQ114">
        <v>0.57011999999999996</v>
      </c>
      <c r="AR114" t="s">
        <v>75</v>
      </c>
      <c r="AS114">
        <v>0.56562000000000001</v>
      </c>
      <c r="AT114" t="s">
        <v>75</v>
      </c>
      <c r="AU114">
        <v>0.57025999999999999</v>
      </c>
      <c r="AV114" t="s">
        <v>75</v>
      </c>
      <c r="AW114">
        <v>0.57287999999999994</v>
      </c>
      <c r="AX114" t="s">
        <v>75</v>
      </c>
      <c r="AY114">
        <v>0.59957000000000005</v>
      </c>
      <c r="AZ114" t="s">
        <v>75</v>
      </c>
      <c r="BC114">
        <v>-1.6199699999999999</v>
      </c>
      <c r="BD114" t="s">
        <v>75</v>
      </c>
      <c r="BE114">
        <v>0.55883000000000005</v>
      </c>
      <c r="BF114" t="s">
        <v>75</v>
      </c>
      <c r="BG114">
        <v>0.52966999999999997</v>
      </c>
      <c r="BH114" t="s">
        <v>75</v>
      </c>
      <c r="BI114">
        <v>0.54293999999999998</v>
      </c>
      <c r="BJ114" t="s">
        <v>75</v>
      </c>
      <c r="BK114">
        <v>0.52805999999999997</v>
      </c>
      <c r="BL114" t="s">
        <v>75</v>
      </c>
      <c r="BM114">
        <v>0.58940000000000003</v>
      </c>
      <c r="BN114" t="s">
        <v>75</v>
      </c>
      <c r="BO114">
        <v>3.6044200000000002</v>
      </c>
      <c r="BP114" t="s">
        <v>75</v>
      </c>
      <c r="BQ114">
        <v>4.0030099999999997</v>
      </c>
      <c r="BR114" t="s">
        <v>75</v>
      </c>
      <c r="BS114">
        <v>2.3189299999999999</v>
      </c>
      <c r="BT114" t="s">
        <v>75</v>
      </c>
      <c r="BU114">
        <v>3.8230900000000001</v>
      </c>
      <c r="BV114" t="s">
        <v>75</v>
      </c>
      <c r="BW114">
        <v>5.0837399999999997</v>
      </c>
      <c r="BX114" t="s">
        <v>75</v>
      </c>
      <c r="BY114">
        <v>10.30612</v>
      </c>
      <c r="BZ114" t="s">
        <v>75</v>
      </c>
      <c r="CA114">
        <v>6.3038800000000004</v>
      </c>
      <c r="CB114" t="s">
        <v>75</v>
      </c>
      <c r="CC114">
        <v>0.57906000000000002</v>
      </c>
      <c r="CD114" t="s">
        <v>75</v>
      </c>
      <c r="CE114">
        <v>0.54144999999999999</v>
      </c>
      <c r="CF114" t="s">
        <v>75</v>
      </c>
      <c r="CG114">
        <v>0.53603999999999996</v>
      </c>
      <c r="CH114" t="s">
        <v>75</v>
      </c>
      <c r="CI114">
        <v>0.51807999999999998</v>
      </c>
      <c r="CJ114" t="s">
        <v>75</v>
      </c>
      <c r="CK114">
        <v>1.5639400000000001</v>
      </c>
      <c r="CL114" t="s">
        <v>75</v>
      </c>
      <c r="CM114">
        <v>0.53063000000000005</v>
      </c>
      <c r="CN114" t="s">
        <v>75</v>
      </c>
      <c r="CO114">
        <v>0.49443999999999999</v>
      </c>
      <c r="CP114" t="s">
        <v>75</v>
      </c>
      <c r="CQ114">
        <v>0.54027000000000003</v>
      </c>
      <c r="CR114" t="s">
        <v>75</v>
      </c>
      <c r="CS114">
        <v>2.1589299999999998</v>
      </c>
      <c r="CT114" t="s">
        <v>75</v>
      </c>
      <c r="CV114" t="s">
        <v>76</v>
      </c>
      <c r="CW114">
        <v>0.53027999999999997</v>
      </c>
      <c r="CX114" t="s">
        <v>75</v>
      </c>
      <c r="DA114">
        <v>4.5460399999999996</v>
      </c>
      <c r="DB114" t="s">
        <v>75</v>
      </c>
      <c r="DC114">
        <v>0.63651999999999997</v>
      </c>
      <c r="DD114" t="s">
        <v>75</v>
      </c>
      <c r="DE114">
        <v>0.63973000000000002</v>
      </c>
      <c r="DF114" t="s">
        <v>75</v>
      </c>
      <c r="DG114">
        <v>0.61117999999999995</v>
      </c>
      <c r="DH114" t="s">
        <v>75</v>
      </c>
      <c r="DI114">
        <v>1.2844500000000001</v>
      </c>
      <c r="DJ114" t="s">
        <v>75</v>
      </c>
      <c r="DL114" t="s">
        <v>76</v>
      </c>
      <c r="DN114" t="s">
        <v>76</v>
      </c>
      <c r="DO114">
        <v>0.56954000000000005</v>
      </c>
      <c r="DP114" t="s">
        <v>75</v>
      </c>
    </row>
    <row r="115" spans="1:121" x14ac:dyDescent="0.2">
      <c r="D115" t="s">
        <v>64</v>
      </c>
      <c r="G115">
        <v>2.5999999999999999E-3</v>
      </c>
      <c r="H115" t="s">
        <v>75</v>
      </c>
      <c r="I115">
        <v>8.1600000000000006E-3</v>
      </c>
      <c r="J115" t="s">
        <v>75</v>
      </c>
      <c r="K115">
        <v>4.4400000000000004E-3</v>
      </c>
      <c r="L115" t="s">
        <v>75</v>
      </c>
      <c r="M115">
        <v>5.4400000000000004E-3</v>
      </c>
      <c r="N115" t="s">
        <v>75</v>
      </c>
      <c r="O115">
        <v>1.0540000000000001E-2</v>
      </c>
      <c r="P115" t="s">
        <v>75</v>
      </c>
      <c r="Q115">
        <v>1.223E-2</v>
      </c>
      <c r="R115" t="s">
        <v>75</v>
      </c>
      <c r="S115">
        <v>9.5999999999999992E-3</v>
      </c>
      <c r="T115" t="s">
        <v>75</v>
      </c>
      <c r="U115">
        <v>2.33E-3</v>
      </c>
      <c r="V115" t="s">
        <v>75</v>
      </c>
      <c r="W115">
        <v>3.3E-4</v>
      </c>
      <c r="X115" t="s">
        <v>75</v>
      </c>
      <c r="Y115">
        <v>1.37E-2</v>
      </c>
      <c r="Z115" t="s">
        <v>75</v>
      </c>
      <c r="AC115">
        <v>7.4799999999999997E-3</v>
      </c>
      <c r="AD115" t="s">
        <v>75</v>
      </c>
      <c r="AE115">
        <v>2.8E-3</v>
      </c>
      <c r="AF115" t="s">
        <v>75</v>
      </c>
      <c r="AG115">
        <v>7.1300000000000001E-3</v>
      </c>
      <c r="AH115" t="s">
        <v>75</v>
      </c>
      <c r="AI115">
        <v>4.2869999999999998E-2</v>
      </c>
      <c r="AJ115" t="s">
        <v>75</v>
      </c>
      <c r="AK115">
        <v>8.7200000000000003E-3</v>
      </c>
      <c r="AL115" t="s">
        <v>75</v>
      </c>
      <c r="AM115">
        <v>5.1000000000000004E-3</v>
      </c>
      <c r="AN115" t="s">
        <v>75</v>
      </c>
      <c r="AO115">
        <v>4.8999999999999998E-3</v>
      </c>
      <c r="AP115" t="s">
        <v>75</v>
      </c>
      <c r="AQ115">
        <v>8.0499999999999999E-3</v>
      </c>
      <c r="AR115" t="s">
        <v>75</v>
      </c>
      <c r="AS115">
        <v>9.5700000000000004E-3</v>
      </c>
      <c r="AT115" t="s">
        <v>75</v>
      </c>
      <c r="AU115">
        <v>5.1700000000000001E-3</v>
      </c>
      <c r="AV115" t="s">
        <v>75</v>
      </c>
      <c r="AW115">
        <v>3.0699999999999998E-3</v>
      </c>
      <c r="AX115" t="s">
        <v>75</v>
      </c>
      <c r="AY115">
        <v>8.0700000000000008E-3</v>
      </c>
      <c r="AZ115" t="s">
        <v>75</v>
      </c>
      <c r="BC115">
        <v>6.79E-3</v>
      </c>
      <c r="BD115" t="s">
        <v>75</v>
      </c>
      <c r="BE115">
        <v>3.64E-3</v>
      </c>
      <c r="BF115" t="s">
        <v>75</v>
      </c>
      <c r="BG115">
        <v>5.5900000000000004E-3</v>
      </c>
      <c r="BH115" t="s">
        <v>75</v>
      </c>
      <c r="BI115">
        <v>8.4200000000000004E-3</v>
      </c>
      <c r="BJ115" t="s">
        <v>75</v>
      </c>
      <c r="BK115">
        <v>7.3299999999999997E-3</v>
      </c>
      <c r="BL115" t="s">
        <v>75</v>
      </c>
      <c r="BM115">
        <v>1.438E-2</v>
      </c>
      <c r="BN115" t="s">
        <v>75</v>
      </c>
      <c r="BO115">
        <v>0.12175</v>
      </c>
      <c r="BP115" t="s">
        <v>75</v>
      </c>
      <c r="BQ115">
        <v>0.12504999999999999</v>
      </c>
      <c r="BR115" t="s">
        <v>75</v>
      </c>
      <c r="BS115">
        <v>5.389E-2</v>
      </c>
      <c r="BT115" t="s">
        <v>75</v>
      </c>
      <c r="BU115">
        <v>0.78478999999999999</v>
      </c>
      <c r="BV115" t="s">
        <v>75</v>
      </c>
      <c r="BW115">
        <v>7.2989999999999999E-2</v>
      </c>
      <c r="BX115" t="s">
        <v>75</v>
      </c>
      <c r="BY115">
        <v>0.45335999999999999</v>
      </c>
      <c r="BZ115" t="s">
        <v>75</v>
      </c>
      <c r="CA115">
        <v>0.22314999999999999</v>
      </c>
      <c r="CB115" t="s">
        <v>75</v>
      </c>
      <c r="CC115">
        <v>2.4979999999999999E-2</v>
      </c>
      <c r="CD115" t="s">
        <v>75</v>
      </c>
      <c r="CE115">
        <v>9.4199999999999996E-3</v>
      </c>
      <c r="CF115" t="s">
        <v>75</v>
      </c>
      <c r="CG115">
        <v>2.443E-2</v>
      </c>
      <c r="CH115" t="s">
        <v>75</v>
      </c>
      <c r="CI115">
        <v>2.3400000000000001E-2</v>
      </c>
      <c r="CJ115" t="s">
        <v>75</v>
      </c>
      <c r="CK115">
        <v>5.9080000000000001E-2</v>
      </c>
      <c r="CL115" t="s">
        <v>75</v>
      </c>
      <c r="CM115">
        <v>3.1940000000000003E-2</v>
      </c>
      <c r="CN115" t="s">
        <v>75</v>
      </c>
      <c r="CO115">
        <v>2.716E-2</v>
      </c>
      <c r="CP115" t="s">
        <v>75</v>
      </c>
      <c r="CQ115">
        <v>2.3529999999999999E-2</v>
      </c>
      <c r="CR115" t="s">
        <v>75</v>
      </c>
      <c r="CS115">
        <v>0.10281</v>
      </c>
      <c r="CT115" t="s">
        <v>75</v>
      </c>
      <c r="CW115">
        <v>2.2579999999999999E-2</v>
      </c>
      <c r="CX115" t="s">
        <v>75</v>
      </c>
      <c r="DA115">
        <v>8.1780000000000005E-2</v>
      </c>
      <c r="DB115" t="s">
        <v>75</v>
      </c>
      <c r="DC115">
        <v>3.0040000000000001E-2</v>
      </c>
      <c r="DD115" t="s">
        <v>75</v>
      </c>
      <c r="DE115">
        <v>2.1649999999999999E-2</v>
      </c>
      <c r="DF115" t="s">
        <v>75</v>
      </c>
      <c r="DG115">
        <v>3.9949999999999999E-2</v>
      </c>
      <c r="DH115" t="s">
        <v>75</v>
      </c>
      <c r="DI115">
        <v>8.3690000000000001E-2</v>
      </c>
      <c r="DJ115" t="s">
        <v>75</v>
      </c>
      <c r="DO115">
        <v>7.4099999999999999E-3</v>
      </c>
      <c r="DP115" t="s">
        <v>75</v>
      </c>
    </row>
    <row r="116" spans="1:121" x14ac:dyDescent="0.2">
      <c r="D116" t="s">
        <v>65</v>
      </c>
      <c r="G116" t="s">
        <v>66</v>
      </c>
      <c r="I116" t="s">
        <v>66</v>
      </c>
      <c r="K116" t="s">
        <v>66</v>
      </c>
      <c r="M116" t="s">
        <v>66</v>
      </c>
      <c r="O116" t="s">
        <v>66</v>
      </c>
      <c r="Q116" t="s">
        <v>66</v>
      </c>
      <c r="S116" t="s">
        <v>66</v>
      </c>
      <c r="U116" t="s">
        <v>66</v>
      </c>
      <c r="W116" t="s">
        <v>66</v>
      </c>
      <c r="Y116" t="s">
        <v>66</v>
      </c>
      <c r="AA116" t="s">
        <v>66</v>
      </c>
      <c r="AC116" t="s">
        <v>66</v>
      </c>
      <c r="AE116" t="s">
        <v>66</v>
      </c>
      <c r="AG116" t="s">
        <v>66</v>
      </c>
      <c r="AI116" t="s">
        <v>66</v>
      </c>
      <c r="AK116" t="s">
        <v>66</v>
      </c>
      <c r="AM116" t="s">
        <v>66</v>
      </c>
      <c r="AO116" t="s">
        <v>66</v>
      </c>
      <c r="AQ116" t="s">
        <v>66</v>
      </c>
      <c r="AS116" t="s">
        <v>66</v>
      </c>
      <c r="AU116" t="s">
        <v>66</v>
      </c>
      <c r="AW116" t="s">
        <v>66</v>
      </c>
      <c r="AY116" t="s">
        <v>66</v>
      </c>
      <c r="BA116" t="s">
        <v>66</v>
      </c>
      <c r="BC116" t="s">
        <v>66</v>
      </c>
      <c r="BE116" t="s">
        <v>66</v>
      </c>
      <c r="BG116" t="s">
        <v>66</v>
      </c>
      <c r="BI116" t="s">
        <v>66</v>
      </c>
      <c r="BK116" t="s">
        <v>66</v>
      </c>
      <c r="BM116" t="s">
        <v>66</v>
      </c>
      <c r="BO116" t="s">
        <v>66</v>
      </c>
      <c r="BQ116" t="s">
        <v>66</v>
      </c>
      <c r="BS116" t="s">
        <v>66</v>
      </c>
      <c r="BU116" t="s">
        <v>66</v>
      </c>
      <c r="BW116" t="s">
        <v>66</v>
      </c>
      <c r="BY116" t="s">
        <v>66</v>
      </c>
      <c r="CA116" t="s">
        <v>66</v>
      </c>
      <c r="CC116" t="s">
        <v>66</v>
      </c>
      <c r="CE116" t="s">
        <v>66</v>
      </c>
      <c r="CG116" t="s">
        <v>66</v>
      </c>
      <c r="CI116" t="s">
        <v>66</v>
      </c>
      <c r="CK116" t="s">
        <v>66</v>
      </c>
      <c r="CM116" t="s">
        <v>66</v>
      </c>
      <c r="CO116" t="s">
        <v>66</v>
      </c>
      <c r="CQ116" t="s">
        <v>66</v>
      </c>
      <c r="CS116" t="s">
        <v>66</v>
      </c>
      <c r="CU116" t="s">
        <v>66</v>
      </c>
      <c r="CW116" t="s">
        <v>66</v>
      </c>
      <c r="CY116" t="s">
        <v>66</v>
      </c>
      <c r="DA116" t="s">
        <v>66</v>
      </c>
      <c r="DC116" t="s">
        <v>66</v>
      </c>
      <c r="DE116" t="s">
        <v>66</v>
      </c>
      <c r="DG116" t="s">
        <v>66</v>
      </c>
      <c r="DI116" t="s">
        <v>66</v>
      </c>
      <c r="DK116" t="s">
        <v>66</v>
      </c>
      <c r="DM116" t="s">
        <v>66</v>
      </c>
      <c r="DO116" t="s">
        <v>66</v>
      </c>
      <c r="DQ116" t="s">
        <v>66</v>
      </c>
    </row>
    <row r="117" spans="1:121" x14ac:dyDescent="0.2">
      <c r="A117" t="s">
        <v>593</v>
      </c>
      <c r="D117" t="s">
        <v>60</v>
      </c>
      <c r="E117" t="s">
        <v>61</v>
      </c>
      <c r="G117">
        <v>10190.1</v>
      </c>
      <c r="I117">
        <v>700.4</v>
      </c>
      <c r="K117">
        <v>12118</v>
      </c>
      <c r="M117">
        <v>54447.9</v>
      </c>
      <c r="O117">
        <v>1030.8</v>
      </c>
      <c r="Q117">
        <v>6666.8</v>
      </c>
      <c r="S117">
        <v>2362.4</v>
      </c>
      <c r="U117">
        <v>1719</v>
      </c>
      <c r="W117">
        <v>3014.2</v>
      </c>
      <c r="Y117">
        <v>428.1</v>
      </c>
      <c r="AA117">
        <v>2887190.3</v>
      </c>
      <c r="AC117">
        <v>2659894.2999999998</v>
      </c>
      <c r="AE117">
        <v>24803.200000000001</v>
      </c>
      <c r="AG117">
        <v>10922.2</v>
      </c>
      <c r="AI117">
        <v>26209.3</v>
      </c>
      <c r="AK117">
        <v>2058.9</v>
      </c>
      <c r="AM117">
        <v>2651.3</v>
      </c>
      <c r="AO117">
        <v>385.5</v>
      </c>
      <c r="AQ117">
        <v>183.3</v>
      </c>
      <c r="AS117">
        <v>521</v>
      </c>
      <c r="AU117">
        <v>664.8</v>
      </c>
      <c r="AW117">
        <v>348</v>
      </c>
      <c r="AY117">
        <v>2633.6</v>
      </c>
      <c r="BA117">
        <v>654097</v>
      </c>
      <c r="BC117">
        <v>4211.6000000000004</v>
      </c>
      <c r="BE117">
        <v>612.79999999999995</v>
      </c>
      <c r="BG117">
        <v>6007.6</v>
      </c>
      <c r="BI117">
        <v>5483.9</v>
      </c>
      <c r="BK117">
        <v>13165.4</v>
      </c>
      <c r="BM117">
        <v>2919.3</v>
      </c>
      <c r="BO117">
        <v>2939472.6</v>
      </c>
      <c r="BQ117">
        <v>74147.399999999994</v>
      </c>
      <c r="BS117">
        <v>162925.1</v>
      </c>
      <c r="BU117">
        <v>557713.80000000005</v>
      </c>
      <c r="BW117">
        <v>414684.1</v>
      </c>
      <c r="BY117">
        <v>37997.599999999999</v>
      </c>
      <c r="CA117">
        <v>19728.099999999999</v>
      </c>
      <c r="CC117">
        <v>252.8</v>
      </c>
      <c r="CE117">
        <v>442.7</v>
      </c>
      <c r="CG117">
        <v>34867</v>
      </c>
      <c r="CI117">
        <v>4722.3999999999996</v>
      </c>
      <c r="CK117">
        <v>336871.3</v>
      </c>
      <c r="CM117">
        <v>1046</v>
      </c>
      <c r="CO117">
        <v>3798.1</v>
      </c>
      <c r="CQ117">
        <v>6627.7</v>
      </c>
      <c r="CS117">
        <v>4877.3</v>
      </c>
      <c r="CU117">
        <v>245342.5</v>
      </c>
      <c r="CW117">
        <v>258213.6</v>
      </c>
      <c r="CY117">
        <v>55833</v>
      </c>
      <c r="DA117">
        <v>1005365.3</v>
      </c>
      <c r="DC117">
        <v>2.2000000000000002</v>
      </c>
      <c r="DE117">
        <v>113.7</v>
      </c>
      <c r="DG117">
        <v>38.200000000000003</v>
      </c>
      <c r="DI117">
        <v>1020.6</v>
      </c>
      <c r="DK117">
        <v>814.1</v>
      </c>
      <c r="DM117">
        <v>77362.899999999994</v>
      </c>
      <c r="DO117">
        <v>72849.3</v>
      </c>
      <c r="DQ117">
        <v>17563.400000000001</v>
      </c>
    </row>
    <row r="118" spans="1:121" x14ac:dyDescent="0.2">
      <c r="D118" t="s">
        <v>62</v>
      </c>
      <c r="E118" t="s">
        <v>61</v>
      </c>
      <c r="G118">
        <v>214.4</v>
      </c>
      <c r="I118">
        <v>8.4</v>
      </c>
      <c r="K118">
        <v>257.60000000000002</v>
      </c>
      <c r="M118">
        <v>342.4</v>
      </c>
      <c r="O118">
        <v>413.5</v>
      </c>
      <c r="Q118">
        <v>203.3</v>
      </c>
      <c r="S118">
        <v>251.9</v>
      </c>
      <c r="U118">
        <v>166.1</v>
      </c>
      <c r="W118">
        <v>120.1</v>
      </c>
      <c r="Y118">
        <v>56.3</v>
      </c>
      <c r="AA118">
        <v>30906.1</v>
      </c>
      <c r="AC118">
        <v>38443</v>
      </c>
      <c r="AE118">
        <v>252.5</v>
      </c>
      <c r="AG118">
        <v>276.39999999999998</v>
      </c>
      <c r="AI118">
        <v>500.6</v>
      </c>
      <c r="AK118">
        <v>301.10000000000002</v>
      </c>
      <c r="AM118">
        <v>226.5</v>
      </c>
      <c r="AO118">
        <v>145.4</v>
      </c>
      <c r="AQ118">
        <v>47.8</v>
      </c>
      <c r="AS118">
        <v>66</v>
      </c>
      <c r="AU118">
        <v>330.5</v>
      </c>
      <c r="AW118">
        <v>208</v>
      </c>
      <c r="AY118">
        <v>56.9</v>
      </c>
      <c r="BA118">
        <v>7006.9</v>
      </c>
      <c r="BC118">
        <v>130.69999999999999</v>
      </c>
      <c r="BE118">
        <v>294.39999999999998</v>
      </c>
      <c r="BG118">
        <v>251</v>
      </c>
      <c r="BI118">
        <v>27.8</v>
      </c>
      <c r="BK118">
        <v>603.9</v>
      </c>
      <c r="BM118">
        <v>334.1</v>
      </c>
      <c r="BO118">
        <v>45462.5</v>
      </c>
      <c r="BQ118">
        <v>591.79999999999995</v>
      </c>
      <c r="BS118">
        <v>2448.6999999999998</v>
      </c>
      <c r="BU118">
        <v>5421.3</v>
      </c>
      <c r="BW118">
        <v>4775.5</v>
      </c>
      <c r="BY118">
        <v>667.7</v>
      </c>
      <c r="CA118">
        <v>186.6</v>
      </c>
      <c r="CC118">
        <v>51.5</v>
      </c>
      <c r="CE118">
        <v>86.3</v>
      </c>
      <c r="CG118">
        <v>427.4</v>
      </c>
      <c r="CI118">
        <v>115.7</v>
      </c>
      <c r="CK118">
        <v>6898</v>
      </c>
      <c r="CM118">
        <v>53.2</v>
      </c>
      <c r="CO118">
        <v>181.3</v>
      </c>
      <c r="CQ118">
        <v>256.8</v>
      </c>
      <c r="CS118">
        <v>101.1</v>
      </c>
      <c r="CU118">
        <v>4721.1000000000004</v>
      </c>
      <c r="CW118">
        <v>4185.8</v>
      </c>
      <c r="CY118">
        <v>976.6</v>
      </c>
      <c r="DA118">
        <v>9520.7999999999993</v>
      </c>
      <c r="DC118">
        <v>2.5</v>
      </c>
      <c r="DE118">
        <v>8.9</v>
      </c>
      <c r="DG118">
        <v>17.8</v>
      </c>
      <c r="DI118">
        <v>92.1</v>
      </c>
      <c r="DK118">
        <v>6</v>
      </c>
      <c r="DM118">
        <v>1468</v>
      </c>
      <c r="DO118">
        <v>1246</v>
      </c>
      <c r="DQ118">
        <v>319.10000000000002</v>
      </c>
    </row>
    <row r="119" spans="1:121" x14ac:dyDescent="0.2">
      <c r="D119" t="s">
        <v>63</v>
      </c>
      <c r="G119">
        <v>4.9549999999999997E-2</v>
      </c>
      <c r="H119" t="s">
        <v>75</v>
      </c>
      <c r="I119">
        <v>1.2710000000000001E-2</v>
      </c>
      <c r="J119" t="s">
        <v>75</v>
      </c>
      <c r="K119">
        <v>1.2489999999999999E-2</v>
      </c>
      <c r="L119" t="s">
        <v>75</v>
      </c>
      <c r="M119">
        <v>2.3120000000000002E-2</v>
      </c>
      <c r="N119" t="s">
        <v>75</v>
      </c>
      <c r="O119">
        <v>3.82E-3</v>
      </c>
      <c r="P119" t="s">
        <v>75</v>
      </c>
      <c r="Q119">
        <v>6.5619999999999998E-2</v>
      </c>
      <c r="R119" t="s">
        <v>75</v>
      </c>
      <c r="S119">
        <v>1.4499999999999999E-3</v>
      </c>
      <c r="T119" t="s">
        <v>75</v>
      </c>
      <c r="U119">
        <v>1.3010000000000001E-2</v>
      </c>
      <c r="V119" t="s">
        <v>75</v>
      </c>
      <c r="W119">
        <v>1.017E-2</v>
      </c>
      <c r="X119" t="s">
        <v>75</v>
      </c>
      <c r="Y119">
        <v>6.5900000000000004E-3</v>
      </c>
      <c r="Z119" t="s">
        <v>75</v>
      </c>
      <c r="AB119" t="s">
        <v>76</v>
      </c>
      <c r="AC119">
        <v>9.8492599999999992</v>
      </c>
      <c r="AD119" t="s">
        <v>75</v>
      </c>
      <c r="AE119">
        <v>0.13550000000000001</v>
      </c>
      <c r="AF119" t="s">
        <v>75</v>
      </c>
      <c r="AG119">
        <v>-7.4700000000000001E-3</v>
      </c>
      <c r="AH119" t="s">
        <v>75</v>
      </c>
      <c r="AI119">
        <v>0.17171</v>
      </c>
      <c r="AJ119" t="s">
        <v>75</v>
      </c>
      <c r="AK119">
        <v>-6.8000000000000005E-4</v>
      </c>
      <c r="AL119" t="s">
        <v>75</v>
      </c>
      <c r="AM119">
        <v>-3.62E-3</v>
      </c>
      <c r="AN119" t="s">
        <v>75</v>
      </c>
      <c r="AO119">
        <v>2.8800000000000002E-3</v>
      </c>
      <c r="AP119" t="s">
        <v>75</v>
      </c>
      <c r="AQ119">
        <v>-1.4999999999999999E-4</v>
      </c>
      <c r="AR119" t="s">
        <v>75</v>
      </c>
      <c r="AS119">
        <v>1.3600000000000001E-3</v>
      </c>
      <c r="AT119" t="s">
        <v>75</v>
      </c>
      <c r="AU119">
        <v>1.8E-3</v>
      </c>
      <c r="AV119" t="s">
        <v>75</v>
      </c>
      <c r="AW119">
        <v>6.9999999999999994E-5</v>
      </c>
      <c r="AX119" t="s">
        <v>75</v>
      </c>
      <c r="AY119">
        <v>-1.56E-3</v>
      </c>
      <c r="AZ119" t="s">
        <v>75</v>
      </c>
      <c r="BC119">
        <v>-2.04684</v>
      </c>
      <c r="BD119" t="s">
        <v>75</v>
      </c>
      <c r="BE119">
        <v>3.1800000000000001E-3</v>
      </c>
      <c r="BF119" t="s">
        <v>75</v>
      </c>
      <c r="BG119">
        <v>-2.0899999999999998E-2</v>
      </c>
      <c r="BH119" t="s">
        <v>75</v>
      </c>
      <c r="BI119">
        <v>2.66E-3</v>
      </c>
      <c r="BJ119" t="s">
        <v>75</v>
      </c>
      <c r="BK119">
        <v>-2.92E-2</v>
      </c>
      <c r="BL119" t="s">
        <v>75</v>
      </c>
      <c r="BM119">
        <v>-7.1500000000000001E-3</v>
      </c>
      <c r="BN119" t="s">
        <v>75</v>
      </c>
      <c r="BO119">
        <v>67.598529999999997</v>
      </c>
      <c r="BP119" t="s">
        <v>75</v>
      </c>
      <c r="BQ119">
        <v>2.2607499999999998</v>
      </c>
      <c r="BR119" t="s">
        <v>75</v>
      </c>
      <c r="BS119">
        <v>3.4411200000000002</v>
      </c>
      <c r="BT119" t="s">
        <v>75</v>
      </c>
      <c r="BU119">
        <v>4.1629399999999999</v>
      </c>
      <c r="BV119" t="s">
        <v>75</v>
      </c>
      <c r="BW119">
        <v>187.75042999999999</v>
      </c>
      <c r="BX119" t="s">
        <v>75</v>
      </c>
      <c r="BY119">
        <v>3.27135</v>
      </c>
      <c r="BZ119" t="s">
        <v>75</v>
      </c>
      <c r="CA119">
        <v>7.6851000000000003</v>
      </c>
      <c r="CB119" t="s">
        <v>75</v>
      </c>
      <c r="CC119">
        <v>4.3369999999999999E-2</v>
      </c>
      <c r="CD119" t="s">
        <v>75</v>
      </c>
      <c r="CE119">
        <v>5.3899999999999998E-3</v>
      </c>
      <c r="CF119" t="s">
        <v>75</v>
      </c>
      <c r="CG119">
        <v>0.61748000000000003</v>
      </c>
      <c r="CH119" t="s">
        <v>75</v>
      </c>
      <c r="CI119">
        <v>3.7109999999999997E-2</v>
      </c>
      <c r="CJ119" t="s">
        <v>75</v>
      </c>
      <c r="CK119">
        <v>4.7662000000000004</v>
      </c>
      <c r="CL119" t="s">
        <v>75</v>
      </c>
      <c r="CM119">
        <v>8.8800000000000007E-3</v>
      </c>
      <c r="CN119" t="s">
        <v>75</v>
      </c>
      <c r="CO119">
        <v>0.23980000000000001</v>
      </c>
      <c r="CP119" t="s">
        <v>75</v>
      </c>
      <c r="CQ119">
        <v>0.18684000000000001</v>
      </c>
      <c r="CR119" t="s">
        <v>75</v>
      </c>
      <c r="CS119">
        <v>1.26406</v>
      </c>
      <c r="CT119" t="s">
        <v>75</v>
      </c>
      <c r="CV119" t="s">
        <v>76</v>
      </c>
      <c r="CW119">
        <v>10.21475</v>
      </c>
      <c r="CX119" t="s">
        <v>75</v>
      </c>
      <c r="DA119">
        <v>55.412199999999999</v>
      </c>
      <c r="DB119" t="s">
        <v>75</v>
      </c>
      <c r="DC119">
        <v>-1.4999999999999999E-4</v>
      </c>
      <c r="DD119" t="s">
        <v>75</v>
      </c>
      <c r="DE119">
        <v>2.9479999999999999E-2</v>
      </c>
      <c r="DF119" t="s">
        <v>75</v>
      </c>
      <c r="DG119">
        <v>0.12359000000000001</v>
      </c>
      <c r="DH119" t="s">
        <v>75</v>
      </c>
      <c r="DI119">
        <v>1.22095</v>
      </c>
      <c r="DJ119" t="s">
        <v>75</v>
      </c>
      <c r="DL119" t="s">
        <v>76</v>
      </c>
      <c r="DN119" t="s">
        <v>76</v>
      </c>
      <c r="DO119">
        <v>9.9997399999999992</v>
      </c>
      <c r="DP119" t="s">
        <v>75</v>
      </c>
    </row>
    <row r="120" spans="1:121" x14ac:dyDescent="0.2">
      <c r="D120" t="s">
        <v>64</v>
      </c>
      <c r="G120">
        <v>2.6099999999999999E-3</v>
      </c>
      <c r="H120" t="s">
        <v>75</v>
      </c>
      <c r="I120">
        <v>2.9E-4</v>
      </c>
      <c r="J120" t="s">
        <v>75</v>
      </c>
      <c r="K120">
        <v>4.2000000000000002E-4</v>
      </c>
      <c r="L120" t="s">
        <v>75</v>
      </c>
      <c r="M120">
        <v>9.2000000000000003E-4</v>
      </c>
      <c r="N120" t="s">
        <v>75</v>
      </c>
      <c r="O120">
        <v>3.5E-4</v>
      </c>
      <c r="P120" t="s">
        <v>75</v>
      </c>
      <c r="Q120">
        <v>1.4599999999999999E-3</v>
      </c>
      <c r="R120" t="s">
        <v>75</v>
      </c>
      <c r="S120">
        <v>2.1000000000000001E-4</v>
      </c>
      <c r="T120" t="s">
        <v>75</v>
      </c>
      <c r="U120">
        <v>6.4000000000000005E-4</v>
      </c>
      <c r="V120" t="s">
        <v>75</v>
      </c>
      <c r="W120">
        <v>2.5999999999999998E-4</v>
      </c>
      <c r="X120" t="s">
        <v>75</v>
      </c>
      <c r="Y120">
        <v>9.1E-4</v>
      </c>
      <c r="Z120" t="s">
        <v>75</v>
      </c>
      <c r="AC120">
        <v>0.17602000000000001</v>
      </c>
      <c r="AD120" t="s">
        <v>75</v>
      </c>
      <c r="AE120">
        <v>1.17E-3</v>
      </c>
      <c r="AF120" t="s">
        <v>75</v>
      </c>
      <c r="AG120">
        <v>1.2999999999999999E-4</v>
      </c>
      <c r="AH120" t="s">
        <v>75</v>
      </c>
      <c r="AI120">
        <v>4.2199999999999998E-3</v>
      </c>
      <c r="AJ120" t="s">
        <v>75</v>
      </c>
      <c r="AK120">
        <v>2.1000000000000001E-4</v>
      </c>
      <c r="AL120" t="s">
        <v>75</v>
      </c>
      <c r="AM120">
        <v>1.6000000000000001E-4</v>
      </c>
      <c r="AN120" t="s">
        <v>75</v>
      </c>
      <c r="AO120">
        <v>5.4000000000000001E-4</v>
      </c>
      <c r="AP120" t="s">
        <v>75</v>
      </c>
      <c r="AQ120">
        <v>2.0000000000000001E-4</v>
      </c>
      <c r="AR120" t="s">
        <v>75</v>
      </c>
      <c r="AS120">
        <v>3.2000000000000003E-4</v>
      </c>
      <c r="AT120" t="s">
        <v>75</v>
      </c>
      <c r="AU120">
        <v>2.2000000000000001E-4</v>
      </c>
      <c r="AV120" t="s">
        <v>75</v>
      </c>
      <c r="AW120">
        <v>5.1000000000000004E-4</v>
      </c>
      <c r="AX120" t="s">
        <v>75</v>
      </c>
      <c r="AY120">
        <v>2.7999999999999998E-4</v>
      </c>
      <c r="AZ120" t="s">
        <v>75</v>
      </c>
      <c r="BC120">
        <v>5.1999999999999995E-4</v>
      </c>
      <c r="BD120" t="s">
        <v>75</v>
      </c>
      <c r="BE120">
        <v>2.7999999999999998E-4</v>
      </c>
      <c r="BF120" t="s">
        <v>75</v>
      </c>
      <c r="BG120">
        <v>7.9000000000000001E-4</v>
      </c>
      <c r="BH120" t="s">
        <v>75</v>
      </c>
      <c r="BI120">
        <v>1.1E-4</v>
      </c>
      <c r="BJ120" t="s">
        <v>75</v>
      </c>
      <c r="BK120">
        <v>6.6E-4</v>
      </c>
      <c r="BL120" t="s">
        <v>75</v>
      </c>
      <c r="BM120">
        <v>3.2000000000000003E-4</v>
      </c>
      <c r="BN120" t="s">
        <v>75</v>
      </c>
      <c r="BO120">
        <v>2.25238</v>
      </c>
      <c r="BP120" t="s">
        <v>75</v>
      </c>
      <c r="BQ120">
        <v>5.9089999999999997E-2</v>
      </c>
      <c r="BR120" t="s">
        <v>75</v>
      </c>
      <c r="BS120">
        <v>0.12464</v>
      </c>
      <c r="BT120" t="s">
        <v>75</v>
      </c>
      <c r="BU120">
        <v>0.22747999999999999</v>
      </c>
      <c r="BV120" t="s">
        <v>75</v>
      </c>
      <c r="BW120">
        <v>3.1654900000000001</v>
      </c>
      <c r="BX120" t="s">
        <v>75</v>
      </c>
      <c r="BY120">
        <v>0.29165999999999997</v>
      </c>
      <c r="BZ120" t="s">
        <v>75</v>
      </c>
      <c r="CA120">
        <v>0.28716000000000003</v>
      </c>
      <c r="CB120" t="s">
        <v>75</v>
      </c>
      <c r="CC120">
        <v>1.204E-2</v>
      </c>
      <c r="CD120" t="s">
        <v>75</v>
      </c>
      <c r="CE120">
        <v>1.24E-3</v>
      </c>
      <c r="CF120" t="s">
        <v>75</v>
      </c>
      <c r="CG120">
        <v>1.8669999999999999E-2</v>
      </c>
      <c r="CH120" t="s">
        <v>75</v>
      </c>
      <c r="CI120">
        <v>2.64E-3</v>
      </c>
      <c r="CJ120" t="s">
        <v>75</v>
      </c>
      <c r="CK120">
        <v>0.19152</v>
      </c>
      <c r="CL120" t="s">
        <v>75</v>
      </c>
      <c r="CM120">
        <v>8.1999999999999998E-4</v>
      </c>
      <c r="CN120" t="s">
        <v>75</v>
      </c>
      <c r="CO120">
        <v>1.401E-2</v>
      </c>
      <c r="CP120" t="s">
        <v>75</v>
      </c>
      <c r="CQ120">
        <v>1.1560000000000001E-2</v>
      </c>
      <c r="CR120" t="s">
        <v>75</v>
      </c>
      <c r="CS120">
        <v>5.1369999999999999E-2</v>
      </c>
      <c r="CT120" t="s">
        <v>75</v>
      </c>
      <c r="CW120">
        <v>0.34177999999999997</v>
      </c>
      <c r="CX120" t="s">
        <v>75</v>
      </c>
      <c r="DA120">
        <v>0.54203999999999997</v>
      </c>
      <c r="DB120" t="s">
        <v>75</v>
      </c>
      <c r="DC120">
        <v>1.06E-3</v>
      </c>
      <c r="DD120" t="s">
        <v>75</v>
      </c>
      <c r="DE120">
        <v>3.3899999999999998E-3</v>
      </c>
      <c r="DF120" t="s">
        <v>75</v>
      </c>
      <c r="DG120">
        <v>8.4029999999999994E-2</v>
      </c>
      <c r="DH120" t="s">
        <v>75</v>
      </c>
      <c r="DI120">
        <v>0.16964000000000001</v>
      </c>
      <c r="DJ120" t="s">
        <v>75</v>
      </c>
      <c r="DO120">
        <v>0.33489000000000002</v>
      </c>
      <c r="DP120" t="s">
        <v>75</v>
      </c>
    </row>
    <row r="121" spans="1:121" x14ac:dyDescent="0.2">
      <c r="D121" t="s">
        <v>65</v>
      </c>
      <c r="G121" t="s">
        <v>66</v>
      </c>
      <c r="I121" t="s">
        <v>66</v>
      </c>
      <c r="K121" t="s">
        <v>66</v>
      </c>
      <c r="M121" t="s">
        <v>66</v>
      </c>
      <c r="O121" t="s">
        <v>66</v>
      </c>
      <c r="Q121" t="s">
        <v>66</v>
      </c>
      <c r="S121" t="s">
        <v>66</v>
      </c>
      <c r="U121" t="s">
        <v>66</v>
      </c>
      <c r="W121" t="s">
        <v>66</v>
      </c>
      <c r="Y121" t="s">
        <v>66</v>
      </c>
      <c r="AA121" t="s">
        <v>66</v>
      </c>
      <c r="AC121" t="s">
        <v>66</v>
      </c>
      <c r="AE121" t="s">
        <v>66</v>
      </c>
      <c r="AG121" t="s">
        <v>66</v>
      </c>
      <c r="AI121" t="s">
        <v>66</v>
      </c>
      <c r="AK121" t="s">
        <v>66</v>
      </c>
      <c r="AM121" t="s">
        <v>66</v>
      </c>
      <c r="AO121" t="s">
        <v>66</v>
      </c>
      <c r="AQ121" t="s">
        <v>66</v>
      </c>
      <c r="AS121" t="s">
        <v>66</v>
      </c>
      <c r="AU121" t="s">
        <v>66</v>
      </c>
      <c r="AW121" t="s">
        <v>66</v>
      </c>
      <c r="AY121" t="s">
        <v>66</v>
      </c>
      <c r="BA121" t="s">
        <v>66</v>
      </c>
      <c r="BC121" t="s">
        <v>66</v>
      </c>
      <c r="BE121" t="s">
        <v>66</v>
      </c>
      <c r="BG121" t="s">
        <v>66</v>
      </c>
      <c r="BI121" t="s">
        <v>66</v>
      </c>
      <c r="BK121" t="s">
        <v>66</v>
      </c>
      <c r="BM121" t="s">
        <v>66</v>
      </c>
      <c r="BO121" t="s">
        <v>66</v>
      </c>
      <c r="BQ121" t="s">
        <v>66</v>
      </c>
      <c r="BS121" t="s">
        <v>66</v>
      </c>
      <c r="BU121" t="s">
        <v>66</v>
      </c>
      <c r="BW121" t="s">
        <v>66</v>
      </c>
      <c r="BY121" t="s">
        <v>66</v>
      </c>
      <c r="CA121" t="s">
        <v>66</v>
      </c>
      <c r="CC121" t="s">
        <v>66</v>
      </c>
      <c r="CE121" t="s">
        <v>66</v>
      </c>
      <c r="CG121" t="s">
        <v>66</v>
      </c>
      <c r="CI121" t="s">
        <v>66</v>
      </c>
      <c r="CK121" t="s">
        <v>66</v>
      </c>
      <c r="CM121" t="s">
        <v>66</v>
      </c>
      <c r="CO121" t="s">
        <v>66</v>
      </c>
      <c r="CQ121" t="s">
        <v>66</v>
      </c>
      <c r="CS121" t="s">
        <v>66</v>
      </c>
      <c r="CU121" t="s">
        <v>66</v>
      </c>
      <c r="CW121" t="s">
        <v>66</v>
      </c>
      <c r="CY121" t="s">
        <v>66</v>
      </c>
      <c r="DA121" t="s">
        <v>66</v>
      </c>
      <c r="DC121" t="s">
        <v>66</v>
      </c>
      <c r="DE121" t="s">
        <v>66</v>
      </c>
      <c r="DG121" t="s">
        <v>66</v>
      </c>
      <c r="DI121" t="s">
        <v>66</v>
      </c>
      <c r="DK121" t="s">
        <v>66</v>
      </c>
      <c r="DM121" t="s">
        <v>66</v>
      </c>
      <c r="DO121" t="s">
        <v>66</v>
      </c>
      <c r="DQ121" t="s">
        <v>66</v>
      </c>
    </row>
    <row r="122" spans="1:121" x14ac:dyDescent="0.2">
      <c r="A122" t="s">
        <v>594</v>
      </c>
      <c r="D122" t="s">
        <v>60</v>
      </c>
      <c r="E122" t="s">
        <v>61</v>
      </c>
      <c r="G122">
        <v>9979.7000000000007</v>
      </c>
      <c r="I122">
        <v>636.29999999999995</v>
      </c>
      <c r="K122">
        <v>10033.299999999999</v>
      </c>
      <c r="M122">
        <v>63016.9</v>
      </c>
      <c r="O122">
        <v>1171.5999999999999</v>
      </c>
      <c r="Q122">
        <v>4947.8999999999996</v>
      </c>
      <c r="S122">
        <v>1965.1</v>
      </c>
      <c r="U122">
        <v>1640.8</v>
      </c>
      <c r="W122">
        <v>2257.1</v>
      </c>
      <c r="Y122">
        <v>429.2</v>
      </c>
      <c r="AA122">
        <v>2855325.7</v>
      </c>
      <c r="AC122">
        <v>768024.8</v>
      </c>
      <c r="AE122">
        <v>17614.400000000001</v>
      </c>
      <c r="AG122">
        <v>11017.1</v>
      </c>
      <c r="AI122">
        <v>28065.1</v>
      </c>
      <c r="AK122">
        <v>1467.7</v>
      </c>
      <c r="AM122">
        <v>2496</v>
      </c>
      <c r="AO122">
        <v>256.3</v>
      </c>
      <c r="AQ122">
        <v>101</v>
      </c>
      <c r="AS122">
        <v>487.6</v>
      </c>
      <c r="AU122">
        <v>238.6</v>
      </c>
      <c r="AW122">
        <v>162.5</v>
      </c>
      <c r="AY122">
        <v>2183.1</v>
      </c>
      <c r="BA122">
        <v>655143.6</v>
      </c>
      <c r="BC122">
        <v>3955</v>
      </c>
      <c r="BE122">
        <v>239.6</v>
      </c>
      <c r="BG122">
        <v>8370.2999999999993</v>
      </c>
      <c r="BI122">
        <v>7565</v>
      </c>
      <c r="BK122">
        <v>18023.400000000001</v>
      </c>
      <c r="BM122">
        <v>2552.1999999999998</v>
      </c>
      <c r="BO122">
        <v>811125.9</v>
      </c>
      <c r="BQ122">
        <v>70896.100000000006</v>
      </c>
      <c r="BS122">
        <v>113298.8</v>
      </c>
      <c r="BU122">
        <v>557493.6</v>
      </c>
      <c r="BW122">
        <v>100417.60000000001</v>
      </c>
      <c r="BY122">
        <v>81052.899999999994</v>
      </c>
      <c r="CA122">
        <v>26294.799999999999</v>
      </c>
      <c r="CC122">
        <v>296.3</v>
      </c>
      <c r="CE122">
        <v>342.6</v>
      </c>
      <c r="CG122">
        <v>12713.8</v>
      </c>
      <c r="CI122">
        <v>5855.4</v>
      </c>
      <c r="CK122">
        <v>219911</v>
      </c>
      <c r="CM122">
        <v>2886</v>
      </c>
      <c r="CO122">
        <v>11359.8</v>
      </c>
      <c r="CQ122">
        <v>21953.1</v>
      </c>
      <c r="CS122">
        <v>5151.7</v>
      </c>
      <c r="CU122">
        <v>242893.8</v>
      </c>
      <c r="CW122">
        <v>76796.800000000003</v>
      </c>
      <c r="CY122">
        <v>56229.4</v>
      </c>
      <c r="DA122">
        <v>260016.7</v>
      </c>
      <c r="DC122">
        <v>2.2000000000000002</v>
      </c>
      <c r="DE122">
        <v>79.599999999999994</v>
      </c>
      <c r="DG122">
        <v>46.6</v>
      </c>
      <c r="DI122">
        <v>1670.6</v>
      </c>
      <c r="DK122">
        <v>834.1</v>
      </c>
      <c r="DM122">
        <v>75467.8</v>
      </c>
      <c r="DO122">
        <v>22053.7</v>
      </c>
      <c r="DQ122">
        <v>16785.099999999999</v>
      </c>
    </row>
    <row r="123" spans="1:121" x14ac:dyDescent="0.2">
      <c r="D123" t="s">
        <v>62</v>
      </c>
      <c r="E123" t="s">
        <v>61</v>
      </c>
      <c r="G123">
        <v>360.8</v>
      </c>
      <c r="I123">
        <v>41.7</v>
      </c>
      <c r="K123">
        <v>352.8</v>
      </c>
      <c r="M123">
        <v>150.80000000000001</v>
      </c>
      <c r="O123">
        <v>62.1</v>
      </c>
      <c r="Q123">
        <v>156.6</v>
      </c>
      <c r="S123">
        <v>87.3</v>
      </c>
      <c r="U123">
        <v>78.3</v>
      </c>
      <c r="W123">
        <v>151.9</v>
      </c>
      <c r="Y123">
        <v>39.700000000000003</v>
      </c>
      <c r="AA123">
        <v>91377.1</v>
      </c>
      <c r="AC123">
        <v>21925.8</v>
      </c>
      <c r="AE123">
        <v>534.6</v>
      </c>
      <c r="AG123">
        <v>277.10000000000002</v>
      </c>
      <c r="AI123">
        <v>404.1</v>
      </c>
      <c r="AK123">
        <v>68.099999999999994</v>
      </c>
      <c r="AM123">
        <v>62.8</v>
      </c>
      <c r="AO123">
        <v>6.2</v>
      </c>
      <c r="AQ123">
        <v>21.9</v>
      </c>
      <c r="AS123">
        <v>126.9</v>
      </c>
      <c r="AU123">
        <v>51.6</v>
      </c>
      <c r="AW123">
        <v>30.8</v>
      </c>
      <c r="AY123">
        <v>25</v>
      </c>
      <c r="BA123">
        <v>11110.8</v>
      </c>
      <c r="BC123">
        <v>332.9</v>
      </c>
      <c r="BE123">
        <v>73.3</v>
      </c>
      <c r="BG123">
        <v>223.2</v>
      </c>
      <c r="BI123">
        <v>222.8</v>
      </c>
      <c r="BK123">
        <v>391.8</v>
      </c>
      <c r="BM123">
        <v>45.4</v>
      </c>
      <c r="BO123">
        <v>3112.2</v>
      </c>
      <c r="BQ123">
        <v>298.10000000000002</v>
      </c>
      <c r="BS123">
        <v>1852.4</v>
      </c>
      <c r="BU123">
        <v>3127.3</v>
      </c>
      <c r="BW123">
        <v>992</v>
      </c>
      <c r="BY123">
        <v>826.5</v>
      </c>
      <c r="CA123">
        <v>163.69999999999999</v>
      </c>
      <c r="CC123">
        <v>20.5</v>
      </c>
      <c r="CE123">
        <v>9.6999999999999993</v>
      </c>
      <c r="CG123">
        <v>473.9</v>
      </c>
      <c r="CI123">
        <v>188.7</v>
      </c>
      <c r="CK123">
        <v>3602.2</v>
      </c>
      <c r="CM123">
        <v>148.9</v>
      </c>
      <c r="CO123">
        <v>220.1</v>
      </c>
      <c r="CQ123">
        <v>603.79999999999995</v>
      </c>
      <c r="CS123">
        <v>317.5</v>
      </c>
      <c r="CU123">
        <v>3715.2</v>
      </c>
      <c r="CW123">
        <v>594.4</v>
      </c>
      <c r="CY123">
        <v>447.5</v>
      </c>
      <c r="DA123">
        <v>4242.2</v>
      </c>
      <c r="DC123">
        <v>0.5</v>
      </c>
      <c r="DE123">
        <v>12.9</v>
      </c>
      <c r="DG123">
        <v>9.4</v>
      </c>
      <c r="DI123">
        <v>73.900000000000006</v>
      </c>
      <c r="DK123">
        <v>36.200000000000003</v>
      </c>
      <c r="DM123">
        <v>737.6</v>
      </c>
      <c r="DO123">
        <v>129.1</v>
      </c>
      <c r="DQ123">
        <v>390.4</v>
      </c>
    </row>
    <row r="124" spans="1:121" x14ac:dyDescent="0.2">
      <c r="D124" t="s">
        <v>63</v>
      </c>
      <c r="G124">
        <v>4.7649999999999998E-2</v>
      </c>
      <c r="H124" t="s">
        <v>75</v>
      </c>
      <c r="I124">
        <v>1.034E-2</v>
      </c>
      <c r="J124" t="s">
        <v>75</v>
      </c>
      <c r="K124">
        <v>9.7199999999999995E-3</v>
      </c>
      <c r="L124" t="s">
        <v>75</v>
      </c>
      <c r="M124">
        <v>3.2050000000000002E-2</v>
      </c>
      <c r="N124" t="s">
        <v>75</v>
      </c>
      <c r="O124">
        <v>3.9399999999999999E-3</v>
      </c>
      <c r="P124" t="s">
        <v>75</v>
      </c>
      <c r="Q124">
        <v>5.4059999999999997E-2</v>
      </c>
      <c r="R124" t="s">
        <v>75</v>
      </c>
      <c r="S124">
        <v>1.09E-3</v>
      </c>
      <c r="T124" t="s">
        <v>75</v>
      </c>
      <c r="U124">
        <v>1.2670000000000001E-2</v>
      </c>
      <c r="V124" t="s">
        <v>75</v>
      </c>
      <c r="W124">
        <v>8.5100000000000002E-3</v>
      </c>
      <c r="X124" t="s">
        <v>75</v>
      </c>
      <c r="Y124">
        <v>6.6E-3</v>
      </c>
      <c r="Z124" t="s">
        <v>75</v>
      </c>
      <c r="AB124" t="s">
        <v>76</v>
      </c>
      <c r="AC124">
        <v>2.8694000000000002</v>
      </c>
      <c r="AD124" t="s">
        <v>75</v>
      </c>
      <c r="AE124">
        <v>0.10749</v>
      </c>
      <c r="AF124" t="s">
        <v>75</v>
      </c>
      <c r="AG124">
        <v>-7.4099999999999999E-3</v>
      </c>
      <c r="AH124" t="s">
        <v>75</v>
      </c>
      <c r="AI124">
        <v>0.18356</v>
      </c>
      <c r="AJ124" t="s">
        <v>75</v>
      </c>
      <c r="AK124">
        <v>-1.1000000000000001E-3</v>
      </c>
      <c r="AL124" t="s">
        <v>75</v>
      </c>
      <c r="AM124">
        <v>-3.7499999999999999E-3</v>
      </c>
      <c r="AN124" t="s">
        <v>75</v>
      </c>
      <c r="AO124">
        <v>2.3999999999999998E-3</v>
      </c>
      <c r="AP124" t="s">
        <v>75</v>
      </c>
      <c r="AQ124">
        <v>-5.1000000000000004E-4</v>
      </c>
      <c r="AR124" t="s">
        <v>75</v>
      </c>
      <c r="AS124">
        <v>1.2099999999999999E-3</v>
      </c>
      <c r="AT124" t="s">
        <v>75</v>
      </c>
      <c r="AU124">
        <v>1.5100000000000001E-3</v>
      </c>
      <c r="AV124" t="s">
        <v>75</v>
      </c>
      <c r="AW124">
        <v>-3.8999999999999999E-4</v>
      </c>
      <c r="AX124" t="s">
        <v>75</v>
      </c>
      <c r="AY124">
        <v>-3.0699999999999998E-3</v>
      </c>
      <c r="AZ124" t="s">
        <v>75</v>
      </c>
      <c r="BC124">
        <v>-2.0476700000000001</v>
      </c>
      <c r="BD124" t="s">
        <v>75</v>
      </c>
      <c r="BE124">
        <v>2.81E-3</v>
      </c>
      <c r="BF124" t="s">
        <v>75</v>
      </c>
      <c r="BG124">
        <v>-1.3899999999999999E-2</v>
      </c>
      <c r="BH124" t="s">
        <v>75</v>
      </c>
      <c r="BI124">
        <v>9.75E-3</v>
      </c>
      <c r="BJ124" t="s">
        <v>75</v>
      </c>
      <c r="BK124">
        <v>-2.214E-2</v>
      </c>
      <c r="BL124" t="s">
        <v>75</v>
      </c>
      <c r="BM124">
        <v>-7.5100000000000002E-3</v>
      </c>
      <c r="BN124" t="s">
        <v>75</v>
      </c>
      <c r="BO124">
        <v>17.25883</v>
      </c>
      <c r="BP124" t="s">
        <v>75</v>
      </c>
      <c r="BQ124">
        <v>2.12459</v>
      </c>
      <c r="BR124" t="s">
        <v>75</v>
      </c>
      <c r="BS124">
        <v>2.2329500000000002</v>
      </c>
      <c r="BT124" t="s">
        <v>75</v>
      </c>
      <c r="BU124">
        <v>3.97803</v>
      </c>
      <c r="BV124" t="s">
        <v>75</v>
      </c>
      <c r="BW124">
        <v>44.948009999999996</v>
      </c>
      <c r="BX124" t="s">
        <v>75</v>
      </c>
      <c r="BY124">
        <v>16.01557</v>
      </c>
      <c r="BZ124" t="s">
        <v>75</v>
      </c>
      <c r="CA124">
        <v>11.333410000000001</v>
      </c>
      <c r="CB124" t="s">
        <v>75</v>
      </c>
      <c r="CC124">
        <v>5.2769999999999997E-2</v>
      </c>
      <c r="CD124" t="s">
        <v>75</v>
      </c>
      <c r="CE124">
        <v>3.7699999999999999E-3</v>
      </c>
      <c r="CF124" t="s">
        <v>75</v>
      </c>
      <c r="CG124">
        <v>0.21246000000000001</v>
      </c>
      <c r="CH124" t="s">
        <v>75</v>
      </c>
      <c r="CI124">
        <v>5.2290000000000003E-2</v>
      </c>
      <c r="CJ124" t="s">
        <v>75</v>
      </c>
      <c r="CK124">
        <v>2.9724599999999999</v>
      </c>
      <c r="CL124" t="s">
        <v>75</v>
      </c>
      <c r="CM124">
        <v>3.6479999999999999E-2</v>
      </c>
      <c r="CN124" t="s">
        <v>75</v>
      </c>
      <c r="CO124">
        <v>0.69142999999999999</v>
      </c>
      <c r="CP124" t="s">
        <v>75</v>
      </c>
      <c r="CQ124">
        <v>0.67688000000000004</v>
      </c>
      <c r="CR124" t="s">
        <v>75</v>
      </c>
      <c r="CS124">
        <v>1.33033</v>
      </c>
      <c r="CT124" t="s">
        <v>75</v>
      </c>
      <c r="CV124" t="s">
        <v>76</v>
      </c>
      <c r="CW124">
        <v>2.99756</v>
      </c>
      <c r="CX124" t="s">
        <v>75</v>
      </c>
      <c r="DA124">
        <v>14.83344</v>
      </c>
      <c r="DB124" t="s">
        <v>75</v>
      </c>
      <c r="DC124">
        <v>-1.2E-4</v>
      </c>
      <c r="DD124" t="s">
        <v>75</v>
      </c>
      <c r="DE124">
        <v>1.669E-2</v>
      </c>
      <c r="DF124" t="s">
        <v>75</v>
      </c>
      <c r="DG124">
        <v>0.1764</v>
      </c>
      <c r="DH124" t="s">
        <v>75</v>
      </c>
      <c r="DI124">
        <v>2.4059200000000001</v>
      </c>
      <c r="DJ124" t="s">
        <v>75</v>
      </c>
      <c r="DL124" t="s">
        <v>76</v>
      </c>
      <c r="DN124" t="s">
        <v>76</v>
      </c>
      <c r="DO124">
        <v>3.1622400000000002</v>
      </c>
      <c r="DP124" t="s">
        <v>75</v>
      </c>
    </row>
    <row r="125" spans="1:121" x14ac:dyDescent="0.2">
      <c r="D125" t="s">
        <v>64</v>
      </c>
      <c r="G125">
        <v>1.8799999999999999E-3</v>
      </c>
      <c r="H125" t="s">
        <v>75</v>
      </c>
      <c r="I125">
        <v>1.1299999999999999E-3</v>
      </c>
      <c r="J125" t="s">
        <v>75</v>
      </c>
      <c r="K125">
        <v>2.5999999999999998E-4</v>
      </c>
      <c r="L125" t="s">
        <v>75</v>
      </c>
      <c r="M125">
        <v>1.25E-3</v>
      </c>
      <c r="N125" t="s">
        <v>75</v>
      </c>
      <c r="O125">
        <v>5.0000000000000002E-5</v>
      </c>
      <c r="P125" t="s">
        <v>75</v>
      </c>
      <c r="Q125">
        <v>1E-3</v>
      </c>
      <c r="R125" t="s">
        <v>75</v>
      </c>
      <c r="S125">
        <v>6.0000000000000002E-5</v>
      </c>
      <c r="T125" t="s">
        <v>75</v>
      </c>
      <c r="U125">
        <v>2.9999999999999997E-4</v>
      </c>
      <c r="V125" t="s">
        <v>75</v>
      </c>
      <c r="W125">
        <v>4.0999999999999999E-4</v>
      </c>
      <c r="X125" t="s">
        <v>75</v>
      </c>
      <c r="Y125">
        <v>6.7000000000000002E-4</v>
      </c>
      <c r="Z125" t="s">
        <v>75</v>
      </c>
      <c r="AC125">
        <v>9.6009999999999998E-2</v>
      </c>
      <c r="AD125" t="s">
        <v>75</v>
      </c>
      <c r="AE125">
        <v>2.1800000000000001E-3</v>
      </c>
      <c r="AF125" t="s">
        <v>75</v>
      </c>
      <c r="AG125">
        <v>2.1000000000000001E-4</v>
      </c>
      <c r="AH125" t="s">
        <v>75</v>
      </c>
      <c r="AI125">
        <v>1.8799999999999999E-3</v>
      </c>
      <c r="AJ125" t="s">
        <v>75</v>
      </c>
      <c r="AK125">
        <v>4.0000000000000003E-5</v>
      </c>
      <c r="AL125" t="s">
        <v>75</v>
      </c>
      <c r="AM125">
        <v>5.0000000000000002E-5</v>
      </c>
      <c r="AN125" t="s">
        <v>75</v>
      </c>
      <c r="AO125">
        <v>3.0000000000000001E-5</v>
      </c>
      <c r="AP125" t="s">
        <v>75</v>
      </c>
      <c r="AQ125">
        <v>9.0000000000000006E-5</v>
      </c>
      <c r="AR125" t="s">
        <v>75</v>
      </c>
      <c r="AS125">
        <v>5.9999999999999995E-4</v>
      </c>
      <c r="AT125" t="s">
        <v>75</v>
      </c>
      <c r="AU125">
        <v>4.0000000000000003E-5</v>
      </c>
      <c r="AV125" t="s">
        <v>75</v>
      </c>
      <c r="AW125">
        <v>8.0000000000000007E-5</v>
      </c>
      <c r="AX125" t="s">
        <v>75</v>
      </c>
      <c r="AY125">
        <v>6.0000000000000002E-5</v>
      </c>
      <c r="AZ125" t="s">
        <v>75</v>
      </c>
      <c r="BC125">
        <v>8.1999999999999998E-4</v>
      </c>
      <c r="BD125" t="s">
        <v>75</v>
      </c>
      <c r="BE125">
        <v>6.9999999999999994E-5</v>
      </c>
      <c r="BF125" t="s">
        <v>75</v>
      </c>
      <c r="BG125">
        <v>8.4000000000000003E-4</v>
      </c>
      <c r="BH125" t="s">
        <v>75</v>
      </c>
      <c r="BI125">
        <v>8.8999999999999995E-4</v>
      </c>
      <c r="BJ125" t="s">
        <v>75</v>
      </c>
      <c r="BK125">
        <v>6.6E-4</v>
      </c>
      <c r="BL125" t="s">
        <v>75</v>
      </c>
      <c r="BM125">
        <v>8.0000000000000007E-5</v>
      </c>
      <c r="BN125" t="s">
        <v>75</v>
      </c>
      <c r="BO125">
        <v>9.2969999999999997E-2</v>
      </c>
      <c r="BP125" t="s">
        <v>75</v>
      </c>
      <c r="BQ125">
        <v>1.0290000000000001E-2</v>
      </c>
      <c r="BR125" t="s">
        <v>75</v>
      </c>
      <c r="BS125">
        <v>5.4859999999999999E-2</v>
      </c>
      <c r="BT125" t="s">
        <v>75</v>
      </c>
      <c r="BU125">
        <v>0.20294000000000001</v>
      </c>
      <c r="BV125" t="s">
        <v>75</v>
      </c>
      <c r="BW125">
        <v>0.57430999999999999</v>
      </c>
      <c r="BX125" t="s">
        <v>75</v>
      </c>
      <c r="BY125">
        <v>0.37630999999999998</v>
      </c>
      <c r="BZ125" t="s">
        <v>75</v>
      </c>
      <c r="CA125">
        <v>9.5740000000000006E-2</v>
      </c>
      <c r="CB125" t="s">
        <v>75</v>
      </c>
      <c r="CC125">
        <v>4.4299999999999999E-3</v>
      </c>
      <c r="CD125" t="s">
        <v>75</v>
      </c>
      <c r="CE125">
        <v>1.1E-4</v>
      </c>
      <c r="CF125" t="s">
        <v>75</v>
      </c>
      <c r="CG125">
        <v>1.0189999999999999E-2</v>
      </c>
      <c r="CH125" t="s">
        <v>75</v>
      </c>
      <c r="CI125">
        <v>2.1800000000000001E-3</v>
      </c>
      <c r="CJ125" t="s">
        <v>75</v>
      </c>
      <c r="CK125">
        <v>7.9640000000000002E-2</v>
      </c>
      <c r="CL125" t="s">
        <v>75</v>
      </c>
      <c r="CM125">
        <v>2.4299999999999999E-3</v>
      </c>
      <c r="CN125" t="s">
        <v>75</v>
      </c>
      <c r="CO125">
        <v>9.9799999999999993E-3</v>
      </c>
      <c r="CP125" t="s">
        <v>75</v>
      </c>
      <c r="CQ125">
        <v>2.4039999999999999E-2</v>
      </c>
      <c r="CR125" t="s">
        <v>75</v>
      </c>
      <c r="CS125">
        <v>9.5259999999999997E-2</v>
      </c>
      <c r="CT125" t="s">
        <v>75</v>
      </c>
      <c r="CW125">
        <v>4.759E-2</v>
      </c>
      <c r="CX125" t="s">
        <v>75</v>
      </c>
      <c r="DA125">
        <v>0.42177999999999999</v>
      </c>
      <c r="DB125" t="s">
        <v>75</v>
      </c>
      <c r="DC125">
        <v>2.2000000000000001E-4</v>
      </c>
      <c r="DD125" t="s">
        <v>75</v>
      </c>
      <c r="DE125">
        <v>5.4599999999999996E-3</v>
      </c>
      <c r="DF125" t="s">
        <v>75</v>
      </c>
      <c r="DG125">
        <v>4.8869999999999997E-2</v>
      </c>
      <c r="DH125" t="s">
        <v>75</v>
      </c>
      <c r="DI125">
        <v>8.4680000000000005E-2</v>
      </c>
      <c r="DJ125" t="s">
        <v>75</v>
      </c>
      <c r="DO125">
        <v>9.3390000000000001E-2</v>
      </c>
      <c r="DP125" t="s">
        <v>75</v>
      </c>
    </row>
    <row r="126" spans="1:121" x14ac:dyDescent="0.2">
      <c r="D126" t="s">
        <v>65</v>
      </c>
      <c r="G126" t="s">
        <v>66</v>
      </c>
      <c r="I126" t="s">
        <v>66</v>
      </c>
      <c r="K126" t="s">
        <v>66</v>
      </c>
      <c r="M126" t="s">
        <v>66</v>
      </c>
      <c r="O126" t="s">
        <v>66</v>
      </c>
      <c r="Q126" t="s">
        <v>66</v>
      </c>
      <c r="S126" t="s">
        <v>66</v>
      </c>
      <c r="U126" t="s">
        <v>66</v>
      </c>
      <c r="W126" t="s">
        <v>66</v>
      </c>
      <c r="Y126" t="s">
        <v>66</v>
      </c>
      <c r="AA126" t="s">
        <v>66</v>
      </c>
      <c r="AC126" t="s">
        <v>66</v>
      </c>
      <c r="AE126" t="s">
        <v>66</v>
      </c>
      <c r="AG126" t="s">
        <v>66</v>
      </c>
      <c r="AI126" t="s">
        <v>66</v>
      </c>
      <c r="AK126" t="s">
        <v>66</v>
      </c>
      <c r="AM126" t="s">
        <v>66</v>
      </c>
      <c r="AO126" t="s">
        <v>66</v>
      </c>
      <c r="AQ126" t="s">
        <v>66</v>
      </c>
      <c r="AS126" t="s">
        <v>66</v>
      </c>
      <c r="AU126" t="s">
        <v>66</v>
      </c>
      <c r="AW126" t="s">
        <v>66</v>
      </c>
      <c r="AY126" t="s">
        <v>66</v>
      </c>
      <c r="BA126" t="s">
        <v>66</v>
      </c>
      <c r="BC126" t="s">
        <v>66</v>
      </c>
      <c r="BE126" t="s">
        <v>66</v>
      </c>
      <c r="BG126" t="s">
        <v>66</v>
      </c>
      <c r="BI126" t="s">
        <v>66</v>
      </c>
      <c r="BK126" t="s">
        <v>66</v>
      </c>
      <c r="BM126" t="s">
        <v>66</v>
      </c>
      <c r="BO126" t="s">
        <v>66</v>
      </c>
      <c r="BQ126" t="s">
        <v>66</v>
      </c>
      <c r="BS126" t="s">
        <v>66</v>
      </c>
      <c r="BU126" t="s">
        <v>66</v>
      </c>
      <c r="BW126" t="s">
        <v>66</v>
      </c>
      <c r="BY126" t="s">
        <v>66</v>
      </c>
      <c r="CA126" t="s">
        <v>66</v>
      </c>
      <c r="CC126" t="s">
        <v>66</v>
      </c>
      <c r="CE126" t="s">
        <v>66</v>
      </c>
      <c r="CG126" t="s">
        <v>66</v>
      </c>
      <c r="CI126" t="s">
        <v>66</v>
      </c>
      <c r="CK126" t="s">
        <v>66</v>
      </c>
      <c r="CM126" t="s">
        <v>66</v>
      </c>
      <c r="CO126" t="s">
        <v>66</v>
      </c>
      <c r="CQ126" t="s">
        <v>66</v>
      </c>
      <c r="CS126" t="s">
        <v>66</v>
      </c>
      <c r="CU126" t="s">
        <v>66</v>
      </c>
      <c r="CW126" t="s">
        <v>66</v>
      </c>
      <c r="CY126" t="s">
        <v>66</v>
      </c>
      <c r="DA126" t="s">
        <v>66</v>
      </c>
      <c r="DC126" t="s">
        <v>66</v>
      </c>
      <c r="DE126" t="s">
        <v>66</v>
      </c>
      <c r="DG126" t="s">
        <v>66</v>
      </c>
      <c r="DI126" t="s">
        <v>66</v>
      </c>
      <c r="DK126" t="s">
        <v>66</v>
      </c>
      <c r="DM126" t="s">
        <v>66</v>
      </c>
      <c r="DO126" t="s">
        <v>66</v>
      </c>
      <c r="DQ126" t="s">
        <v>66</v>
      </c>
    </row>
    <row r="127" spans="1:121" x14ac:dyDescent="0.2">
      <c r="A127" t="s">
        <v>595</v>
      </c>
      <c r="D127" t="s">
        <v>60</v>
      </c>
      <c r="E127" t="s">
        <v>61</v>
      </c>
      <c r="G127">
        <v>11322.4</v>
      </c>
      <c r="I127">
        <v>775.4</v>
      </c>
      <c r="K127">
        <v>31998.1</v>
      </c>
      <c r="M127">
        <v>85236</v>
      </c>
      <c r="O127">
        <v>3575.3</v>
      </c>
      <c r="Q127">
        <v>46949.3</v>
      </c>
      <c r="S127">
        <v>2430.1999999999998</v>
      </c>
      <c r="U127">
        <v>2376</v>
      </c>
      <c r="W127">
        <v>37361.199999999997</v>
      </c>
      <c r="Y127">
        <v>394.8</v>
      </c>
      <c r="AA127">
        <v>2952257.7</v>
      </c>
      <c r="AC127">
        <v>18409.599999999999</v>
      </c>
      <c r="AE127">
        <v>207716.9</v>
      </c>
      <c r="AG127">
        <v>9012.9</v>
      </c>
      <c r="AI127">
        <v>151618.1</v>
      </c>
      <c r="AK127">
        <v>5388.1</v>
      </c>
      <c r="AM127">
        <v>9357.1</v>
      </c>
      <c r="AO127">
        <v>1081.9000000000001</v>
      </c>
      <c r="AQ127">
        <v>281.3</v>
      </c>
      <c r="AS127">
        <v>611.6</v>
      </c>
      <c r="AU127">
        <v>534.5</v>
      </c>
      <c r="AW127">
        <v>387.6</v>
      </c>
      <c r="AY127">
        <v>11959.3</v>
      </c>
      <c r="BA127">
        <v>662654.80000000005</v>
      </c>
      <c r="BC127">
        <v>3781.8</v>
      </c>
      <c r="BE127">
        <v>548</v>
      </c>
      <c r="BG127">
        <v>564999.1</v>
      </c>
      <c r="BI127">
        <v>467718.8</v>
      </c>
      <c r="BK127">
        <v>1183446</v>
      </c>
      <c r="BM127">
        <v>1607307.3</v>
      </c>
      <c r="BO127">
        <v>2127515.2999999998</v>
      </c>
      <c r="BQ127">
        <v>86683.1</v>
      </c>
      <c r="BS127">
        <v>936227</v>
      </c>
      <c r="BU127">
        <v>649191.4</v>
      </c>
      <c r="BW127">
        <v>11232.6</v>
      </c>
      <c r="BY127">
        <v>39741.800000000003</v>
      </c>
      <c r="CA127">
        <v>23490</v>
      </c>
      <c r="CC127">
        <v>300</v>
      </c>
      <c r="CE127">
        <v>2276</v>
      </c>
      <c r="CG127">
        <v>812696.4</v>
      </c>
      <c r="CI127">
        <v>311911.90000000002</v>
      </c>
      <c r="CK127">
        <v>3055508.1</v>
      </c>
      <c r="CM127">
        <v>8958.9</v>
      </c>
      <c r="CO127">
        <v>148386</v>
      </c>
      <c r="CQ127">
        <v>483448.7</v>
      </c>
      <c r="CS127">
        <v>16195.1</v>
      </c>
      <c r="CU127">
        <v>254159.3</v>
      </c>
      <c r="CW127">
        <v>2091.5</v>
      </c>
      <c r="CY127">
        <v>57998</v>
      </c>
      <c r="DA127">
        <v>146535.9</v>
      </c>
      <c r="DC127">
        <v>6.5</v>
      </c>
      <c r="DE127">
        <v>15</v>
      </c>
      <c r="DG127">
        <v>29.3</v>
      </c>
      <c r="DI127">
        <v>1189.3</v>
      </c>
      <c r="DK127">
        <v>864.8</v>
      </c>
      <c r="DM127">
        <v>78178.899999999994</v>
      </c>
      <c r="DO127">
        <v>579.4</v>
      </c>
      <c r="DQ127">
        <v>17449.8</v>
      </c>
    </row>
    <row r="128" spans="1:121" x14ac:dyDescent="0.2">
      <c r="D128" t="s">
        <v>62</v>
      </c>
      <c r="E128" t="s">
        <v>61</v>
      </c>
      <c r="G128">
        <v>154.9</v>
      </c>
      <c r="I128">
        <v>84.7</v>
      </c>
      <c r="K128">
        <v>375.6</v>
      </c>
      <c r="M128">
        <v>368.1</v>
      </c>
      <c r="O128">
        <v>146.4</v>
      </c>
      <c r="Q128">
        <v>290.10000000000002</v>
      </c>
      <c r="S128">
        <v>214.7</v>
      </c>
      <c r="U128">
        <v>130.5</v>
      </c>
      <c r="W128">
        <v>498.2</v>
      </c>
      <c r="Y128">
        <v>32.5</v>
      </c>
      <c r="AA128">
        <v>19671.099999999999</v>
      </c>
      <c r="AC128">
        <v>569.4</v>
      </c>
      <c r="AE128">
        <v>1005.8</v>
      </c>
      <c r="AG128">
        <v>28.2</v>
      </c>
      <c r="AI128">
        <v>1269.5999999999999</v>
      </c>
      <c r="AK128">
        <v>156.69999999999999</v>
      </c>
      <c r="AM128">
        <v>259.89999999999998</v>
      </c>
      <c r="AO128">
        <v>37.9</v>
      </c>
      <c r="AQ128">
        <v>24.4</v>
      </c>
      <c r="AS128">
        <v>72.900000000000006</v>
      </c>
      <c r="AU128">
        <v>16.600000000000001</v>
      </c>
      <c r="AW128">
        <v>77</v>
      </c>
      <c r="AY128">
        <v>118.3</v>
      </c>
      <c r="BA128">
        <v>14644.4</v>
      </c>
      <c r="BC128">
        <v>89.1</v>
      </c>
      <c r="BE128">
        <v>72.400000000000006</v>
      </c>
      <c r="BG128">
        <v>5067.3</v>
      </c>
      <c r="BI128">
        <v>4804.7</v>
      </c>
      <c r="BK128">
        <v>4976.6000000000004</v>
      </c>
      <c r="BM128">
        <v>19856.3</v>
      </c>
      <c r="BO128">
        <v>13264.9</v>
      </c>
      <c r="BQ128">
        <v>1248.0999999999999</v>
      </c>
      <c r="BS128">
        <v>18567</v>
      </c>
      <c r="BU128">
        <v>7401.5</v>
      </c>
      <c r="BW128">
        <v>167.3</v>
      </c>
      <c r="BY128">
        <v>394.2</v>
      </c>
      <c r="CA128">
        <v>167.5</v>
      </c>
      <c r="CC128">
        <v>55.3</v>
      </c>
      <c r="CE128">
        <v>65.7</v>
      </c>
      <c r="CG128">
        <v>4646.2</v>
      </c>
      <c r="CI128">
        <v>705.6</v>
      </c>
      <c r="CK128">
        <v>14656.4</v>
      </c>
      <c r="CM128">
        <v>102.1</v>
      </c>
      <c r="CO128">
        <v>654.20000000000005</v>
      </c>
      <c r="CQ128">
        <v>11290.7</v>
      </c>
      <c r="CS128">
        <v>306.39999999999998</v>
      </c>
      <c r="CU128">
        <v>4771.3999999999996</v>
      </c>
      <c r="CW128">
        <v>36.299999999999997</v>
      </c>
      <c r="CY128">
        <v>914.9</v>
      </c>
      <c r="DA128">
        <v>1036.5</v>
      </c>
      <c r="DC128">
        <v>3.1</v>
      </c>
      <c r="DE128">
        <v>7.7</v>
      </c>
      <c r="DG128">
        <v>18</v>
      </c>
      <c r="DI128">
        <v>140.5</v>
      </c>
      <c r="DK128">
        <v>43.7</v>
      </c>
      <c r="DM128">
        <v>1128.9000000000001</v>
      </c>
      <c r="DO128">
        <v>28.5</v>
      </c>
      <c r="DQ128">
        <v>680.4</v>
      </c>
    </row>
    <row r="129" spans="1:121" x14ac:dyDescent="0.2">
      <c r="D129" t="s">
        <v>63</v>
      </c>
      <c r="G129">
        <v>5.7689999999999998E-2</v>
      </c>
      <c r="H129" t="s">
        <v>75</v>
      </c>
      <c r="I129">
        <v>1.507E-2</v>
      </c>
      <c r="J129" t="s">
        <v>75</v>
      </c>
      <c r="K129">
        <v>3.8159999999999999E-2</v>
      </c>
      <c r="L129" t="s">
        <v>75</v>
      </c>
      <c r="M129">
        <v>5.441E-2</v>
      </c>
      <c r="N129" t="s">
        <v>75</v>
      </c>
      <c r="O129">
        <v>5.9800000000000001E-3</v>
      </c>
      <c r="P129" t="s">
        <v>75</v>
      </c>
      <c r="Q129">
        <v>0.33118999999999998</v>
      </c>
      <c r="R129" t="s">
        <v>75</v>
      </c>
      <c r="S129">
        <v>1.48E-3</v>
      </c>
      <c r="T129" t="s">
        <v>75</v>
      </c>
      <c r="U129">
        <v>1.5699999999999999E-2</v>
      </c>
      <c r="V129" t="s">
        <v>75</v>
      </c>
      <c r="W129">
        <v>8.4659999999999999E-2</v>
      </c>
      <c r="X129" t="s">
        <v>75</v>
      </c>
      <c r="Y129">
        <v>5.9899999999999997E-3</v>
      </c>
      <c r="Z129" t="s">
        <v>75</v>
      </c>
      <c r="AB129" t="s">
        <v>76</v>
      </c>
      <c r="AC129">
        <v>0.10872</v>
      </c>
      <c r="AD129" t="s">
        <v>75</v>
      </c>
      <c r="AE129">
        <v>0.83535999999999999</v>
      </c>
      <c r="AF129" t="s">
        <v>75</v>
      </c>
      <c r="AG129">
        <v>-9.1199999999999996E-3</v>
      </c>
      <c r="AH129" t="s">
        <v>75</v>
      </c>
      <c r="AI129">
        <v>0.98080999999999996</v>
      </c>
      <c r="AJ129" t="s">
        <v>75</v>
      </c>
      <c r="AK129">
        <v>1.64E-3</v>
      </c>
      <c r="AL129" t="s">
        <v>75</v>
      </c>
      <c r="AM129">
        <v>1.5E-3</v>
      </c>
      <c r="AN129" t="s">
        <v>75</v>
      </c>
      <c r="AO129">
        <v>5.47E-3</v>
      </c>
      <c r="AP129" t="s">
        <v>75</v>
      </c>
      <c r="AQ129">
        <v>2.7999999999999998E-4</v>
      </c>
      <c r="AR129" t="s">
        <v>75</v>
      </c>
      <c r="AS129">
        <v>1.75E-3</v>
      </c>
      <c r="AT129" t="s">
        <v>75</v>
      </c>
      <c r="AU129">
        <v>1.7099999999999999E-3</v>
      </c>
      <c r="AV129" t="s">
        <v>75</v>
      </c>
      <c r="AW129">
        <v>1.6000000000000001E-4</v>
      </c>
      <c r="AX129" t="s">
        <v>75</v>
      </c>
      <c r="AY129">
        <v>2.913E-2</v>
      </c>
      <c r="AZ129" t="s">
        <v>75</v>
      </c>
      <c r="BC129">
        <v>-2.04833</v>
      </c>
      <c r="BD129" t="s">
        <v>75</v>
      </c>
      <c r="BE129">
        <v>3.1099999999999999E-3</v>
      </c>
      <c r="BF129" t="s">
        <v>75</v>
      </c>
      <c r="BG129">
        <v>1.6234900000000001</v>
      </c>
      <c r="BH129" t="s">
        <v>75</v>
      </c>
      <c r="BI129">
        <v>1.5657300000000001</v>
      </c>
      <c r="BJ129" t="s">
        <v>75</v>
      </c>
      <c r="BK129">
        <v>1.6209899999999999</v>
      </c>
      <c r="BL129" t="s">
        <v>75</v>
      </c>
      <c r="BM129">
        <v>1.5357000000000001</v>
      </c>
      <c r="BN129" t="s">
        <v>75</v>
      </c>
      <c r="BO129">
        <v>46.564520000000002</v>
      </c>
      <c r="BP129" t="s">
        <v>75</v>
      </c>
      <c r="BQ129">
        <v>2.5967199999999999</v>
      </c>
      <c r="BR129" t="s">
        <v>75</v>
      </c>
      <c r="BS129">
        <v>21.111460000000001</v>
      </c>
      <c r="BT129" t="s">
        <v>75</v>
      </c>
      <c r="BU129">
        <v>7.1325599999999998</v>
      </c>
      <c r="BV129" t="s">
        <v>75</v>
      </c>
      <c r="BW129">
        <v>4.6506699999999999</v>
      </c>
      <c r="BX129" t="s">
        <v>75</v>
      </c>
      <c r="BY129">
        <v>3.3498800000000002</v>
      </c>
      <c r="BZ129" t="s">
        <v>75</v>
      </c>
      <c r="CA129">
        <v>9.3344000000000005</v>
      </c>
      <c r="CB129" t="s">
        <v>75</v>
      </c>
      <c r="CC129">
        <v>5.1520000000000003E-2</v>
      </c>
      <c r="CD129" t="s">
        <v>75</v>
      </c>
      <c r="CE129">
        <v>3.3210000000000003E-2</v>
      </c>
      <c r="CF129" t="s">
        <v>75</v>
      </c>
      <c r="CG129">
        <v>14.22518</v>
      </c>
      <c r="CH129" t="s">
        <v>75</v>
      </c>
      <c r="CI129">
        <v>4.15557</v>
      </c>
      <c r="CJ129" t="s">
        <v>75</v>
      </c>
      <c r="CK129">
        <v>44.151780000000002</v>
      </c>
      <c r="CL129" t="s">
        <v>75</v>
      </c>
      <c r="CM129">
        <v>0.12383</v>
      </c>
      <c r="CN129" t="s">
        <v>75</v>
      </c>
      <c r="CO129">
        <v>8.6383299999999998</v>
      </c>
      <c r="CP129" t="s">
        <v>75</v>
      </c>
      <c r="CQ129">
        <v>15.012040000000001</v>
      </c>
      <c r="CR129" t="s">
        <v>75</v>
      </c>
      <c r="CS129">
        <v>4.2577299999999996</v>
      </c>
      <c r="CT129" t="s">
        <v>75</v>
      </c>
      <c r="CV129" t="s">
        <v>76</v>
      </c>
      <c r="CW129">
        <v>5.4109999999999998E-2</v>
      </c>
      <c r="CX129" t="s">
        <v>75</v>
      </c>
      <c r="DA129">
        <v>7.9427000000000003</v>
      </c>
      <c r="DB129" t="s">
        <v>75</v>
      </c>
      <c r="DC129">
        <v>1.6199999999999999E-3</v>
      </c>
      <c r="DD129" t="s">
        <v>75</v>
      </c>
      <c r="DE129">
        <v>-1.187E-2</v>
      </c>
      <c r="DF129" t="s">
        <v>75</v>
      </c>
      <c r="DG129">
        <v>8.4239999999999995E-2</v>
      </c>
      <c r="DH129" t="s">
        <v>75</v>
      </c>
      <c r="DI129">
        <v>1.5086299999999999</v>
      </c>
      <c r="DJ129" t="s">
        <v>75</v>
      </c>
      <c r="DL129" t="s">
        <v>76</v>
      </c>
      <c r="DN129" t="s">
        <v>76</v>
      </c>
      <c r="DO129">
        <v>7.1910000000000002E-2</v>
      </c>
      <c r="DP129" t="s">
        <v>75</v>
      </c>
    </row>
    <row r="130" spans="1:121" x14ac:dyDescent="0.2">
      <c r="D130" t="s">
        <v>64</v>
      </c>
      <c r="G130">
        <v>2.98E-3</v>
      </c>
      <c r="H130" t="s">
        <v>75</v>
      </c>
      <c r="I130">
        <v>3.0300000000000001E-3</v>
      </c>
      <c r="J130" t="s">
        <v>75</v>
      </c>
      <c r="K130">
        <v>1.0399999999999999E-3</v>
      </c>
      <c r="L130" t="s">
        <v>75</v>
      </c>
      <c r="M130">
        <v>2.3500000000000001E-3</v>
      </c>
      <c r="N130" t="s">
        <v>75</v>
      </c>
      <c r="O130">
        <v>1.7000000000000001E-4</v>
      </c>
      <c r="P130" t="s">
        <v>75</v>
      </c>
      <c r="Q130">
        <v>5.5500000000000002E-3</v>
      </c>
      <c r="R130" t="s">
        <v>75</v>
      </c>
      <c r="S130">
        <v>1.4999999999999999E-4</v>
      </c>
      <c r="T130" t="s">
        <v>75</v>
      </c>
      <c r="U130">
        <v>4.2999999999999999E-4</v>
      </c>
      <c r="V130" t="s">
        <v>75</v>
      </c>
      <c r="W130">
        <v>2.9099999999999998E-3</v>
      </c>
      <c r="X130" t="s">
        <v>75</v>
      </c>
      <c r="Y130">
        <v>4.0000000000000002E-4</v>
      </c>
      <c r="Z130" t="s">
        <v>75</v>
      </c>
      <c r="AC130">
        <v>2.1700000000000001E-3</v>
      </c>
      <c r="AD130" t="s">
        <v>75</v>
      </c>
      <c r="AE130">
        <v>1.924E-2</v>
      </c>
      <c r="AF130" t="s">
        <v>75</v>
      </c>
      <c r="AG130">
        <v>1.6000000000000001E-4</v>
      </c>
      <c r="AH130" t="s">
        <v>75</v>
      </c>
      <c r="AI130">
        <v>3.0179999999999998E-2</v>
      </c>
      <c r="AJ130" t="s">
        <v>75</v>
      </c>
      <c r="AK130">
        <v>5.0000000000000002E-5</v>
      </c>
      <c r="AL130" t="s">
        <v>75</v>
      </c>
      <c r="AM130">
        <v>4.0000000000000003E-5</v>
      </c>
      <c r="AN130" t="s">
        <v>75</v>
      </c>
      <c r="AO130">
        <v>1.7000000000000001E-4</v>
      </c>
      <c r="AP130" t="s">
        <v>75</v>
      </c>
      <c r="AQ130">
        <v>1.2E-4</v>
      </c>
      <c r="AR130" t="s">
        <v>75</v>
      </c>
      <c r="AS130">
        <v>3.5E-4</v>
      </c>
      <c r="AT130" t="s">
        <v>75</v>
      </c>
      <c r="AU130">
        <v>0</v>
      </c>
      <c r="AV130" t="s">
        <v>75</v>
      </c>
      <c r="AW130">
        <v>1.9000000000000001E-4</v>
      </c>
      <c r="AX130" t="s">
        <v>75</v>
      </c>
      <c r="AY130">
        <v>1.2700000000000001E-3</v>
      </c>
      <c r="AZ130" t="s">
        <v>75</v>
      </c>
      <c r="BC130">
        <v>1.2E-4</v>
      </c>
      <c r="BD130" t="s">
        <v>75</v>
      </c>
      <c r="BE130">
        <v>6.9999999999999994E-5</v>
      </c>
      <c r="BF130" t="s">
        <v>75</v>
      </c>
      <c r="BG130">
        <v>3.4959999999999998E-2</v>
      </c>
      <c r="BH130" t="s">
        <v>75</v>
      </c>
      <c r="BI130">
        <v>2.2110000000000001E-2</v>
      </c>
      <c r="BJ130" t="s">
        <v>75</v>
      </c>
      <c r="BK130">
        <v>2.9270000000000001E-2</v>
      </c>
      <c r="BL130" t="s">
        <v>75</v>
      </c>
      <c r="BM130">
        <v>2.3970000000000002E-2</v>
      </c>
      <c r="BN130" t="s">
        <v>75</v>
      </c>
      <c r="BO130">
        <v>0.79969999999999997</v>
      </c>
      <c r="BP130" t="s">
        <v>75</v>
      </c>
      <c r="BQ130">
        <v>6.5860000000000002E-2</v>
      </c>
      <c r="BR130" t="s">
        <v>75</v>
      </c>
      <c r="BS130">
        <v>0.15135999999999999</v>
      </c>
      <c r="BT130" t="s">
        <v>75</v>
      </c>
      <c r="BU130">
        <v>0.28488999999999998</v>
      </c>
      <c r="BV130" t="s">
        <v>75</v>
      </c>
      <c r="BW130">
        <v>0.10094</v>
      </c>
      <c r="BX130" t="s">
        <v>75</v>
      </c>
      <c r="BY130">
        <v>0.27855000000000002</v>
      </c>
      <c r="BZ130" t="s">
        <v>75</v>
      </c>
      <c r="CA130">
        <v>0.19453000000000001</v>
      </c>
      <c r="CB130" t="s">
        <v>75</v>
      </c>
      <c r="CC130">
        <v>1.189E-2</v>
      </c>
      <c r="CD130" t="s">
        <v>75</v>
      </c>
      <c r="CE130">
        <v>4.6000000000000001E-4</v>
      </c>
      <c r="CF130" t="s">
        <v>75</v>
      </c>
      <c r="CG130">
        <v>0.25953999999999999</v>
      </c>
      <c r="CH130" t="s">
        <v>75</v>
      </c>
      <c r="CI130">
        <v>6.8640000000000007E-2</v>
      </c>
      <c r="CJ130" t="s">
        <v>75</v>
      </c>
      <c r="CK130">
        <v>0.57957999999999998</v>
      </c>
      <c r="CL130" t="s">
        <v>75</v>
      </c>
      <c r="CM130">
        <v>2.82E-3</v>
      </c>
      <c r="CN130" t="s">
        <v>75</v>
      </c>
      <c r="CO130">
        <v>0.17186000000000001</v>
      </c>
      <c r="CP130" t="s">
        <v>75</v>
      </c>
      <c r="CQ130">
        <v>0.57047000000000003</v>
      </c>
      <c r="CR130" t="s">
        <v>75</v>
      </c>
      <c r="CS130">
        <v>0.14480000000000001</v>
      </c>
      <c r="CT130" t="s">
        <v>75</v>
      </c>
      <c r="CW130">
        <v>1.8400000000000001E-3</v>
      </c>
      <c r="CX130" t="s">
        <v>75</v>
      </c>
      <c r="DA130">
        <v>0.33657999999999999</v>
      </c>
      <c r="DB130" t="s">
        <v>75</v>
      </c>
      <c r="DC130">
        <v>1.2899999999999999E-3</v>
      </c>
      <c r="DD130" t="s">
        <v>75</v>
      </c>
      <c r="DE130">
        <v>3.3400000000000001E-3</v>
      </c>
      <c r="DF130" t="s">
        <v>75</v>
      </c>
      <c r="DG130">
        <v>9.5490000000000005E-2</v>
      </c>
      <c r="DH130" t="s">
        <v>75</v>
      </c>
      <c r="DI130">
        <v>0.26247999999999999</v>
      </c>
      <c r="DJ130" t="s">
        <v>75</v>
      </c>
      <c r="DO130">
        <v>1.1100000000000001E-3</v>
      </c>
      <c r="DP130" t="s">
        <v>75</v>
      </c>
    </row>
    <row r="131" spans="1:121" x14ac:dyDescent="0.2">
      <c r="D131" t="s">
        <v>65</v>
      </c>
      <c r="G131" t="s">
        <v>66</v>
      </c>
      <c r="I131" t="s">
        <v>66</v>
      </c>
      <c r="K131" t="s">
        <v>66</v>
      </c>
      <c r="M131" t="s">
        <v>66</v>
      </c>
      <c r="O131" t="s">
        <v>66</v>
      </c>
      <c r="Q131" t="s">
        <v>66</v>
      </c>
      <c r="S131" t="s">
        <v>66</v>
      </c>
      <c r="U131" t="s">
        <v>66</v>
      </c>
      <c r="W131" t="s">
        <v>66</v>
      </c>
      <c r="Y131" t="s">
        <v>66</v>
      </c>
      <c r="AA131" t="s">
        <v>66</v>
      </c>
      <c r="AC131" t="s">
        <v>66</v>
      </c>
      <c r="AE131" t="s">
        <v>66</v>
      </c>
      <c r="AG131" t="s">
        <v>66</v>
      </c>
      <c r="AI131" t="s">
        <v>66</v>
      </c>
      <c r="AK131" t="s">
        <v>66</v>
      </c>
      <c r="AM131" t="s">
        <v>66</v>
      </c>
      <c r="AO131" t="s">
        <v>66</v>
      </c>
      <c r="AQ131" t="s">
        <v>66</v>
      </c>
      <c r="AS131" t="s">
        <v>66</v>
      </c>
      <c r="AU131" t="s">
        <v>66</v>
      </c>
      <c r="AW131" t="s">
        <v>66</v>
      </c>
      <c r="AY131" t="s">
        <v>66</v>
      </c>
      <c r="BA131" t="s">
        <v>66</v>
      </c>
      <c r="BC131" t="s">
        <v>66</v>
      </c>
      <c r="BE131" t="s">
        <v>66</v>
      </c>
      <c r="BG131" t="s">
        <v>66</v>
      </c>
      <c r="BI131" t="s">
        <v>66</v>
      </c>
      <c r="BK131" t="s">
        <v>66</v>
      </c>
      <c r="BM131" t="s">
        <v>66</v>
      </c>
      <c r="BO131" t="s">
        <v>66</v>
      </c>
      <c r="BQ131" t="s">
        <v>66</v>
      </c>
      <c r="BS131" t="s">
        <v>66</v>
      </c>
      <c r="BU131" t="s">
        <v>66</v>
      </c>
      <c r="BW131" t="s">
        <v>66</v>
      </c>
      <c r="BY131" t="s">
        <v>66</v>
      </c>
      <c r="CA131" t="s">
        <v>66</v>
      </c>
      <c r="CC131" t="s">
        <v>66</v>
      </c>
      <c r="CE131" t="s">
        <v>66</v>
      </c>
      <c r="CG131" t="s">
        <v>66</v>
      </c>
      <c r="CI131" t="s">
        <v>66</v>
      </c>
      <c r="CK131" t="s">
        <v>66</v>
      </c>
      <c r="CM131" t="s">
        <v>66</v>
      </c>
      <c r="CO131" t="s">
        <v>66</v>
      </c>
      <c r="CQ131" t="s">
        <v>66</v>
      </c>
      <c r="CS131" t="s">
        <v>66</v>
      </c>
      <c r="CU131" t="s">
        <v>66</v>
      </c>
      <c r="CW131" t="s">
        <v>66</v>
      </c>
      <c r="CY131" t="s">
        <v>66</v>
      </c>
      <c r="DA131" t="s">
        <v>66</v>
      </c>
      <c r="DC131" t="s">
        <v>66</v>
      </c>
      <c r="DE131" t="s">
        <v>66</v>
      </c>
      <c r="DG131" t="s">
        <v>66</v>
      </c>
      <c r="DI131" t="s">
        <v>66</v>
      </c>
      <c r="DK131" t="s">
        <v>66</v>
      </c>
      <c r="DM131" t="s">
        <v>66</v>
      </c>
      <c r="DO131" t="s">
        <v>66</v>
      </c>
      <c r="DQ131" t="s">
        <v>66</v>
      </c>
    </row>
    <row r="132" spans="1:121" x14ac:dyDescent="0.2">
      <c r="A132" t="s">
        <v>596</v>
      </c>
      <c r="D132" t="s">
        <v>60</v>
      </c>
      <c r="E132" t="s">
        <v>61</v>
      </c>
      <c r="G132">
        <v>10814.5</v>
      </c>
      <c r="I132">
        <v>729.6</v>
      </c>
      <c r="K132">
        <v>9182</v>
      </c>
      <c r="M132">
        <v>55508.800000000003</v>
      </c>
      <c r="O132">
        <v>517.79999999999995</v>
      </c>
      <c r="Q132">
        <v>1419.7</v>
      </c>
      <c r="S132">
        <v>1951.5</v>
      </c>
      <c r="U132">
        <v>1660.6</v>
      </c>
      <c r="W132">
        <v>16393.2</v>
      </c>
      <c r="Y132">
        <v>278.10000000000002</v>
      </c>
      <c r="AA132">
        <v>2893560.7</v>
      </c>
      <c r="AC132">
        <v>421075.7</v>
      </c>
      <c r="AE132">
        <v>20128.900000000001</v>
      </c>
      <c r="AG132">
        <v>10604.9</v>
      </c>
      <c r="AI132">
        <v>16157.4</v>
      </c>
      <c r="AK132">
        <v>862.9</v>
      </c>
      <c r="AM132">
        <v>1291.5</v>
      </c>
      <c r="AO132">
        <v>184.4</v>
      </c>
      <c r="AQ132">
        <v>112.5</v>
      </c>
      <c r="AS132">
        <v>423</v>
      </c>
      <c r="AU132">
        <v>196.9</v>
      </c>
      <c r="AW132">
        <v>140.6</v>
      </c>
      <c r="AY132">
        <v>2828.6</v>
      </c>
      <c r="BA132">
        <v>654105.1</v>
      </c>
      <c r="BC132">
        <v>4171.8999999999996</v>
      </c>
      <c r="BE132">
        <v>262.5</v>
      </c>
      <c r="BG132">
        <v>12232.5</v>
      </c>
      <c r="BI132">
        <v>10815.6</v>
      </c>
      <c r="BK132">
        <v>25581.8</v>
      </c>
      <c r="BM132">
        <v>2705.5</v>
      </c>
      <c r="BO132">
        <v>213547.2</v>
      </c>
      <c r="BQ132">
        <v>37171.800000000003</v>
      </c>
      <c r="BS132">
        <v>446365.6</v>
      </c>
      <c r="BU132">
        <v>540766.5</v>
      </c>
      <c r="BW132">
        <v>10411</v>
      </c>
      <c r="BY132">
        <v>46571.5</v>
      </c>
      <c r="CA132">
        <v>27728</v>
      </c>
      <c r="CC132">
        <v>114.8</v>
      </c>
      <c r="CE132">
        <v>366.7</v>
      </c>
      <c r="CG132">
        <v>9805.4</v>
      </c>
      <c r="CI132">
        <v>5852.6</v>
      </c>
      <c r="CK132">
        <v>332911.09999999998</v>
      </c>
      <c r="CM132">
        <v>1817.2</v>
      </c>
      <c r="CO132">
        <v>4806.8</v>
      </c>
      <c r="CQ132">
        <v>9906.5</v>
      </c>
      <c r="CS132">
        <v>12606.2</v>
      </c>
      <c r="CU132">
        <v>247946.6</v>
      </c>
      <c r="CW132">
        <v>43394.5</v>
      </c>
      <c r="CY132">
        <v>57188.9</v>
      </c>
      <c r="DA132">
        <v>57438.400000000001</v>
      </c>
      <c r="DC132">
        <v>0.6</v>
      </c>
      <c r="DE132">
        <v>72.3</v>
      </c>
      <c r="DG132">
        <v>15.6</v>
      </c>
      <c r="DI132">
        <v>602.5</v>
      </c>
      <c r="DK132">
        <v>968.8</v>
      </c>
      <c r="DM132">
        <v>79205.2</v>
      </c>
      <c r="DO132">
        <v>12320.9</v>
      </c>
      <c r="DQ132">
        <v>17330.7</v>
      </c>
    </row>
    <row r="133" spans="1:121" x14ac:dyDescent="0.2">
      <c r="D133" t="s">
        <v>62</v>
      </c>
      <c r="E133" t="s">
        <v>61</v>
      </c>
      <c r="G133">
        <v>209.2</v>
      </c>
      <c r="I133">
        <v>103.3</v>
      </c>
      <c r="K133">
        <v>243.1</v>
      </c>
      <c r="M133">
        <v>725.5</v>
      </c>
      <c r="O133">
        <v>51.6</v>
      </c>
      <c r="Q133">
        <v>135</v>
      </c>
      <c r="S133">
        <v>87.1</v>
      </c>
      <c r="U133">
        <v>40.700000000000003</v>
      </c>
      <c r="W133">
        <v>150</v>
      </c>
      <c r="Y133">
        <v>28.1</v>
      </c>
      <c r="AA133">
        <v>28532.5</v>
      </c>
      <c r="AC133">
        <v>5285.2</v>
      </c>
      <c r="AE133">
        <v>386.5</v>
      </c>
      <c r="AG133">
        <v>87.9</v>
      </c>
      <c r="AI133">
        <v>114.3</v>
      </c>
      <c r="AK133">
        <v>117.7</v>
      </c>
      <c r="AM133">
        <v>111.9</v>
      </c>
      <c r="AO133">
        <v>43.8</v>
      </c>
      <c r="AQ133">
        <v>17.399999999999999</v>
      </c>
      <c r="AS133">
        <v>20.100000000000001</v>
      </c>
      <c r="AU133">
        <v>17.399999999999999</v>
      </c>
      <c r="AW133">
        <v>8.3000000000000007</v>
      </c>
      <c r="AY133">
        <v>107</v>
      </c>
      <c r="BA133">
        <v>7491.1</v>
      </c>
      <c r="BC133">
        <v>93.9</v>
      </c>
      <c r="BE133">
        <v>51.5</v>
      </c>
      <c r="BG133">
        <v>313</v>
      </c>
      <c r="BI133">
        <v>231.8</v>
      </c>
      <c r="BK133">
        <v>203.6</v>
      </c>
      <c r="BM133">
        <v>65.8</v>
      </c>
      <c r="BO133">
        <v>457.9</v>
      </c>
      <c r="BQ133">
        <v>297.7</v>
      </c>
      <c r="BS133">
        <v>5806.6</v>
      </c>
      <c r="BU133">
        <v>5331.5</v>
      </c>
      <c r="BW133">
        <v>621.4</v>
      </c>
      <c r="BY133">
        <v>1028.4000000000001</v>
      </c>
      <c r="CA133">
        <v>436.5</v>
      </c>
      <c r="CC133">
        <v>22.3</v>
      </c>
      <c r="CE133">
        <v>26.5</v>
      </c>
      <c r="CG133">
        <v>216.4</v>
      </c>
      <c r="CI133">
        <v>347.1</v>
      </c>
      <c r="CK133">
        <v>2491.6</v>
      </c>
      <c r="CM133">
        <v>107.7</v>
      </c>
      <c r="CO133">
        <v>50.5</v>
      </c>
      <c r="CQ133">
        <v>298.7</v>
      </c>
      <c r="CS133">
        <v>181.6</v>
      </c>
      <c r="CU133">
        <v>3454</v>
      </c>
      <c r="CW133">
        <v>884.2</v>
      </c>
      <c r="CY133">
        <v>1778.3</v>
      </c>
      <c r="DA133">
        <v>675.7</v>
      </c>
      <c r="DC133">
        <v>1</v>
      </c>
      <c r="DE133">
        <v>17.8</v>
      </c>
      <c r="DG133">
        <v>7.1</v>
      </c>
      <c r="DI133">
        <v>60.7</v>
      </c>
      <c r="DK133">
        <v>99.3</v>
      </c>
      <c r="DM133">
        <v>879.2</v>
      </c>
      <c r="DO133">
        <v>201.4</v>
      </c>
      <c r="DQ133">
        <v>289.89999999999998</v>
      </c>
    </row>
    <row r="134" spans="1:121" x14ac:dyDescent="0.2">
      <c r="D134" t="s">
        <v>63</v>
      </c>
      <c r="G134">
        <v>5.4679999999999999E-2</v>
      </c>
      <c r="H134" t="s">
        <v>75</v>
      </c>
      <c r="I134">
        <v>1.379E-2</v>
      </c>
      <c r="J134" t="s">
        <v>75</v>
      </c>
      <c r="K134">
        <v>8.6199999999999992E-3</v>
      </c>
      <c r="L134" t="s">
        <v>75</v>
      </c>
      <c r="M134">
        <v>2.4230000000000002E-2</v>
      </c>
      <c r="N134" t="s">
        <v>75</v>
      </c>
      <c r="O134">
        <v>3.3800000000000002E-3</v>
      </c>
      <c r="P134" t="s">
        <v>75</v>
      </c>
      <c r="Q134">
        <v>3.0499999999999999E-2</v>
      </c>
      <c r="R134" t="s">
        <v>75</v>
      </c>
      <c r="S134">
        <v>1.08E-3</v>
      </c>
      <c r="T134" t="s">
        <v>75</v>
      </c>
      <c r="U134">
        <v>1.277E-2</v>
      </c>
      <c r="V134" t="s">
        <v>75</v>
      </c>
      <c r="W134">
        <v>3.9579999999999997E-2</v>
      </c>
      <c r="X134" t="s">
        <v>75</v>
      </c>
      <c r="Y134">
        <v>4.28E-3</v>
      </c>
      <c r="Z134" t="s">
        <v>75</v>
      </c>
      <c r="AB134" t="s">
        <v>76</v>
      </c>
      <c r="AC134">
        <v>1.5944400000000001</v>
      </c>
      <c r="AD134" t="s">
        <v>75</v>
      </c>
      <c r="AE134">
        <v>0.11736000000000001</v>
      </c>
      <c r="AF134" t="s">
        <v>75</v>
      </c>
      <c r="AG134">
        <v>-7.7299999999999999E-3</v>
      </c>
      <c r="AH134" t="s">
        <v>75</v>
      </c>
      <c r="AI134">
        <v>0.10585</v>
      </c>
      <c r="AJ134" t="s">
        <v>75</v>
      </c>
      <c r="AK134">
        <v>-1.5299999999999999E-3</v>
      </c>
      <c r="AL134" t="s">
        <v>75</v>
      </c>
      <c r="AM134">
        <v>-4.6800000000000001E-3</v>
      </c>
      <c r="AN134" t="s">
        <v>75</v>
      </c>
      <c r="AO134">
        <v>2.1199999999999999E-3</v>
      </c>
      <c r="AP134" t="s">
        <v>75</v>
      </c>
      <c r="AQ134">
        <v>-4.6000000000000001E-4</v>
      </c>
      <c r="AR134" t="s">
        <v>75</v>
      </c>
      <c r="AS134">
        <v>9.1E-4</v>
      </c>
      <c r="AT134" t="s">
        <v>75</v>
      </c>
      <c r="AU134">
        <v>1.48E-3</v>
      </c>
      <c r="AV134" t="s">
        <v>75</v>
      </c>
      <c r="AW134">
        <v>-4.4999999999999999E-4</v>
      </c>
      <c r="AX134" t="s">
        <v>75</v>
      </c>
      <c r="AY134">
        <v>-9.1E-4</v>
      </c>
      <c r="AZ134" t="s">
        <v>75</v>
      </c>
      <c r="BC134">
        <v>-2.04697</v>
      </c>
      <c r="BD134" t="s">
        <v>75</v>
      </c>
      <c r="BE134">
        <v>2.8300000000000001E-3</v>
      </c>
      <c r="BF134" t="s">
        <v>75</v>
      </c>
      <c r="BG134">
        <v>-2.3500000000000001E-3</v>
      </c>
      <c r="BH134" t="s">
        <v>75</v>
      </c>
      <c r="BI134">
        <v>2.0920000000000001E-2</v>
      </c>
      <c r="BJ134" t="s">
        <v>75</v>
      </c>
      <c r="BK134">
        <v>-1.091E-2</v>
      </c>
      <c r="BL134" t="s">
        <v>75</v>
      </c>
      <c r="BM134">
        <v>-7.3600000000000002E-3</v>
      </c>
      <c r="BN134" t="s">
        <v>75</v>
      </c>
      <c r="BO134">
        <v>3.18838</v>
      </c>
      <c r="BP134" t="s">
        <v>75</v>
      </c>
      <c r="BQ134">
        <v>0.89288999999999996</v>
      </c>
      <c r="BR134" t="s">
        <v>75</v>
      </c>
      <c r="BS134">
        <v>9.9801900000000003</v>
      </c>
      <c r="BT134" t="s">
        <v>75</v>
      </c>
      <c r="BU134">
        <v>2.8572299999999999</v>
      </c>
      <c r="BV134" t="s">
        <v>75</v>
      </c>
      <c r="BW134">
        <v>4.35921</v>
      </c>
      <c r="BX134" t="s">
        <v>75</v>
      </c>
      <c r="BY134">
        <v>5.5231700000000004</v>
      </c>
      <c r="BZ134" t="s">
        <v>75</v>
      </c>
      <c r="CA134">
        <v>11.889110000000001</v>
      </c>
      <c r="CB134" t="s">
        <v>75</v>
      </c>
      <c r="CC134">
        <v>1.137E-2</v>
      </c>
      <c r="CD134" t="s">
        <v>75</v>
      </c>
      <c r="CE134">
        <v>4.0499999999999998E-3</v>
      </c>
      <c r="CF134" t="s">
        <v>75</v>
      </c>
      <c r="CG134">
        <v>0.15695000000000001</v>
      </c>
      <c r="CH134" t="s">
        <v>75</v>
      </c>
      <c r="CI134">
        <v>5.0849999999999999E-2</v>
      </c>
      <c r="CJ134" t="s">
        <v>75</v>
      </c>
      <c r="CK134">
        <v>4.5886199999999997</v>
      </c>
      <c r="CL134" t="s">
        <v>75</v>
      </c>
      <c r="CM134">
        <v>1.9959999999999999E-2</v>
      </c>
      <c r="CN134" t="s">
        <v>75</v>
      </c>
      <c r="CO134">
        <v>0.29386000000000001</v>
      </c>
      <c r="CP134" t="s">
        <v>75</v>
      </c>
      <c r="CQ134">
        <v>0.28510999999999997</v>
      </c>
      <c r="CR134" t="s">
        <v>75</v>
      </c>
      <c r="CS134">
        <v>3.34178</v>
      </c>
      <c r="CT134" t="s">
        <v>75</v>
      </c>
      <c r="CV134" t="s">
        <v>76</v>
      </c>
      <c r="CW134">
        <v>1.6554199999999999</v>
      </c>
      <c r="CX134" t="s">
        <v>75</v>
      </c>
      <c r="DA134">
        <v>2.9938500000000001</v>
      </c>
      <c r="DB134" t="s">
        <v>75</v>
      </c>
      <c r="DC134">
        <v>-8.4000000000000003E-4</v>
      </c>
      <c r="DD134" t="s">
        <v>75</v>
      </c>
      <c r="DE134">
        <v>1.257E-2</v>
      </c>
      <c r="DF134" t="s">
        <v>75</v>
      </c>
      <c r="DG134">
        <v>1.498E-2</v>
      </c>
      <c r="DH134" t="s">
        <v>75</v>
      </c>
      <c r="DI134">
        <v>0.53968000000000005</v>
      </c>
      <c r="DJ134" t="s">
        <v>75</v>
      </c>
      <c r="DL134" t="s">
        <v>76</v>
      </c>
      <c r="DN134" t="s">
        <v>76</v>
      </c>
      <c r="DO134">
        <v>1.7070700000000001</v>
      </c>
      <c r="DP134" t="s">
        <v>75</v>
      </c>
    </row>
    <row r="135" spans="1:121" x14ac:dyDescent="0.2">
      <c r="D135" t="s">
        <v>64</v>
      </c>
      <c r="G135">
        <v>2.2699999999999999E-3</v>
      </c>
      <c r="H135" t="s">
        <v>75</v>
      </c>
      <c r="I135">
        <v>4.0299999999999997E-3</v>
      </c>
      <c r="J135" t="s">
        <v>75</v>
      </c>
      <c r="K135">
        <v>4.6000000000000001E-4</v>
      </c>
      <c r="L135" t="s">
        <v>75</v>
      </c>
      <c r="M135">
        <v>1.9000000000000001E-4</v>
      </c>
      <c r="N135" t="s">
        <v>75</v>
      </c>
      <c r="O135">
        <v>5.0000000000000002E-5</v>
      </c>
      <c r="P135" t="s">
        <v>75</v>
      </c>
      <c r="Q135">
        <v>8.0000000000000004E-4</v>
      </c>
      <c r="R135" t="s">
        <v>75</v>
      </c>
      <c r="S135">
        <v>6.0000000000000002E-5</v>
      </c>
      <c r="T135" t="s">
        <v>75</v>
      </c>
      <c r="U135">
        <v>1.3999999999999999E-4</v>
      </c>
      <c r="V135" t="s">
        <v>75</v>
      </c>
      <c r="W135">
        <v>2.1000000000000001E-4</v>
      </c>
      <c r="X135" t="s">
        <v>75</v>
      </c>
      <c r="Y135">
        <v>4.4999999999999999E-4</v>
      </c>
      <c r="Z135" t="s">
        <v>75</v>
      </c>
      <c r="AC135">
        <v>3.737E-2</v>
      </c>
      <c r="AD135" t="s">
        <v>75</v>
      </c>
      <c r="AE135">
        <v>1.83E-3</v>
      </c>
      <c r="AF135" t="s">
        <v>75</v>
      </c>
      <c r="AG135">
        <v>1.4999999999999999E-4</v>
      </c>
      <c r="AH135" t="s">
        <v>75</v>
      </c>
      <c r="AI135">
        <v>1.8799999999999999E-3</v>
      </c>
      <c r="AJ135" t="s">
        <v>75</v>
      </c>
      <c r="AK135">
        <v>8.0000000000000007E-5</v>
      </c>
      <c r="AL135" t="s">
        <v>75</v>
      </c>
      <c r="AM135">
        <v>8.0000000000000007E-5</v>
      </c>
      <c r="AN135" t="s">
        <v>75</v>
      </c>
      <c r="AO135">
        <v>1.6000000000000001E-4</v>
      </c>
      <c r="AP135" t="s">
        <v>75</v>
      </c>
      <c r="AQ135">
        <v>6.9999999999999994E-5</v>
      </c>
      <c r="AR135" t="s">
        <v>75</v>
      </c>
      <c r="AS135">
        <v>1.1E-4</v>
      </c>
      <c r="AT135" t="s">
        <v>75</v>
      </c>
      <c r="AU135">
        <v>1.0000000000000001E-5</v>
      </c>
      <c r="AV135" t="s">
        <v>75</v>
      </c>
      <c r="AW135">
        <v>2.0000000000000002E-5</v>
      </c>
      <c r="AX135" t="s">
        <v>75</v>
      </c>
      <c r="AY135">
        <v>2.7E-4</v>
      </c>
      <c r="AZ135" t="s">
        <v>75</v>
      </c>
      <c r="BC135">
        <v>4.4000000000000002E-4</v>
      </c>
      <c r="BD135" t="s">
        <v>75</v>
      </c>
      <c r="BE135">
        <v>5.0000000000000002E-5</v>
      </c>
      <c r="BF135" t="s">
        <v>75</v>
      </c>
      <c r="BG135">
        <v>1.06E-3</v>
      </c>
      <c r="BH135" t="s">
        <v>75</v>
      </c>
      <c r="BI135">
        <v>7.6999999999999996E-4</v>
      </c>
      <c r="BJ135" t="s">
        <v>75</v>
      </c>
      <c r="BK135">
        <v>7.2000000000000005E-4</v>
      </c>
      <c r="BL135" t="s">
        <v>75</v>
      </c>
      <c r="BM135">
        <v>5.0000000000000002E-5</v>
      </c>
      <c r="BN135" t="s">
        <v>75</v>
      </c>
      <c r="BO135">
        <v>0.16591</v>
      </c>
      <c r="BP135" t="s">
        <v>75</v>
      </c>
      <c r="BQ135">
        <v>4.6620000000000002E-2</v>
      </c>
      <c r="BR135" t="s">
        <v>75</v>
      </c>
      <c r="BS135">
        <v>0.46683999999999998</v>
      </c>
      <c r="BT135" t="s">
        <v>75</v>
      </c>
      <c r="BU135">
        <v>0.57379999999999998</v>
      </c>
      <c r="BV135" t="s">
        <v>75</v>
      </c>
      <c r="BW135">
        <v>0.31928000000000001</v>
      </c>
      <c r="BX135" t="s">
        <v>75</v>
      </c>
      <c r="BY135">
        <v>0.67869999999999997</v>
      </c>
      <c r="BZ135" t="s">
        <v>75</v>
      </c>
      <c r="CA135">
        <v>0.33090000000000003</v>
      </c>
      <c r="CB135" t="s">
        <v>75</v>
      </c>
      <c r="CC135">
        <v>5.6600000000000001E-3</v>
      </c>
      <c r="CD135" t="s">
        <v>75</v>
      </c>
      <c r="CE135">
        <v>4.0999999999999999E-4</v>
      </c>
      <c r="CF135" t="s">
        <v>75</v>
      </c>
      <c r="CG135">
        <v>4.7699999999999999E-3</v>
      </c>
      <c r="CH135" t="s">
        <v>75</v>
      </c>
      <c r="CI135">
        <v>2.3600000000000001E-3</v>
      </c>
      <c r="CJ135" t="s">
        <v>75</v>
      </c>
      <c r="CK135">
        <v>0.18809999999999999</v>
      </c>
      <c r="CL135" t="s">
        <v>75</v>
      </c>
      <c r="CM135">
        <v>2.2200000000000002E-3</v>
      </c>
      <c r="CN135" t="s">
        <v>75</v>
      </c>
      <c r="CO135">
        <v>8.8199999999999997E-3</v>
      </c>
      <c r="CP135" t="s">
        <v>75</v>
      </c>
      <c r="CQ135">
        <v>7.1999999999999998E-3</v>
      </c>
      <c r="CR135" t="s">
        <v>75</v>
      </c>
      <c r="CS135">
        <v>0.13652</v>
      </c>
      <c r="CT135" t="s">
        <v>75</v>
      </c>
      <c r="CW135">
        <v>8.1299999999999997E-2</v>
      </c>
      <c r="CX135" t="s">
        <v>75</v>
      </c>
      <c r="DA135">
        <v>1.916E-2</v>
      </c>
      <c r="DB135" t="s">
        <v>75</v>
      </c>
      <c r="DC135">
        <v>3.8999999999999999E-4</v>
      </c>
      <c r="DD135" t="s">
        <v>75</v>
      </c>
      <c r="DE135">
        <v>7.8499999999999993E-3</v>
      </c>
      <c r="DF135" t="s">
        <v>75</v>
      </c>
      <c r="DG135">
        <v>3.4079999999999999E-2</v>
      </c>
      <c r="DH135" t="s">
        <v>75</v>
      </c>
      <c r="DI135">
        <v>8.5029999999999994E-2</v>
      </c>
      <c r="DJ135" t="s">
        <v>75</v>
      </c>
      <c r="DO135">
        <v>5.253E-2</v>
      </c>
      <c r="DP135" t="s">
        <v>75</v>
      </c>
    </row>
    <row r="136" spans="1:121" x14ac:dyDescent="0.2">
      <c r="D136" t="s">
        <v>65</v>
      </c>
      <c r="G136" t="s">
        <v>66</v>
      </c>
      <c r="I136" t="s">
        <v>66</v>
      </c>
      <c r="K136" t="s">
        <v>66</v>
      </c>
      <c r="M136" t="s">
        <v>66</v>
      </c>
      <c r="O136" t="s">
        <v>66</v>
      </c>
      <c r="Q136" t="s">
        <v>66</v>
      </c>
      <c r="S136" t="s">
        <v>66</v>
      </c>
      <c r="U136" t="s">
        <v>66</v>
      </c>
      <c r="W136" t="s">
        <v>66</v>
      </c>
      <c r="Y136" t="s">
        <v>66</v>
      </c>
      <c r="AA136" t="s">
        <v>66</v>
      </c>
      <c r="AC136" t="s">
        <v>66</v>
      </c>
      <c r="AE136" t="s">
        <v>66</v>
      </c>
      <c r="AG136" t="s">
        <v>66</v>
      </c>
      <c r="AI136" t="s">
        <v>66</v>
      </c>
      <c r="AK136" t="s">
        <v>66</v>
      </c>
      <c r="AM136" t="s">
        <v>66</v>
      </c>
      <c r="AO136" t="s">
        <v>66</v>
      </c>
      <c r="AQ136" t="s">
        <v>66</v>
      </c>
      <c r="AS136" t="s">
        <v>66</v>
      </c>
      <c r="AU136" t="s">
        <v>66</v>
      </c>
      <c r="AW136" t="s">
        <v>66</v>
      </c>
      <c r="AY136" t="s">
        <v>66</v>
      </c>
      <c r="BA136" t="s">
        <v>66</v>
      </c>
      <c r="BC136" t="s">
        <v>66</v>
      </c>
      <c r="BE136" t="s">
        <v>66</v>
      </c>
      <c r="BG136" t="s">
        <v>66</v>
      </c>
      <c r="BI136" t="s">
        <v>66</v>
      </c>
      <c r="BK136" t="s">
        <v>66</v>
      </c>
      <c r="BM136" t="s">
        <v>66</v>
      </c>
      <c r="BO136" t="s">
        <v>66</v>
      </c>
      <c r="BQ136" t="s">
        <v>66</v>
      </c>
      <c r="BS136" t="s">
        <v>66</v>
      </c>
      <c r="BU136" t="s">
        <v>66</v>
      </c>
      <c r="BW136" t="s">
        <v>66</v>
      </c>
      <c r="BY136" t="s">
        <v>66</v>
      </c>
      <c r="CA136" t="s">
        <v>66</v>
      </c>
      <c r="CC136" t="s">
        <v>66</v>
      </c>
      <c r="CE136" t="s">
        <v>66</v>
      </c>
      <c r="CG136" t="s">
        <v>66</v>
      </c>
      <c r="CI136" t="s">
        <v>66</v>
      </c>
      <c r="CK136" t="s">
        <v>66</v>
      </c>
      <c r="CM136" t="s">
        <v>66</v>
      </c>
      <c r="CO136" t="s">
        <v>66</v>
      </c>
      <c r="CQ136" t="s">
        <v>66</v>
      </c>
      <c r="CS136" t="s">
        <v>66</v>
      </c>
      <c r="CU136" t="s">
        <v>66</v>
      </c>
      <c r="CW136" t="s">
        <v>66</v>
      </c>
      <c r="CY136" t="s">
        <v>66</v>
      </c>
      <c r="DA136" t="s">
        <v>66</v>
      </c>
      <c r="DC136" t="s">
        <v>66</v>
      </c>
      <c r="DE136" t="s">
        <v>66</v>
      </c>
      <c r="DG136" t="s">
        <v>66</v>
      </c>
      <c r="DI136" t="s">
        <v>66</v>
      </c>
      <c r="DK136" t="s">
        <v>66</v>
      </c>
      <c r="DM136" t="s">
        <v>66</v>
      </c>
      <c r="DO136" t="s">
        <v>66</v>
      </c>
      <c r="DQ136" t="s">
        <v>66</v>
      </c>
    </row>
    <row r="137" spans="1:121" x14ac:dyDescent="0.2">
      <c r="A137" t="s">
        <v>597</v>
      </c>
      <c r="D137" t="s">
        <v>60</v>
      </c>
      <c r="E137" t="s">
        <v>61</v>
      </c>
      <c r="G137">
        <v>39186.400000000001</v>
      </c>
      <c r="I137">
        <v>697</v>
      </c>
      <c r="K137">
        <v>2170735.7999999998</v>
      </c>
      <c r="M137">
        <v>163656.4</v>
      </c>
      <c r="O137">
        <v>7133.1</v>
      </c>
      <c r="Q137">
        <v>43763.4</v>
      </c>
      <c r="S137">
        <v>3248.9</v>
      </c>
      <c r="U137">
        <v>2705.5</v>
      </c>
      <c r="W137">
        <v>327014.09999999998</v>
      </c>
      <c r="Y137">
        <v>57579.199999999997</v>
      </c>
      <c r="AA137">
        <v>10948380.300000001</v>
      </c>
      <c r="AC137">
        <v>12506418.4</v>
      </c>
      <c r="AE137">
        <v>48452518.600000001</v>
      </c>
      <c r="AG137">
        <v>159908.5</v>
      </c>
      <c r="AI137">
        <v>228169.5</v>
      </c>
      <c r="AK137">
        <v>30449.8</v>
      </c>
      <c r="AM137">
        <v>12476.8</v>
      </c>
      <c r="AO137">
        <v>1198.5999999999999</v>
      </c>
      <c r="AQ137">
        <v>357.3</v>
      </c>
      <c r="AS137">
        <v>625.20000000000005</v>
      </c>
      <c r="AU137">
        <v>451.1</v>
      </c>
      <c r="AW137">
        <v>473</v>
      </c>
      <c r="AY137">
        <v>5898.1</v>
      </c>
      <c r="BA137">
        <v>662434.19999999995</v>
      </c>
      <c r="BC137">
        <v>3670.2</v>
      </c>
      <c r="BE137">
        <v>77277.600000000006</v>
      </c>
      <c r="BG137">
        <v>3654770.9</v>
      </c>
      <c r="BI137">
        <v>3461601.3</v>
      </c>
      <c r="BK137">
        <v>7408018</v>
      </c>
      <c r="BM137">
        <v>1697679</v>
      </c>
      <c r="BO137">
        <v>23848192.399999999</v>
      </c>
      <c r="BQ137">
        <v>113576.6</v>
      </c>
      <c r="BS137">
        <v>1545155</v>
      </c>
      <c r="BU137">
        <v>5261558.8</v>
      </c>
      <c r="BW137">
        <v>144549.79999999999</v>
      </c>
      <c r="BY137">
        <v>1381571</v>
      </c>
      <c r="CA137">
        <v>57235.6</v>
      </c>
      <c r="CC137">
        <v>852.2</v>
      </c>
      <c r="CE137">
        <v>1411.2</v>
      </c>
      <c r="CG137">
        <v>255721.4</v>
      </c>
      <c r="CI137">
        <v>138719.20000000001</v>
      </c>
      <c r="CK137">
        <v>1557548.4</v>
      </c>
      <c r="CM137">
        <v>29105.8</v>
      </c>
      <c r="CO137">
        <v>41849.699999999997</v>
      </c>
      <c r="CQ137">
        <v>946387.9</v>
      </c>
      <c r="CS137">
        <v>8206608.7999999998</v>
      </c>
      <c r="CU137">
        <v>1112920.8999999999</v>
      </c>
      <c r="CW137">
        <v>1431415.7</v>
      </c>
      <c r="CY137">
        <v>58655.6</v>
      </c>
      <c r="DA137">
        <v>11761891.300000001</v>
      </c>
      <c r="DC137">
        <v>568.79999999999995</v>
      </c>
      <c r="DE137">
        <v>303561.09999999998</v>
      </c>
      <c r="DG137">
        <v>1401.7</v>
      </c>
      <c r="DI137">
        <v>4603.6000000000004</v>
      </c>
      <c r="DK137">
        <v>908.1</v>
      </c>
      <c r="DM137">
        <v>332064.09999999998</v>
      </c>
      <c r="DO137">
        <v>387801.59999999998</v>
      </c>
      <c r="DQ137">
        <v>17998.5</v>
      </c>
    </row>
    <row r="138" spans="1:121" x14ac:dyDescent="0.2">
      <c r="D138" t="s">
        <v>62</v>
      </c>
      <c r="E138" t="s">
        <v>61</v>
      </c>
      <c r="G138">
        <v>292.7</v>
      </c>
      <c r="I138">
        <v>19.600000000000001</v>
      </c>
      <c r="K138">
        <v>3179.6</v>
      </c>
      <c r="M138">
        <v>442.5</v>
      </c>
      <c r="O138">
        <v>130.80000000000001</v>
      </c>
      <c r="Q138">
        <v>374.8</v>
      </c>
      <c r="S138">
        <v>73.099999999999994</v>
      </c>
      <c r="U138">
        <v>168.5</v>
      </c>
      <c r="W138">
        <v>1417.1</v>
      </c>
      <c r="Y138">
        <v>326.7</v>
      </c>
      <c r="AA138">
        <v>49987.5</v>
      </c>
      <c r="AC138">
        <v>34866.699999999997</v>
      </c>
      <c r="AE138">
        <v>218987.8</v>
      </c>
      <c r="AG138">
        <v>1025.3</v>
      </c>
      <c r="AI138">
        <v>3357.8</v>
      </c>
      <c r="AK138">
        <v>714.7</v>
      </c>
      <c r="AM138">
        <v>123.8</v>
      </c>
      <c r="AO138">
        <v>107.3</v>
      </c>
      <c r="AQ138">
        <v>16</v>
      </c>
      <c r="AS138">
        <v>53.3</v>
      </c>
      <c r="AU138">
        <v>24.3</v>
      </c>
      <c r="AW138">
        <v>53.5</v>
      </c>
      <c r="AY138">
        <v>167</v>
      </c>
      <c r="BA138">
        <v>2106.9</v>
      </c>
      <c r="BC138">
        <v>155.6</v>
      </c>
      <c r="BE138">
        <v>843.6</v>
      </c>
      <c r="BG138">
        <v>19643.099999999999</v>
      </c>
      <c r="BI138">
        <v>16449.099999999999</v>
      </c>
      <c r="BK138">
        <v>126472.9</v>
      </c>
      <c r="BM138">
        <v>11120.9</v>
      </c>
      <c r="BO138">
        <v>311223.5</v>
      </c>
      <c r="BQ138">
        <v>1644.8</v>
      </c>
      <c r="BS138">
        <v>3990.4</v>
      </c>
      <c r="BU138">
        <v>17752.2</v>
      </c>
      <c r="BW138">
        <v>2965.6</v>
      </c>
      <c r="BY138">
        <v>7484.2</v>
      </c>
      <c r="CA138">
        <v>906</v>
      </c>
      <c r="CC138">
        <v>68.3</v>
      </c>
      <c r="CE138">
        <v>30.5</v>
      </c>
      <c r="CG138">
        <v>2204.3000000000002</v>
      </c>
      <c r="CI138">
        <v>1106.9000000000001</v>
      </c>
      <c r="CK138">
        <v>9364.9</v>
      </c>
      <c r="CM138">
        <v>603.4</v>
      </c>
      <c r="CO138">
        <v>683.8</v>
      </c>
      <c r="CQ138">
        <v>9674.5</v>
      </c>
      <c r="CS138">
        <v>139688.70000000001</v>
      </c>
      <c r="CU138">
        <v>13801.1</v>
      </c>
      <c r="CW138">
        <v>26609.5</v>
      </c>
      <c r="CY138">
        <v>679.5</v>
      </c>
      <c r="DA138">
        <v>107787.6</v>
      </c>
      <c r="DC138">
        <v>29.4</v>
      </c>
      <c r="DE138">
        <v>4803.8</v>
      </c>
      <c r="DG138">
        <v>17.7</v>
      </c>
      <c r="DI138">
        <v>114.4</v>
      </c>
      <c r="DK138">
        <v>18.399999999999999</v>
      </c>
      <c r="DM138">
        <v>2835.6</v>
      </c>
      <c r="DO138">
        <v>2710.7</v>
      </c>
      <c r="DQ138">
        <v>384.6</v>
      </c>
    </row>
    <row r="139" spans="1:121" x14ac:dyDescent="0.2">
      <c r="D139" t="s">
        <v>63</v>
      </c>
      <c r="G139">
        <v>0.28419</v>
      </c>
      <c r="H139" t="s">
        <v>75</v>
      </c>
      <c r="I139">
        <v>1.227E-2</v>
      </c>
      <c r="J139" t="s">
        <v>75</v>
      </c>
      <c r="K139">
        <v>2.8218999999999999</v>
      </c>
      <c r="L139" t="s">
        <v>75</v>
      </c>
      <c r="M139">
        <v>0.13594000000000001</v>
      </c>
      <c r="N139" t="s">
        <v>75</v>
      </c>
      <c r="O139">
        <v>9.0100000000000006E-3</v>
      </c>
      <c r="P139" t="s">
        <v>75</v>
      </c>
      <c r="Q139">
        <v>0.31017</v>
      </c>
      <c r="R139" t="s">
        <v>75</v>
      </c>
      <c r="S139">
        <v>2.2200000000000002E-3</v>
      </c>
      <c r="T139" t="s">
        <v>75</v>
      </c>
      <c r="U139">
        <v>1.7100000000000001E-2</v>
      </c>
      <c r="V139" t="s">
        <v>75</v>
      </c>
      <c r="W139">
        <v>0.71335999999999999</v>
      </c>
      <c r="X139" t="s">
        <v>75</v>
      </c>
      <c r="Y139">
        <v>0.87494000000000005</v>
      </c>
      <c r="Z139" t="s">
        <v>75</v>
      </c>
      <c r="AB139" t="s">
        <v>76</v>
      </c>
      <c r="AC139">
        <v>45.57199</v>
      </c>
      <c r="AD139" t="s">
        <v>75</v>
      </c>
      <c r="AE139">
        <v>185.74779000000001</v>
      </c>
      <c r="AF139" t="s">
        <v>75</v>
      </c>
      <c r="AG139">
        <v>0.11212</v>
      </c>
      <c r="AH139" t="s">
        <v>75</v>
      </c>
      <c r="AI139">
        <v>1.4758899999999999</v>
      </c>
      <c r="AJ139" t="s">
        <v>75</v>
      </c>
      <c r="AK139">
        <v>1.924E-2</v>
      </c>
      <c r="AL139" t="s">
        <v>75</v>
      </c>
      <c r="AM139">
        <v>3.9100000000000003E-3</v>
      </c>
      <c r="AN139" t="s">
        <v>75</v>
      </c>
      <c r="AO139">
        <v>5.9100000000000003E-3</v>
      </c>
      <c r="AP139" t="s">
        <v>75</v>
      </c>
      <c r="AQ139">
        <v>6.0999999999999997E-4</v>
      </c>
      <c r="AR139" t="s">
        <v>75</v>
      </c>
      <c r="AS139">
        <v>1.81E-3</v>
      </c>
      <c r="AT139" t="s">
        <v>75</v>
      </c>
      <c r="AU139">
        <v>1.65E-3</v>
      </c>
      <c r="AV139" t="s">
        <v>75</v>
      </c>
      <c r="AW139">
        <v>3.6999999999999999E-4</v>
      </c>
      <c r="AX139" t="s">
        <v>75</v>
      </c>
      <c r="AY139">
        <v>9.11E-3</v>
      </c>
      <c r="AZ139" t="s">
        <v>75</v>
      </c>
      <c r="BC139">
        <v>-2.04867</v>
      </c>
      <c r="BD139" t="s">
        <v>75</v>
      </c>
      <c r="BE139">
        <v>7.8079999999999997E-2</v>
      </c>
      <c r="BF139" t="s">
        <v>75</v>
      </c>
      <c r="BG139">
        <v>10.71466</v>
      </c>
      <c r="BH139" t="s">
        <v>75</v>
      </c>
      <c r="BI139">
        <v>11.69303</v>
      </c>
      <c r="BJ139" t="s">
        <v>75</v>
      </c>
      <c r="BK139">
        <v>10.891109999999999</v>
      </c>
      <c r="BL139" t="s">
        <v>75</v>
      </c>
      <c r="BM139">
        <v>1.62283</v>
      </c>
      <c r="BN139" t="s">
        <v>75</v>
      </c>
      <c r="BO139">
        <v>533.51449000000002</v>
      </c>
      <c r="BP139" t="s">
        <v>75</v>
      </c>
      <c r="BQ139">
        <v>3.4883099999999998</v>
      </c>
      <c r="BR139" t="s">
        <v>75</v>
      </c>
      <c r="BS139">
        <v>34.746980000000001</v>
      </c>
      <c r="BT139" t="s">
        <v>75</v>
      </c>
      <c r="BU139">
        <v>200.75317999999999</v>
      </c>
      <c r="BV139" t="s">
        <v>75</v>
      </c>
      <c r="BW139">
        <v>62.12623</v>
      </c>
      <c r="BX139" t="s">
        <v>75</v>
      </c>
      <c r="BY139">
        <v>386.44391999999999</v>
      </c>
      <c r="BZ139" t="s">
        <v>75</v>
      </c>
      <c r="CA139">
        <v>27.571570000000001</v>
      </c>
      <c r="CB139" t="s">
        <v>75</v>
      </c>
      <c r="CC139">
        <v>0.17049</v>
      </c>
      <c r="CD139" t="s">
        <v>75</v>
      </c>
      <c r="CE139">
        <v>1.9730000000000001E-2</v>
      </c>
      <c r="CF139" t="s">
        <v>75</v>
      </c>
      <c r="CG139">
        <v>4.4135499999999999</v>
      </c>
      <c r="CH139" t="s">
        <v>75</v>
      </c>
      <c r="CI139">
        <v>1.81121</v>
      </c>
      <c r="CJ139" t="s">
        <v>75</v>
      </c>
      <c r="CK139">
        <v>22.09055</v>
      </c>
      <c r="CL139" t="s">
        <v>75</v>
      </c>
      <c r="CM139">
        <v>0.41317999999999999</v>
      </c>
      <c r="CN139" t="s">
        <v>75</v>
      </c>
      <c r="CO139">
        <v>2.41642</v>
      </c>
      <c r="CP139" t="s">
        <v>75</v>
      </c>
      <c r="CQ139">
        <v>29.075980000000001</v>
      </c>
      <c r="CR139" t="s">
        <v>75</v>
      </c>
      <c r="CS139">
        <v>2182.4995699999999</v>
      </c>
      <c r="CT139" t="s">
        <v>75</v>
      </c>
      <c r="CV139" t="s">
        <v>76</v>
      </c>
      <c r="CW139">
        <v>53.991810000000001</v>
      </c>
      <c r="CX139" t="s">
        <v>75</v>
      </c>
      <c r="DA139">
        <v>635.17556999999999</v>
      </c>
      <c r="DB139" t="s">
        <v>75</v>
      </c>
      <c r="DC139">
        <v>0.22536999999999999</v>
      </c>
      <c r="DD139" t="s">
        <v>75</v>
      </c>
      <c r="DE139">
        <v>124.47266</v>
      </c>
      <c r="DF139" t="s">
        <v>75</v>
      </c>
      <c r="DG139">
        <v>6.6204099999999997</v>
      </c>
      <c r="DH139" t="s">
        <v>75</v>
      </c>
      <c r="DI139">
        <v>6.8989000000000003</v>
      </c>
      <c r="DJ139" t="s">
        <v>75</v>
      </c>
      <c r="DL139" t="s">
        <v>76</v>
      </c>
      <c r="DN139" t="s">
        <v>76</v>
      </c>
      <c r="DO139">
        <v>51.974939999999997</v>
      </c>
      <c r="DP139" t="s">
        <v>75</v>
      </c>
    </row>
    <row r="140" spans="1:121" x14ac:dyDescent="0.2">
      <c r="D140" t="s">
        <v>64</v>
      </c>
      <c r="G140">
        <v>2.3500000000000001E-3</v>
      </c>
      <c r="H140" t="s">
        <v>75</v>
      </c>
      <c r="I140">
        <v>6.2E-4</v>
      </c>
      <c r="J140" t="s">
        <v>75</v>
      </c>
      <c r="K140">
        <v>8.5900000000000004E-3</v>
      </c>
      <c r="L140" t="s">
        <v>75</v>
      </c>
      <c r="M140">
        <v>7.1000000000000002E-4</v>
      </c>
      <c r="N140" t="s">
        <v>75</v>
      </c>
      <c r="O140">
        <v>1.2E-4</v>
      </c>
      <c r="P140" t="s">
        <v>75</v>
      </c>
      <c r="Q140">
        <v>3.3700000000000002E-3</v>
      </c>
      <c r="R140" t="s">
        <v>75</v>
      </c>
      <c r="S140">
        <v>6.9999999999999994E-5</v>
      </c>
      <c r="T140" t="s">
        <v>75</v>
      </c>
      <c r="U140">
        <v>6.8999999999999997E-4</v>
      </c>
      <c r="V140" t="s">
        <v>75</v>
      </c>
      <c r="W140">
        <v>1.1999999999999999E-3</v>
      </c>
      <c r="X140" t="s">
        <v>75</v>
      </c>
      <c r="Y140">
        <v>3.0999999999999999E-3</v>
      </c>
      <c r="Z140" t="s">
        <v>75</v>
      </c>
      <c r="AC140">
        <v>0.25913999999999998</v>
      </c>
      <c r="AD140" t="s">
        <v>75</v>
      </c>
      <c r="AE140">
        <v>1.25665</v>
      </c>
      <c r="AF140" t="s">
        <v>75</v>
      </c>
      <c r="AG140">
        <v>5.1999999999999995E-4</v>
      </c>
      <c r="AH140" t="s">
        <v>75</v>
      </c>
      <c r="AI140">
        <v>2.6190000000000001E-2</v>
      </c>
      <c r="AJ140" t="s">
        <v>75</v>
      </c>
      <c r="AK140">
        <v>4.2999999999999999E-4</v>
      </c>
      <c r="AL140" t="s">
        <v>75</v>
      </c>
      <c r="AM140">
        <v>1.1E-4</v>
      </c>
      <c r="AN140" t="s">
        <v>75</v>
      </c>
      <c r="AO140">
        <v>4.0999999999999999E-4</v>
      </c>
      <c r="AP140" t="s">
        <v>75</v>
      </c>
      <c r="AQ140">
        <v>6.9999999999999994E-5</v>
      </c>
      <c r="AR140" t="s">
        <v>75</v>
      </c>
      <c r="AS140">
        <v>2.4000000000000001E-4</v>
      </c>
      <c r="AT140" t="s">
        <v>75</v>
      </c>
      <c r="AU140">
        <v>2.0000000000000002E-5</v>
      </c>
      <c r="AV140" t="s">
        <v>75</v>
      </c>
      <c r="AW140">
        <v>1.2999999999999999E-4</v>
      </c>
      <c r="AX140" t="s">
        <v>75</v>
      </c>
      <c r="AY140">
        <v>5.9999999999999995E-4</v>
      </c>
      <c r="AZ140" t="s">
        <v>75</v>
      </c>
      <c r="BC140">
        <v>4.4999999999999999E-4</v>
      </c>
      <c r="BD140" t="s">
        <v>75</v>
      </c>
      <c r="BE140">
        <v>7.3999999999999999E-4</v>
      </c>
      <c r="BF140" t="s">
        <v>75</v>
      </c>
      <c r="BG140">
        <v>8.7970000000000007E-2</v>
      </c>
      <c r="BH140" t="s">
        <v>75</v>
      </c>
      <c r="BI140">
        <v>9.1869999999999993E-2</v>
      </c>
      <c r="BJ140" t="s">
        <v>75</v>
      </c>
      <c r="BK140">
        <v>4.5580000000000002E-2</v>
      </c>
      <c r="BL140" t="s">
        <v>75</v>
      </c>
      <c r="BM140">
        <v>6.2599999999999999E-3</v>
      </c>
      <c r="BN140" t="s">
        <v>75</v>
      </c>
      <c r="BO140">
        <v>8.8195899999999998</v>
      </c>
      <c r="BP140" t="s">
        <v>75</v>
      </c>
      <c r="BQ140">
        <v>0.10065</v>
      </c>
      <c r="BR140" t="s">
        <v>75</v>
      </c>
      <c r="BS140">
        <v>0.43765999999999999</v>
      </c>
      <c r="BT140" t="s">
        <v>75</v>
      </c>
      <c r="BU140">
        <v>2.59721</v>
      </c>
      <c r="BV140" t="s">
        <v>75</v>
      </c>
      <c r="BW140">
        <v>1.5829200000000001</v>
      </c>
      <c r="BX140" t="s">
        <v>75</v>
      </c>
      <c r="BY140">
        <v>6.6821599999999997</v>
      </c>
      <c r="BZ140" t="s">
        <v>75</v>
      </c>
      <c r="CA140">
        <v>0.76041999999999998</v>
      </c>
      <c r="CB140" t="s">
        <v>75</v>
      </c>
      <c r="CC140">
        <v>1.2840000000000001E-2</v>
      </c>
      <c r="CD140" t="s">
        <v>75</v>
      </c>
      <c r="CE140">
        <v>6.2E-4</v>
      </c>
      <c r="CF140" t="s">
        <v>75</v>
      </c>
      <c r="CG140">
        <v>6.6930000000000003E-2</v>
      </c>
      <c r="CH140" t="s">
        <v>75</v>
      </c>
      <c r="CI140">
        <v>2.8680000000000001E-2</v>
      </c>
      <c r="CJ140" t="s">
        <v>75</v>
      </c>
      <c r="CK140">
        <v>0.38197999999999999</v>
      </c>
      <c r="CL140" t="s">
        <v>75</v>
      </c>
      <c r="CM140">
        <v>7.3200000000000001E-3</v>
      </c>
      <c r="CN140" t="s">
        <v>75</v>
      </c>
      <c r="CO140">
        <v>6.7169999999999994E-2</v>
      </c>
      <c r="CP140" t="s">
        <v>75</v>
      </c>
      <c r="CQ140">
        <v>0.53224000000000005</v>
      </c>
      <c r="CR140" t="s">
        <v>75</v>
      </c>
      <c r="CS140">
        <v>54.045819999999999</v>
      </c>
      <c r="CT140" t="s">
        <v>75</v>
      </c>
      <c r="CW140">
        <v>0.96020000000000005</v>
      </c>
      <c r="CX140" t="s">
        <v>75</v>
      </c>
      <c r="DA140">
        <v>19.396229999999999</v>
      </c>
      <c r="DB140" t="s">
        <v>75</v>
      </c>
      <c r="DC140">
        <v>7.2199999999999999E-3</v>
      </c>
      <c r="DD140" t="s">
        <v>75</v>
      </c>
      <c r="DE140">
        <v>3.8614700000000002</v>
      </c>
      <c r="DF140" t="s">
        <v>75</v>
      </c>
      <c r="DG140">
        <v>0.21299999999999999</v>
      </c>
      <c r="DH140" t="s">
        <v>75</v>
      </c>
      <c r="DI140">
        <v>0.33867999999999998</v>
      </c>
      <c r="DJ140" t="s">
        <v>75</v>
      </c>
      <c r="DO140">
        <v>1.1643699999999999</v>
      </c>
      <c r="DP140" t="s">
        <v>75</v>
      </c>
    </row>
    <row r="141" spans="1:121" x14ac:dyDescent="0.2">
      <c r="D141" t="s">
        <v>65</v>
      </c>
      <c r="G141" t="s">
        <v>66</v>
      </c>
      <c r="I141" t="s">
        <v>66</v>
      </c>
      <c r="K141" t="s">
        <v>66</v>
      </c>
      <c r="M141" t="s">
        <v>66</v>
      </c>
      <c r="O141" t="s">
        <v>66</v>
      </c>
      <c r="Q141" t="s">
        <v>66</v>
      </c>
      <c r="S141" t="s">
        <v>66</v>
      </c>
      <c r="U141" t="s">
        <v>66</v>
      </c>
      <c r="W141" t="s">
        <v>66</v>
      </c>
      <c r="Y141" t="s">
        <v>66</v>
      </c>
      <c r="AA141" t="s">
        <v>66</v>
      </c>
      <c r="AC141" t="s">
        <v>66</v>
      </c>
      <c r="AE141" t="s">
        <v>66</v>
      </c>
      <c r="AG141" t="s">
        <v>66</v>
      </c>
      <c r="AI141" t="s">
        <v>66</v>
      </c>
      <c r="AK141" t="s">
        <v>66</v>
      </c>
      <c r="AM141" t="s">
        <v>66</v>
      </c>
      <c r="AO141" t="s">
        <v>66</v>
      </c>
      <c r="AQ141" t="s">
        <v>66</v>
      </c>
      <c r="AS141" t="s">
        <v>66</v>
      </c>
      <c r="AU141" t="s">
        <v>66</v>
      </c>
      <c r="AW141" t="s">
        <v>66</v>
      </c>
      <c r="AY141" t="s">
        <v>66</v>
      </c>
      <c r="BA141" t="s">
        <v>66</v>
      </c>
      <c r="BC141" t="s">
        <v>66</v>
      </c>
      <c r="BE141" t="s">
        <v>66</v>
      </c>
      <c r="BG141" t="s">
        <v>66</v>
      </c>
      <c r="BI141" t="s">
        <v>66</v>
      </c>
      <c r="BK141" t="s">
        <v>66</v>
      </c>
      <c r="BM141" t="s">
        <v>66</v>
      </c>
      <c r="BO141" t="s">
        <v>66</v>
      </c>
      <c r="BQ141" t="s">
        <v>66</v>
      </c>
      <c r="BS141" t="s">
        <v>66</v>
      </c>
      <c r="BU141" t="s">
        <v>66</v>
      </c>
      <c r="BW141" t="s">
        <v>66</v>
      </c>
      <c r="BY141" t="s">
        <v>66</v>
      </c>
      <c r="CA141" t="s">
        <v>66</v>
      </c>
      <c r="CC141" t="s">
        <v>66</v>
      </c>
      <c r="CE141" t="s">
        <v>66</v>
      </c>
      <c r="CG141" t="s">
        <v>66</v>
      </c>
      <c r="CI141" t="s">
        <v>66</v>
      </c>
      <c r="CK141" t="s">
        <v>66</v>
      </c>
      <c r="CM141" t="s">
        <v>66</v>
      </c>
      <c r="CO141" t="s">
        <v>66</v>
      </c>
      <c r="CQ141" t="s">
        <v>66</v>
      </c>
      <c r="CS141" t="s">
        <v>66</v>
      </c>
      <c r="CU141" t="s">
        <v>66</v>
      </c>
      <c r="CW141" t="s">
        <v>66</v>
      </c>
      <c r="CY141" t="s">
        <v>66</v>
      </c>
      <c r="DA141" t="s">
        <v>66</v>
      </c>
      <c r="DC141" t="s">
        <v>66</v>
      </c>
      <c r="DE141" t="s">
        <v>66</v>
      </c>
      <c r="DG141" t="s">
        <v>66</v>
      </c>
      <c r="DI141" t="s">
        <v>66</v>
      </c>
      <c r="DK141" t="s">
        <v>66</v>
      </c>
      <c r="DM141" t="s">
        <v>66</v>
      </c>
      <c r="DO141" t="s">
        <v>66</v>
      </c>
      <c r="DQ141" t="s">
        <v>66</v>
      </c>
    </row>
    <row r="142" spans="1:121" x14ac:dyDescent="0.2">
      <c r="A142" t="s">
        <v>598</v>
      </c>
      <c r="D142" t="s">
        <v>60</v>
      </c>
      <c r="E142" t="s">
        <v>61</v>
      </c>
      <c r="G142">
        <v>12027.1</v>
      </c>
      <c r="I142">
        <v>867.2</v>
      </c>
      <c r="K142">
        <v>277656.8</v>
      </c>
      <c r="M142">
        <v>87478.3</v>
      </c>
      <c r="O142">
        <v>3263.5</v>
      </c>
      <c r="Q142">
        <v>22802.400000000001</v>
      </c>
      <c r="S142">
        <v>1762.8</v>
      </c>
      <c r="U142">
        <v>2008.9</v>
      </c>
      <c r="W142">
        <v>150654.9</v>
      </c>
      <c r="Y142">
        <v>2627.3</v>
      </c>
      <c r="AA142">
        <v>3322048.7</v>
      </c>
      <c r="AC142">
        <v>447113.8</v>
      </c>
      <c r="AE142">
        <v>2255179.2999999998</v>
      </c>
      <c r="AG142">
        <v>31197.5</v>
      </c>
      <c r="AI142">
        <v>33956.1</v>
      </c>
      <c r="AK142">
        <v>4561.8999999999996</v>
      </c>
      <c r="AM142">
        <v>8321.2999999999993</v>
      </c>
      <c r="AO142">
        <v>899.4</v>
      </c>
      <c r="AQ142">
        <v>285.39999999999998</v>
      </c>
      <c r="AS142">
        <v>613.70000000000005</v>
      </c>
      <c r="AU142">
        <v>334.4</v>
      </c>
      <c r="AW142">
        <v>406.3</v>
      </c>
      <c r="AY142">
        <v>9034.7999999999993</v>
      </c>
      <c r="BA142">
        <v>668216.6</v>
      </c>
      <c r="BC142">
        <v>3826.6</v>
      </c>
      <c r="BE142">
        <v>6908.8</v>
      </c>
      <c r="BG142">
        <v>224258.7</v>
      </c>
      <c r="BI142">
        <v>188590.8</v>
      </c>
      <c r="BK142">
        <v>468459.3</v>
      </c>
      <c r="BM142">
        <v>128468.8</v>
      </c>
      <c r="BO142">
        <v>4164668</v>
      </c>
      <c r="BQ142">
        <v>89463</v>
      </c>
      <c r="BS142">
        <v>533837.19999999995</v>
      </c>
      <c r="BU142">
        <v>943997.6</v>
      </c>
      <c r="BW142">
        <v>18183</v>
      </c>
      <c r="BY142">
        <v>196404.2</v>
      </c>
      <c r="CA142">
        <v>34191</v>
      </c>
      <c r="CC142">
        <v>306.5</v>
      </c>
      <c r="CE142">
        <v>2777.5</v>
      </c>
      <c r="CG142">
        <v>486061.3</v>
      </c>
      <c r="CI142">
        <v>113248</v>
      </c>
      <c r="CK142">
        <v>3003712.6</v>
      </c>
      <c r="CM142">
        <v>3414.4</v>
      </c>
      <c r="CO142">
        <v>53224.7</v>
      </c>
      <c r="CQ142">
        <v>119450.1</v>
      </c>
      <c r="CS142">
        <v>318782</v>
      </c>
      <c r="CU142">
        <v>281081.09999999998</v>
      </c>
      <c r="CW142">
        <v>47063.6</v>
      </c>
      <c r="CY142">
        <v>57920.4</v>
      </c>
      <c r="DA142">
        <v>2284142.7999999998</v>
      </c>
      <c r="DC142">
        <v>17.8</v>
      </c>
      <c r="DE142">
        <v>15677.7</v>
      </c>
      <c r="DG142">
        <v>71.5</v>
      </c>
      <c r="DI142">
        <v>1552.2</v>
      </c>
      <c r="DK142">
        <v>951.6</v>
      </c>
      <c r="DM142">
        <v>86000.5</v>
      </c>
      <c r="DO142">
        <v>13089.5</v>
      </c>
      <c r="DQ142">
        <v>17559</v>
      </c>
    </row>
    <row r="143" spans="1:121" x14ac:dyDescent="0.2">
      <c r="D143" t="s">
        <v>62</v>
      </c>
      <c r="E143" t="s">
        <v>61</v>
      </c>
      <c r="G143">
        <v>649</v>
      </c>
      <c r="I143">
        <v>96.2</v>
      </c>
      <c r="K143">
        <v>1604.6</v>
      </c>
      <c r="M143">
        <v>459.9</v>
      </c>
      <c r="O143">
        <v>37.9</v>
      </c>
      <c r="Q143">
        <v>459.9</v>
      </c>
      <c r="S143">
        <v>131.30000000000001</v>
      </c>
      <c r="U143">
        <v>23.4</v>
      </c>
      <c r="W143">
        <v>1220.0999999999999</v>
      </c>
      <c r="Y143">
        <v>54.3</v>
      </c>
      <c r="AA143">
        <v>32608.2</v>
      </c>
      <c r="AC143">
        <v>3477.7</v>
      </c>
      <c r="AE143">
        <v>13227.7</v>
      </c>
      <c r="AG143">
        <v>832.1</v>
      </c>
      <c r="AI143">
        <v>240</v>
      </c>
      <c r="AK143">
        <v>221.1</v>
      </c>
      <c r="AM143">
        <v>391.2</v>
      </c>
      <c r="AO143">
        <v>48.6</v>
      </c>
      <c r="AQ143">
        <v>43.8</v>
      </c>
      <c r="AS143">
        <v>60.6</v>
      </c>
      <c r="AU143">
        <v>56.4</v>
      </c>
      <c r="AW143">
        <v>111.3</v>
      </c>
      <c r="AY143">
        <v>252.7</v>
      </c>
      <c r="BA143">
        <v>6640.4</v>
      </c>
      <c r="BC143">
        <v>208.8</v>
      </c>
      <c r="BE143">
        <v>148.9</v>
      </c>
      <c r="BG143">
        <v>1987.3</v>
      </c>
      <c r="BI143">
        <v>1102.3</v>
      </c>
      <c r="BK143">
        <v>8658.2999999999993</v>
      </c>
      <c r="BM143">
        <v>1565.6</v>
      </c>
      <c r="BO143">
        <v>26449.9</v>
      </c>
      <c r="BQ143">
        <v>546.9</v>
      </c>
      <c r="BS143">
        <v>3255.8</v>
      </c>
      <c r="BU143">
        <v>9840.7999999999993</v>
      </c>
      <c r="BW143">
        <v>229.3</v>
      </c>
      <c r="BY143">
        <v>1571.3</v>
      </c>
      <c r="CA143">
        <v>1155.3</v>
      </c>
      <c r="CC143">
        <v>30.5</v>
      </c>
      <c r="CE143">
        <v>125.6</v>
      </c>
      <c r="CG143">
        <v>7646.2</v>
      </c>
      <c r="CI143">
        <v>522.5</v>
      </c>
      <c r="CK143">
        <v>22522.2</v>
      </c>
      <c r="CM143">
        <v>138.1</v>
      </c>
      <c r="CO143">
        <v>762.1</v>
      </c>
      <c r="CQ143">
        <v>2163.6999999999998</v>
      </c>
      <c r="CS143">
        <v>4361.2</v>
      </c>
      <c r="CU143">
        <v>2891.8</v>
      </c>
      <c r="CW143">
        <v>750.9</v>
      </c>
      <c r="CY143">
        <v>674</v>
      </c>
      <c r="DA143">
        <v>34705.1</v>
      </c>
      <c r="DC143">
        <v>4.8</v>
      </c>
      <c r="DE143">
        <v>155.30000000000001</v>
      </c>
      <c r="DG143">
        <v>19.2</v>
      </c>
      <c r="DI143">
        <v>223.4</v>
      </c>
      <c r="DK143">
        <v>63.6</v>
      </c>
      <c r="DM143">
        <v>1336.3</v>
      </c>
      <c r="DO143">
        <v>404</v>
      </c>
      <c r="DQ143">
        <v>334</v>
      </c>
    </row>
    <row r="144" spans="1:121" x14ac:dyDescent="0.2">
      <c r="D144" t="s">
        <v>63</v>
      </c>
      <c r="G144">
        <v>6.2530000000000002E-2</v>
      </c>
      <c r="H144" t="s">
        <v>75</v>
      </c>
      <c r="I144">
        <v>1.8079999999999999E-2</v>
      </c>
      <c r="J144" t="s">
        <v>75</v>
      </c>
      <c r="K144">
        <v>0.3548</v>
      </c>
      <c r="L144" t="s">
        <v>75</v>
      </c>
      <c r="M144">
        <v>5.595E-2</v>
      </c>
      <c r="N144" t="s">
        <v>75</v>
      </c>
      <c r="O144">
        <v>5.6899999999999997E-3</v>
      </c>
      <c r="P144" t="s">
        <v>75</v>
      </c>
      <c r="Q144">
        <v>0.17036999999999999</v>
      </c>
      <c r="R144" t="s">
        <v>75</v>
      </c>
      <c r="S144">
        <v>8.7000000000000001E-4</v>
      </c>
      <c r="T144" t="s">
        <v>75</v>
      </c>
      <c r="U144">
        <v>1.4080000000000001E-2</v>
      </c>
      <c r="V144" t="s">
        <v>75</v>
      </c>
      <c r="W144">
        <v>0.32773999999999998</v>
      </c>
      <c r="X144" t="s">
        <v>75</v>
      </c>
      <c r="Y144">
        <v>3.9570000000000001E-2</v>
      </c>
      <c r="Z144" t="s">
        <v>75</v>
      </c>
      <c r="AB144" t="s">
        <v>76</v>
      </c>
      <c r="AC144">
        <v>1.6555299999999999</v>
      </c>
      <c r="AD144" t="s">
        <v>75</v>
      </c>
      <c r="AE144">
        <v>8.6087399999999992</v>
      </c>
      <c r="AF144" t="s">
        <v>75</v>
      </c>
      <c r="AG144">
        <v>8.4899999999999993E-3</v>
      </c>
      <c r="AH144" t="s">
        <v>75</v>
      </c>
      <c r="AI144">
        <v>0.21775</v>
      </c>
      <c r="AJ144" t="s">
        <v>75</v>
      </c>
      <c r="AK144">
        <v>1.0300000000000001E-3</v>
      </c>
      <c r="AL144" t="s">
        <v>75</v>
      </c>
      <c r="AM144">
        <v>6.6E-4</v>
      </c>
      <c r="AN144" t="s">
        <v>75</v>
      </c>
      <c r="AO144">
        <v>4.7600000000000003E-3</v>
      </c>
      <c r="AP144" t="s">
        <v>75</v>
      </c>
      <c r="AQ144">
        <v>2.7999999999999998E-4</v>
      </c>
      <c r="AR144" t="s">
        <v>75</v>
      </c>
      <c r="AS144">
        <v>1.73E-3</v>
      </c>
      <c r="AT144" t="s">
        <v>75</v>
      </c>
      <c r="AU144">
        <v>1.57E-3</v>
      </c>
      <c r="AV144" t="s">
        <v>75</v>
      </c>
      <c r="AW144">
        <v>2.0000000000000001E-4</v>
      </c>
      <c r="AX144" t="s">
        <v>75</v>
      </c>
      <c r="AY144">
        <v>1.9220000000000001E-2</v>
      </c>
      <c r="AZ144" t="s">
        <v>75</v>
      </c>
      <c r="BC144">
        <v>-2.0482900000000002</v>
      </c>
      <c r="BD144" t="s">
        <v>75</v>
      </c>
      <c r="BE144">
        <v>9.2599999999999991E-3</v>
      </c>
      <c r="BF144" t="s">
        <v>75</v>
      </c>
      <c r="BG144">
        <v>0.61538999999999999</v>
      </c>
      <c r="BH144" t="s">
        <v>75</v>
      </c>
      <c r="BI144">
        <v>0.61633000000000004</v>
      </c>
      <c r="BJ144" t="s">
        <v>75</v>
      </c>
      <c r="BK144">
        <v>0.61011000000000004</v>
      </c>
      <c r="BL144" t="s">
        <v>75</v>
      </c>
      <c r="BM144">
        <v>0.11251</v>
      </c>
      <c r="BN144" t="s">
        <v>75</v>
      </c>
      <c r="BO144">
        <v>92.926749999999998</v>
      </c>
      <c r="BP144" t="s">
        <v>75</v>
      </c>
      <c r="BQ144">
        <v>2.6974999999999998</v>
      </c>
      <c r="BR144" t="s">
        <v>75</v>
      </c>
      <c r="BS144">
        <v>11.858449999999999</v>
      </c>
      <c r="BT144" t="s">
        <v>75</v>
      </c>
      <c r="BU144">
        <v>19.72523</v>
      </c>
      <c r="BV144" t="s">
        <v>75</v>
      </c>
      <c r="BW144">
        <v>7.6949500000000004</v>
      </c>
      <c r="BX144" t="s">
        <v>75</v>
      </c>
      <c r="BY144">
        <v>48.675260000000002</v>
      </c>
      <c r="BZ144" t="s">
        <v>75</v>
      </c>
      <c r="CA144">
        <v>15.258419999999999</v>
      </c>
      <c r="CB144" t="s">
        <v>75</v>
      </c>
      <c r="CC144">
        <v>5.305E-2</v>
      </c>
      <c r="CD144" t="s">
        <v>75</v>
      </c>
      <c r="CE144">
        <v>4.095E-2</v>
      </c>
      <c r="CF144" t="s">
        <v>75</v>
      </c>
      <c r="CG144">
        <v>8.5123999999999995</v>
      </c>
      <c r="CH144" t="s">
        <v>75</v>
      </c>
      <c r="CI144">
        <v>1.4924500000000001</v>
      </c>
      <c r="CJ144" t="s">
        <v>75</v>
      </c>
      <c r="CK144">
        <v>43.454599999999999</v>
      </c>
      <c r="CL144" t="s">
        <v>75</v>
      </c>
      <c r="CM144">
        <v>4.2930000000000003E-2</v>
      </c>
      <c r="CN144" t="s">
        <v>75</v>
      </c>
      <c r="CO144">
        <v>3.1089899999999999</v>
      </c>
      <c r="CP144" t="s">
        <v>75</v>
      </c>
      <c r="CQ144">
        <v>3.6921599999999999</v>
      </c>
      <c r="CR144" t="s">
        <v>75</v>
      </c>
      <c r="CS144">
        <v>85.747889999999998</v>
      </c>
      <c r="CT144" t="s">
        <v>75</v>
      </c>
      <c r="CV144" t="s">
        <v>76</v>
      </c>
      <c r="CW144">
        <v>1.7728200000000001</v>
      </c>
      <c r="CX144" t="s">
        <v>75</v>
      </c>
      <c r="DA144">
        <v>126.23908</v>
      </c>
      <c r="DB144" t="s">
        <v>75</v>
      </c>
      <c r="DC144">
        <v>6.1999999999999998E-3</v>
      </c>
      <c r="DD144" t="s">
        <v>75</v>
      </c>
      <c r="DE144">
        <v>6.5716299999999999</v>
      </c>
      <c r="DF144" t="s">
        <v>75</v>
      </c>
      <c r="DG144">
        <v>0.28625</v>
      </c>
      <c r="DH144" t="s">
        <v>75</v>
      </c>
      <c r="DI144">
        <v>2.0878899999999998</v>
      </c>
      <c r="DJ144" t="s">
        <v>75</v>
      </c>
      <c r="DL144" t="s">
        <v>76</v>
      </c>
      <c r="DN144" t="s">
        <v>76</v>
      </c>
      <c r="DO144">
        <v>1.7898499999999999</v>
      </c>
      <c r="DP144" t="s">
        <v>75</v>
      </c>
    </row>
    <row r="145" spans="1:121" x14ac:dyDescent="0.2">
      <c r="D145" t="s">
        <v>64</v>
      </c>
      <c r="G145">
        <v>4.2500000000000003E-3</v>
      </c>
      <c r="H145" t="s">
        <v>75</v>
      </c>
      <c r="I145">
        <v>3.3600000000000001E-3</v>
      </c>
      <c r="J145" t="s">
        <v>75</v>
      </c>
      <c r="K145">
        <v>3.49E-3</v>
      </c>
      <c r="L145" t="s">
        <v>75</v>
      </c>
      <c r="M145">
        <v>7.6000000000000004E-4</v>
      </c>
      <c r="N145" t="s">
        <v>75</v>
      </c>
      <c r="O145">
        <v>5.0000000000000002E-5</v>
      </c>
      <c r="P145" t="s">
        <v>75</v>
      </c>
      <c r="Q145">
        <v>3.2200000000000002E-3</v>
      </c>
      <c r="R145" t="s">
        <v>75</v>
      </c>
      <c r="S145">
        <v>1.2E-4</v>
      </c>
      <c r="T145" t="s">
        <v>75</v>
      </c>
      <c r="U145">
        <v>1.2999999999999999E-4</v>
      </c>
      <c r="V145" t="s">
        <v>75</v>
      </c>
      <c r="W145">
        <v>1.5299999999999999E-3</v>
      </c>
      <c r="X145" t="s">
        <v>75</v>
      </c>
      <c r="Y145">
        <v>4.4999999999999999E-4</v>
      </c>
      <c r="Z145" t="s">
        <v>75</v>
      </c>
      <c r="AC145">
        <v>2.8420000000000001E-2</v>
      </c>
      <c r="AD145" t="s">
        <v>75</v>
      </c>
      <c r="AE145">
        <v>0.12332</v>
      </c>
      <c r="AF145" t="s">
        <v>75</v>
      </c>
      <c r="AG145">
        <v>6.9999999999999999E-4</v>
      </c>
      <c r="AH145" t="s">
        <v>75</v>
      </c>
      <c r="AI145">
        <v>2.63E-3</v>
      </c>
      <c r="AJ145" t="s">
        <v>75</v>
      </c>
      <c r="AK145">
        <v>1.8000000000000001E-4</v>
      </c>
      <c r="AL145" t="s">
        <v>75</v>
      </c>
      <c r="AM145">
        <v>3.6000000000000002E-4</v>
      </c>
      <c r="AN145" t="s">
        <v>75</v>
      </c>
      <c r="AO145">
        <v>2.1000000000000001E-4</v>
      </c>
      <c r="AP145" t="s">
        <v>75</v>
      </c>
      <c r="AQ145">
        <v>1.8000000000000001E-4</v>
      </c>
      <c r="AR145" t="s">
        <v>75</v>
      </c>
      <c r="AS145">
        <v>2.5999999999999998E-4</v>
      </c>
      <c r="AT145" t="s">
        <v>75</v>
      </c>
      <c r="AU145">
        <v>4.0000000000000003E-5</v>
      </c>
      <c r="AV145" t="s">
        <v>75</v>
      </c>
      <c r="AW145">
        <v>2.7999999999999998E-4</v>
      </c>
      <c r="AX145" t="s">
        <v>75</v>
      </c>
      <c r="AY145">
        <v>1.1000000000000001E-3</v>
      </c>
      <c r="AZ145" t="s">
        <v>75</v>
      </c>
      <c r="BC145">
        <v>6.0999999999999997E-4</v>
      </c>
      <c r="BD145" t="s">
        <v>75</v>
      </c>
      <c r="BE145">
        <v>1.6000000000000001E-4</v>
      </c>
      <c r="BF145" t="s">
        <v>75</v>
      </c>
      <c r="BG145">
        <v>1.153E-2</v>
      </c>
      <c r="BH145" t="s">
        <v>75</v>
      </c>
      <c r="BI145">
        <v>9.7000000000000003E-3</v>
      </c>
      <c r="BJ145" t="s">
        <v>75</v>
      </c>
      <c r="BK145">
        <v>1.4829999999999999E-2</v>
      </c>
      <c r="BL145" t="s">
        <v>75</v>
      </c>
      <c r="BM145">
        <v>2.6900000000000001E-3</v>
      </c>
      <c r="BN145" t="s">
        <v>75</v>
      </c>
      <c r="BO145">
        <v>1.08046</v>
      </c>
      <c r="BP145" t="s">
        <v>75</v>
      </c>
      <c r="BQ145">
        <v>5.4640000000000001E-2</v>
      </c>
      <c r="BR145" t="s">
        <v>75</v>
      </c>
      <c r="BS145">
        <v>0.19863</v>
      </c>
      <c r="BT145" t="s">
        <v>75</v>
      </c>
      <c r="BU145">
        <v>0.83848999999999996</v>
      </c>
      <c r="BV145" t="s">
        <v>75</v>
      </c>
      <c r="BW145">
        <v>0.18811</v>
      </c>
      <c r="BX145" t="s">
        <v>75</v>
      </c>
      <c r="BY145">
        <v>1.08534</v>
      </c>
      <c r="BZ145" t="s">
        <v>75</v>
      </c>
      <c r="CA145">
        <v>0.84538000000000002</v>
      </c>
      <c r="CB145" t="s">
        <v>75</v>
      </c>
      <c r="CC145">
        <v>6.5300000000000002E-3</v>
      </c>
      <c r="CD145" t="s">
        <v>75</v>
      </c>
      <c r="CE145">
        <v>1.8699999999999999E-3</v>
      </c>
      <c r="CF145" t="s">
        <v>75</v>
      </c>
      <c r="CG145">
        <v>0.22398999999999999</v>
      </c>
      <c r="CH145" t="s">
        <v>75</v>
      </c>
      <c r="CI145">
        <v>2.3009999999999999E-2</v>
      </c>
      <c r="CJ145" t="s">
        <v>75</v>
      </c>
      <c r="CK145">
        <v>0.61816000000000004</v>
      </c>
      <c r="CL145" t="s">
        <v>75</v>
      </c>
      <c r="CM145">
        <v>1.83E-3</v>
      </c>
      <c r="CN145" t="s">
        <v>75</v>
      </c>
      <c r="CO145">
        <v>6.6500000000000004E-2</v>
      </c>
      <c r="CP145" t="s">
        <v>75</v>
      </c>
      <c r="CQ145">
        <v>5.4010000000000002E-2</v>
      </c>
      <c r="CR145" t="s">
        <v>75</v>
      </c>
      <c r="CS145">
        <v>0.92593000000000003</v>
      </c>
      <c r="CT145" t="s">
        <v>75</v>
      </c>
      <c r="CW145">
        <v>2.1499999999999998E-2</v>
      </c>
      <c r="CX145" t="s">
        <v>75</v>
      </c>
      <c r="DA145">
        <v>3.5328900000000001</v>
      </c>
      <c r="DB145" t="s">
        <v>75</v>
      </c>
      <c r="DC145">
        <v>2.0500000000000002E-3</v>
      </c>
      <c r="DD145" t="s">
        <v>75</v>
      </c>
      <c r="DE145">
        <v>0.17330000000000001</v>
      </c>
      <c r="DF145" t="s">
        <v>75</v>
      </c>
      <c r="DG145">
        <v>8.6800000000000002E-2</v>
      </c>
      <c r="DH145" t="s">
        <v>75</v>
      </c>
      <c r="DI145">
        <v>0.4113</v>
      </c>
      <c r="DJ145" t="s">
        <v>75</v>
      </c>
      <c r="DO145">
        <v>4.7460000000000002E-2</v>
      </c>
      <c r="DP145" t="s">
        <v>75</v>
      </c>
    </row>
    <row r="146" spans="1:121" x14ac:dyDescent="0.2">
      <c r="D146" t="s">
        <v>65</v>
      </c>
      <c r="G146" t="s">
        <v>66</v>
      </c>
      <c r="I146" t="s">
        <v>66</v>
      </c>
      <c r="K146" t="s">
        <v>66</v>
      </c>
      <c r="M146" t="s">
        <v>66</v>
      </c>
      <c r="O146" t="s">
        <v>66</v>
      </c>
      <c r="Q146" t="s">
        <v>66</v>
      </c>
      <c r="S146" t="s">
        <v>66</v>
      </c>
      <c r="U146" t="s">
        <v>66</v>
      </c>
      <c r="W146" t="s">
        <v>66</v>
      </c>
      <c r="Y146" t="s">
        <v>66</v>
      </c>
      <c r="AA146" t="s">
        <v>66</v>
      </c>
      <c r="AC146" t="s">
        <v>66</v>
      </c>
      <c r="AE146" t="s">
        <v>66</v>
      </c>
      <c r="AG146" t="s">
        <v>66</v>
      </c>
      <c r="AI146" t="s">
        <v>66</v>
      </c>
      <c r="AK146" t="s">
        <v>66</v>
      </c>
      <c r="AM146" t="s">
        <v>66</v>
      </c>
      <c r="AO146" t="s">
        <v>66</v>
      </c>
      <c r="AQ146" t="s">
        <v>66</v>
      </c>
      <c r="AS146" t="s">
        <v>66</v>
      </c>
      <c r="AU146" t="s">
        <v>66</v>
      </c>
      <c r="AW146" t="s">
        <v>66</v>
      </c>
      <c r="AY146" t="s">
        <v>66</v>
      </c>
      <c r="BA146" t="s">
        <v>66</v>
      </c>
      <c r="BC146" t="s">
        <v>66</v>
      </c>
      <c r="BE146" t="s">
        <v>66</v>
      </c>
      <c r="BG146" t="s">
        <v>66</v>
      </c>
      <c r="BI146" t="s">
        <v>66</v>
      </c>
      <c r="BK146" t="s">
        <v>66</v>
      </c>
      <c r="BM146" t="s">
        <v>66</v>
      </c>
      <c r="BO146" t="s">
        <v>66</v>
      </c>
      <c r="BQ146" t="s">
        <v>66</v>
      </c>
      <c r="BS146" t="s">
        <v>66</v>
      </c>
      <c r="BU146" t="s">
        <v>66</v>
      </c>
      <c r="BW146" t="s">
        <v>66</v>
      </c>
      <c r="BY146" t="s">
        <v>66</v>
      </c>
      <c r="CA146" t="s">
        <v>66</v>
      </c>
      <c r="CC146" t="s">
        <v>66</v>
      </c>
      <c r="CE146" t="s">
        <v>66</v>
      </c>
      <c r="CG146" t="s">
        <v>66</v>
      </c>
      <c r="CI146" t="s">
        <v>66</v>
      </c>
      <c r="CK146" t="s">
        <v>66</v>
      </c>
      <c r="CM146" t="s">
        <v>66</v>
      </c>
      <c r="CO146" t="s">
        <v>66</v>
      </c>
      <c r="CQ146" t="s">
        <v>66</v>
      </c>
      <c r="CS146" t="s">
        <v>66</v>
      </c>
      <c r="CU146" t="s">
        <v>66</v>
      </c>
      <c r="CW146" t="s">
        <v>66</v>
      </c>
      <c r="CY146" t="s">
        <v>66</v>
      </c>
      <c r="DA146" t="s">
        <v>66</v>
      </c>
      <c r="DC146" t="s">
        <v>66</v>
      </c>
      <c r="DE146" t="s">
        <v>66</v>
      </c>
      <c r="DG146" t="s">
        <v>66</v>
      </c>
      <c r="DI146" t="s">
        <v>66</v>
      </c>
      <c r="DK146" t="s">
        <v>66</v>
      </c>
      <c r="DM146" t="s">
        <v>66</v>
      </c>
      <c r="DO146" t="s">
        <v>66</v>
      </c>
      <c r="DQ146" t="s">
        <v>66</v>
      </c>
    </row>
    <row r="147" spans="1:121" x14ac:dyDescent="0.2">
      <c r="A147" t="s">
        <v>599</v>
      </c>
      <c r="D147" t="s">
        <v>60</v>
      </c>
      <c r="E147" t="s">
        <v>61</v>
      </c>
      <c r="G147">
        <v>63817.5</v>
      </c>
      <c r="I147">
        <v>770.8</v>
      </c>
      <c r="K147">
        <v>4303719.8</v>
      </c>
      <c r="M147">
        <v>277259.59999999998</v>
      </c>
      <c r="O147">
        <v>3425.2</v>
      </c>
      <c r="Q147">
        <v>85211.7</v>
      </c>
      <c r="S147">
        <v>3958</v>
      </c>
      <c r="U147">
        <v>2879.7</v>
      </c>
      <c r="W147">
        <v>4771138.8</v>
      </c>
      <c r="Y147">
        <v>232083.5</v>
      </c>
      <c r="AA147">
        <v>15649769.1</v>
      </c>
      <c r="AC147">
        <v>16778476.600000001</v>
      </c>
      <c r="AE147">
        <v>62074073.100000001</v>
      </c>
      <c r="AG147">
        <v>276057.59999999998</v>
      </c>
      <c r="AI147">
        <v>445807.5</v>
      </c>
      <c r="AK147">
        <v>34341.9</v>
      </c>
      <c r="AM147">
        <v>9090.1</v>
      </c>
      <c r="AO147">
        <v>803.4</v>
      </c>
      <c r="AQ147">
        <v>534.5</v>
      </c>
      <c r="AS147">
        <v>574.1</v>
      </c>
      <c r="AU147">
        <v>320.89999999999998</v>
      </c>
      <c r="AW147">
        <v>375.1</v>
      </c>
      <c r="AY147">
        <v>40943.1</v>
      </c>
      <c r="BA147">
        <v>668292.9</v>
      </c>
      <c r="BC147">
        <v>3701.6</v>
      </c>
      <c r="BE147">
        <v>131283.5</v>
      </c>
      <c r="BG147">
        <v>6905203.7000000002</v>
      </c>
      <c r="BI147">
        <v>5836351.2999999998</v>
      </c>
      <c r="BK147">
        <v>14298201.800000001</v>
      </c>
      <c r="BM147">
        <v>2058817.3</v>
      </c>
      <c r="BO147">
        <v>62903522.100000001</v>
      </c>
      <c r="BQ147">
        <v>176487.4</v>
      </c>
      <c r="BS147">
        <v>879549.5</v>
      </c>
      <c r="BU147">
        <v>16722985.1</v>
      </c>
      <c r="BW147">
        <v>517802.7</v>
      </c>
      <c r="BY147">
        <v>681960.3</v>
      </c>
      <c r="CA147">
        <v>99204.5</v>
      </c>
      <c r="CC147">
        <v>1012.6</v>
      </c>
      <c r="CE147">
        <v>4865.2</v>
      </c>
      <c r="CG147">
        <v>779112.1</v>
      </c>
      <c r="CI147">
        <v>463924.9</v>
      </c>
      <c r="CK147">
        <v>4003080.2</v>
      </c>
      <c r="CM147">
        <v>45897.2</v>
      </c>
      <c r="CO147">
        <v>137128.20000000001</v>
      </c>
      <c r="CQ147">
        <v>1470273.5</v>
      </c>
      <c r="CS147">
        <v>21262118.100000001</v>
      </c>
      <c r="CU147">
        <v>1671098.1</v>
      </c>
      <c r="CW147">
        <v>2059171.3</v>
      </c>
      <c r="CY147">
        <v>58042.6</v>
      </c>
      <c r="DA147">
        <v>33389031.600000001</v>
      </c>
      <c r="DC147">
        <v>269.5</v>
      </c>
      <c r="DE147">
        <v>112911.5</v>
      </c>
      <c r="DG147">
        <v>281.2</v>
      </c>
      <c r="DI147">
        <v>1526.9</v>
      </c>
      <c r="DK147">
        <v>908.7</v>
      </c>
      <c r="DM147">
        <v>484077</v>
      </c>
      <c r="DO147">
        <v>519349.6</v>
      </c>
      <c r="DQ147">
        <v>17847.599999999999</v>
      </c>
    </row>
    <row r="148" spans="1:121" x14ac:dyDescent="0.2">
      <c r="D148" t="s">
        <v>62</v>
      </c>
      <c r="E148" t="s">
        <v>61</v>
      </c>
      <c r="G148">
        <v>107.2</v>
      </c>
      <c r="I148">
        <v>39.799999999999997</v>
      </c>
      <c r="K148">
        <v>20751.900000000001</v>
      </c>
      <c r="M148">
        <v>1271.3</v>
      </c>
      <c r="O148">
        <v>84.1</v>
      </c>
      <c r="Q148">
        <v>1538.7</v>
      </c>
      <c r="S148">
        <v>72.3</v>
      </c>
      <c r="U148">
        <v>20.8</v>
      </c>
      <c r="W148">
        <v>32439.5</v>
      </c>
      <c r="Y148">
        <v>1708.2</v>
      </c>
      <c r="AA148">
        <v>197787</v>
      </c>
      <c r="AC148">
        <v>95950.8</v>
      </c>
      <c r="AE148">
        <v>191889.9</v>
      </c>
      <c r="AG148">
        <v>1358</v>
      </c>
      <c r="AI148">
        <v>3225.7</v>
      </c>
      <c r="AK148">
        <v>676.8</v>
      </c>
      <c r="AM148">
        <v>201.4</v>
      </c>
      <c r="AO148">
        <v>30.2</v>
      </c>
      <c r="AQ148">
        <v>8.3000000000000007</v>
      </c>
      <c r="AS148">
        <v>26.9</v>
      </c>
      <c r="AU148">
        <v>30</v>
      </c>
      <c r="AW148">
        <v>31.8</v>
      </c>
      <c r="AY148">
        <v>300.39999999999998</v>
      </c>
      <c r="BA148">
        <v>2138.1</v>
      </c>
      <c r="BC148">
        <v>69.2</v>
      </c>
      <c r="BE148">
        <v>1078.3</v>
      </c>
      <c r="BG148">
        <v>51524</v>
      </c>
      <c r="BI148">
        <v>20348</v>
      </c>
      <c r="BK148">
        <v>82749.600000000006</v>
      </c>
      <c r="BM148">
        <v>18970.5</v>
      </c>
      <c r="BO148">
        <v>285569.3</v>
      </c>
      <c r="BQ148">
        <v>1888.3</v>
      </c>
      <c r="BS148">
        <v>9884.2000000000007</v>
      </c>
      <c r="BU148">
        <v>158534.79999999999</v>
      </c>
      <c r="BW148">
        <v>5073.3</v>
      </c>
      <c r="BY148">
        <v>2891.4</v>
      </c>
      <c r="CA148">
        <v>1096.7</v>
      </c>
      <c r="CC148">
        <v>89.9</v>
      </c>
      <c r="CE148">
        <v>245</v>
      </c>
      <c r="CG148">
        <v>18410</v>
      </c>
      <c r="CI148">
        <v>8216.2999999999993</v>
      </c>
      <c r="CK148">
        <v>97986.1</v>
      </c>
      <c r="CM148">
        <v>909.2</v>
      </c>
      <c r="CO148">
        <v>2302.4</v>
      </c>
      <c r="CQ148">
        <v>30321.4</v>
      </c>
      <c r="CS148">
        <v>280674</v>
      </c>
      <c r="CU148">
        <v>41376</v>
      </c>
      <c r="CW148">
        <v>73262.399999999994</v>
      </c>
      <c r="CY148">
        <v>1231.8</v>
      </c>
      <c r="DA148">
        <v>685427.4</v>
      </c>
      <c r="DC148">
        <v>9.1999999999999993</v>
      </c>
      <c r="DE148">
        <v>2487.1</v>
      </c>
      <c r="DG148">
        <v>13.4</v>
      </c>
      <c r="DI148">
        <v>158.6</v>
      </c>
      <c r="DK148">
        <v>13.5</v>
      </c>
      <c r="DM148">
        <v>8570.4</v>
      </c>
      <c r="DO148">
        <v>2779.5</v>
      </c>
      <c r="DQ148">
        <v>167.8</v>
      </c>
    </row>
    <row r="149" spans="1:121" x14ac:dyDescent="0.2">
      <c r="D149" t="s">
        <v>63</v>
      </c>
      <c r="G149">
        <v>0.47987999999999997</v>
      </c>
      <c r="H149" t="s">
        <v>75</v>
      </c>
      <c r="I149">
        <v>1.4670000000000001E-2</v>
      </c>
      <c r="J149" t="s">
        <v>75</v>
      </c>
      <c r="K149">
        <v>5.54901</v>
      </c>
      <c r="L149" t="s">
        <v>75</v>
      </c>
      <c r="M149">
        <v>0.25152000000000002</v>
      </c>
      <c r="N149" t="s">
        <v>75</v>
      </c>
      <c r="O149">
        <v>5.8300000000000001E-3</v>
      </c>
      <c r="P149" t="s">
        <v>75</v>
      </c>
      <c r="Q149">
        <v>0.57906999999999997</v>
      </c>
      <c r="R149" t="s">
        <v>75</v>
      </c>
      <c r="S149">
        <v>2.82E-3</v>
      </c>
      <c r="T149" t="s">
        <v>75</v>
      </c>
      <c r="U149">
        <v>1.7729999999999999E-2</v>
      </c>
      <c r="V149" t="s">
        <v>75</v>
      </c>
      <c r="W149">
        <v>10.269019999999999</v>
      </c>
      <c r="X149" t="s">
        <v>75</v>
      </c>
      <c r="Y149">
        <v>3.4956700000000001</v>
      </c>
      <c r="Z149" t="s">
        <v>75</v>
      </c>
      <c r="AB149" t="s">
        <v>76</v>
      </c>
      <c r="AC149">
        <v>60.5886</v>
      </c>
      <c r="AD149" t="s">
        <v>75</v>
      </c>
      <c r="AE149">
        <v>235.86897999999999</v>
      </c>
      <c r="AF149" t="s">
        <v>75</v>
      </c>
      <c r="AG149">
        <v>0.20349</v>
      </c>
      <c r="AH149" t="s">
        <v>75</v>
      </c>
      <c r="AI149">
        <v>2.8582900000000002</v>
      </c>
      <c r="AJ149" t="s">
        <v>75</v>
      </c>
      <c r="AK149">
        <v>2.1760000000000002E-2</v>
      </c>
      <c r="AL149" t="s">
        <v>75</v>
      </c>
      <c r="AM149">
        <v>1.24E-3</v>
      </c>
      <c r="AN149" t="s">
        <v>75</v>
      </c>
      <c r="AO149">
        <v>4.4000000000000003E-3</v>
      </c>
      <c r="AP149" t="s">
        <v>75</v>
      </c>
      <c r="AQ149">
        <v>1.3699999999999999E-3</v>
      </c>
      <c r="AR149" t="s">
        <v>75</v>
      </c>
      <c r="AS149">
        <v>1.5499999999999999E-3</v>
      </c>
      <c r="AT149" t="s">
        <v>75</v>
      </c>
      <c r="AU149">
        <v>1.56E-3</v>
      </c>
      <c r="AV149" t="s">
        <v>75</v>
      </c>
      <c r="AW149">
        <v>1.2E-4</v>
      </c>
      <c r="AX149" t="s">
        <v>75</v>
      </c>
      <c r="AY149">
        <v>0.12366000000000001</v>
      </c>
      <c r="AZ149" t="s">
        <v>75</v>
      </c>
      <c r="BC149">
        <v>-2.04867</v>
      </c>
      <c r="BD149" t="s">
        <v>75</v>
      </c>
      <c r="BE149">
        <v>0.12973000000000001</v>
      </c>
      <c r="BF149" t="s">
        <v>75</v>
      </c>
      <c r="BG149">
        <v>20.099920000000001</v>
      </c>
      <c r="BH149" t="s">
        <v>75</v>
      </c>
      <c r="BI149">
        <v>19.552689999999998</v>
      </c>
      <c r="BJ149" t="s">
        <v>75</v>
      </c>
      <c r="BK149">
        <v>20.13871</v>
      </c>
      <c r="BL149" t="s">
        <v>75</v>
      </c>
      <c r="BM149">
        <v>1.9528000000000001</v>
      </c>
      <c r="BN149" t="s">
        <v>75</v>
      </c>
      <c r="BO149">
        <v>1425.2412099999999</v>
      </c>
      <c r="BP149" t="s">
        <v>75</v>
      </c>
      <c r="BQ149">
        <v>5.7168299999999999</v>
      </c>
      <c r="BR149" t="s">
        <v>75</v>
      </c>
      <c r="BS149">
        <v>19.79448</v>
      </c>
      <c r="BT149" t="s">
        <v>75</v>
      </c>
      <c r="BU149">
        <v>690.18687</v>
      </c>
      <c r="BV149" t="s">
        <v>75</v>
      </c>
      <c r="BW149">
        <v>225.59236000000001</v>
      </c>
      <c r="BX149" t="s">
        <v>75</v>
      </c>
      <c r="BY149">
        <v>188.73316</v>
      </c>
      <c r="BZ149" t="s">
        <v>75</v>
      </c>
      <c r="CA149">
        <v>51.013039999999997</v>
      </c>
      <c r="CB149" t="s">
        <v>75</v>
      </c>
      <c r="CC149">
        <v>0.20787</v>
      </c>
      <c r="CD149" t="s">
        <v>75</v>
      </c>
      <c r="CE149">
        <v>7.2849999999999998E-2</v>
      </c>
      <c r="CF149" t="s">
        <v>75</v>
      </c>
      <c r="CG149">
        <v>13.6264</v>
      </c>
      <c r="CH149" t="s">
        <v>75</v>
      </c>
      <c r="CI149">
        <v>6.1896199999999997</v>
      </c>
      <c r="CJ149" t="s">
        <v>75</v>
      </c>
      <c r="CK149">
        <v>57.91104</v>
      </c>
      <c r="CL149" t="s">
        <v>75</v>
      </c>
      <c r="CM149">
        <v>0.66283000000000003</v>
      </c>
      <c r="CN149" t="s">
        <v>75</v>
      </c>
      <c r="CO149">
        <v>7.97905</v>
      </c>
      <c r="CP149" t="s">
        <v>75</v>
      </c>
      <c r="CQ149">
        <v>45.681780000000003</v>
      </c>
      <c r="CR149" t="s">
        <v>75</v>
      </c>
      <c r="CS149">
        <v>5716.3083500000002</v>
      </c>
      <c r="CT149" t="s">
        <v>75</v>
      </c>
      <c r="CV149" t="s">
        <v>76</v>
      </c>
      <c r="CW149">
        <v>78.562970000000007</v>
      </c>
      <c r="CX149" t="s">
        <v>75</v>
      </c>
      <c r="DA149">
        <v>1817.9044100000001</v>
      </c>
      <c r="DB149" t="s">
        <v>75</v>
      </c>
      <c r="DC149">
        <v>0.1072</v>
      </c>
      <c r="DD149" t="s">
        <v>75</v>
      </c>
      <c r="DE149">
        <v>46.658439999999999</v>
      </c>
      <c r="DF149" t="s">
        <v>75</v>
      </c>
      <c r="DG149">
        <v>1.2895700000000001</v>
      </c>
      <c r="DH149" t="s">
        <v>75</v>
      </c>
      <c r="DI149">
        <v>2.0050300000000001</v>
      </c>
      <c r="DJ149" t="s">
        <v>75</v>
      </c>
      <c r="DL149" t="s">
        <v>76</v>
      </c>
      <c r="DN149" t="s">
        <v>76</v>
      </c>
      <c r="DO149">
        <v>70.180899999999994</v>
      </c>
      <c r="DP149" t="s">
        <v>75</v>
      </c>
    </row>
    <row r="150" spans="1:121" x14ac:dyDescent="0.2">
      <c r="D150" t="s">
        <v>64</v>
      </c>
      <c r="G150">
        <v>1E-3</v>
      </c>
      <c r="H150" t="s">
        <v>75</v>
      </c>
      <c r="I150">
        <v>1.4E-3</v>
      </c>
      <c r="J150" t="s">
        <v>75</v>
      </c>
      <c r="K150">
        <v>1.5679999999999999E-2</v>
      </c>
      <c r="L150" t="s">
        <v>75</v>
      </c>
      <c r="M150">
        <v>5.1999999999999995E-4</v>
      </c>
      <c r="N150" t="s">
        <v>75</v>
      </c>
      <c r="O150">
        <v>8.0000000000000007E-5</v>
      </c>
      <c r="P150" t="s">
        <v>75</v>
      </c>
      <c r="Q150">
        <v>8.3400000000000002E-3</v>
      </c>
      <c r="R150" t="s">
        <v>75</v>
      </c>
      <c r="S150">
        <v>6.0000000000000002E-5</v>
      </c>
      <c r="T150" t="s">
        <v>75</v>
      </c>
      <c r="U150">
        <v>1.1E-4</v>
      </c>
      <c r="V150" t="s">
        <v>75</v>
      </c>
      <c r="W150">
        <v>6.3130000000000006E-2</v>
      </c>
      <c r="X150" t="s">
        <v>75</v>
      </c>
      <c r="Y150">
        <v>1.8550000000000001E-2</v>
      </c>
      <c r="Z150" t="s">
        <v>75</v>
      </c>
      <c r="AC150">
        <v>0.33087</v>
      </c>
      <c r="AD150" t="s">
        <v>75</v>
      </c>
      <c r="AE150">
        <v>0.86653000000000002</v>
      </c>
      <c r="AF150" t="s">
        <v>75</v>
      </c>
      <c r="AG150">
        <v>1.1000000000000001E-3</v>
      </c>
      <c r="AH150" t="s">
        <v>75</v>
      </c>
      <c r="AI150">
        <v>2.3089999999999999E-2</v>
      </c>
      <c r="AJ150" t="s">
        <v>75</v>
      </c>
      <c r="AK150">
        <v>4.0000000000000002E-4</v>
      </c>
      <c r="AL150" t="s">
        <v>75</v>
      </c>
      <c r="AM150">
        <v>1.2999999999999999E-4</v>
      </c>
      <c r="AN150" t="s">
        <v>75</v>
      </c>
      <c r="AO150">
        <v>1.2E-4</v>
      </c>
      <c r="AP150" t="s">
        <v>75</v>
      </c>
      <c r="AQ150">
        <v>3.0000000000000001E-5</v>
      </c>
      <c r="AR150" t="s">
        <v>75</v>
      </c>
      <c r="AS150">
        <v>1.2E-4</v>
      </c>
      <c r="AT150" t="s">
        <v>75</v>
      </c>
      <c r="AU150">
        <v>2.0000000000000002E-5</v>
      </c>
      <c r="AV150" t="s">
        <v>75</v>
      </c>
      <c r="AW150">
        <v>6.9999999999999994E-5</v>
      </c>
      <c r="AX150" t="s">
        <v>75</v>
      </c>
      <c r="AY150">
        <v>1.09E-3</v>
      </c>
      <c r="AZ150" t="s">
        <v>75</v>
      </c>
      <c r="BC150">
        <v>2.3000000000000001E-4</v>
      </c>
      <c r="BD150" t="s">
        <v>75</v>
      </c>
      <c r="BE150">
        <v>7.2999999999999996E-4</v>
      </c>
      <c r="BF150" t="s">
        <v>75</v>
      </c>
      <c r="BG150">
        <v>0.11713999999999999</v>
      </c>
      <c r="BH150" t="s">
        <v>75</v>
      </c>
      <c r="BI150">
        <v>0.12598999999999999</v>
      </c>
      <c r="BJ150" t="s">
        <v>75</v>
      </c>
      <c r="BK150">
        <v>8.1710000000000005E-2</v>
      </c>
      <c r="BL150" t="s">
        <v>75</v>
      </c>
      <c r="BM150">
        <v>1.3169999999999999E-2</v>
      </c>
      <c r="BN150" t="s">
        <v>75</v>
      </c>
      <c r="BO150">
        <v>27.22963</v>
      </c>
      <c r="BP150" t="s">
        <v>75</v>
      </c>
      <c r="BQ150">
        <v>7.1209999999999996E-2</v>
      </c>
      <c r="BR150" t="s">
        <v>75</v>
      </c>
      <c r="BS150">
        <v>0.31081999999999999</v>
      </c>
      <c r="BT150" t="s">
        <v>75</v>
      </c>
      <c r="BU150">
        <v>13.09686</v>
      </c>
      <c r="BV150" t="s">
        <v>75</v>
      </c>
      <c r="BW150">
        <v>4.9186100000000001</v>
      </c>
      <c r="BX150" t="s">
        <v>75</v>
      </c>
      <c r="BY150">
        <v>4.6766199999999998</v>
      </c>
      <c r="BZ150" t="s">
        <v>75</v>
      </c>
      <c r="CA150">
        <v>1.4069799999999999</v>
      </c>
      <c r="CB150" t="s">
        <v>75</v>
      </c>
      <c r="CC150">
        <v>2.189E-2</v>
      </c>
      <c r="CD150" t="s">
        <v>75</v>
      </c>
      <c r="CE150">
        <v>4.5100000000000001E-3</v>
      </c>
      <c r="CF150" t="s">
        <v>75</v>
      </c>
      <c r="CG150">
        <v>0.36163000000000001</v>
      </c>
      <c r="CH150" t="s">
        <v>75</v>
      </c>
      <c r="CI150">
        <v>8.1670000000000006E-2</v>
      </c>
      <c r="CJ150" t="s">
        <v>75</v>
      </c>
      <c r="CK150">
        <v>1.8652899999999999</v>
      </c>
      <c r="CL150" t="s">
        <v>75</v>
      </c>
      <c r="CM150">
        <v>2.2040000000000001E-2</v>
      </c>
      <c r="CN150" t="s">
        <v>75</v>
      </c>
      <c r="CO150">
        <v>0.25211</v>
      </c>
      <c r="CP150" t="s">
        <v>75</v>
      </c>
      <c r="CQ150">
        <v>1.78101</v>
      </c>
      <c r="CR150" t="s">
        <v>75</v>
      </c>
      <c r="CS150">
        <v>196.48881</v>
      </c>
      <c r="CT150" t="s">
        <v>75</v>
      </c>
      <c r="CW150">
        <v>4.5018000000000002</v>
      </c>
      <c r="CX150" t="s">
        <v>75</v>
      </c>
      <c r="DA150">
        <v>26.22823</v>
      </c>
      <c r="DB150" t="s">
        <v>75</v>
      </c>
      <c r="DC150">
        <v>4.2300000000000003E-3</v>
      </c>
      <c r="DD150" t="s">
        <v>75</v>
      </c>
      <c r="DE150">
        <v>0.80212000000000006</v>
      </c>
      <c r="DF150" t="s">
        <v>75</v>
      </c>
      <c r="DG150">
        <v>7.3800000000000004E-2</v>
      </c>
      <c r="DH150" t="s">
        <v>75</v>
      </c>
      <c r="DI150">
        <v>0.27091999999999999</v>
      </c>
      <c r="DJ150" t="s">
        <v>75</v>
      </c>
      <c r="DO150">
        <v>0.88346999999999998</v>
      </c>
      <c r="DP150" t="s">
        <v>75</v>
      </c>
    </row>
    <row r="151" spans="1:121" x14ac:dyDescent="0.2">
      <c r="D151" t="s">
        <v>65</v>
      </c>
      <c r="G151" t="s">
        <v>66</v>
      </c>
      <c r="I151" t="s">
        <v>66</v>
      </c>
      <c r="K151" t="s">
        <v>66</v>
      </c>
      <c r="M151" t="s">
        <v>66</v>
      </c>
      <c r="O151" t="s">
        <v>66</v>
      </c>
      <c r="Q151" t="s">
        <v>66</v>
      </c>
      <c r="S151" t="s">
        <v>66</v>
      </c>
      <c r="U151" t="s">
        <v>66</v>
      </c>
      <c r="W151" t="s">
        <v>66</v>
      </c>
      <c r="Y151" t="s">
        <v>66</v>
      </c>
      <c r="AA151" t="s">
        <v>66</v>
      </c>
      <c r="AC151" t="s">
        <v>66</v>
      </c>
      <c r="AE151" t="s">
        <v>66</v>
      </c>
      <c r="AG151" t="s">
        <v>66</v>
      </c>
      <c r="AI151" t="s">
        <v>66</v>
      </c>
      <c r="AK151" t="s">
        <v>66</v>
      </c>
      <c r="AM151" t="s">
        <v>66</v>
      </c>
      <c r="AO151" t="s">
        <v>66</v>
      </c>
      <c r="AQ151" t="s">
        <v>66</v>
      </c>
      <c r="AS151" t="s">
        <v>66</v>
      </c>
      <c r="AU151" t="s">
        <v>66</v>
      </c>
      <c r="AW151" t="s">
        <v>66</v>
      </c>
      <c r="AY151" t="s">
        <v>66</v>
      </c>
      <c r="BA151" t="s">
        <v>66</v>
      </c>
      <c r="BC151" t="s">
        <v>66</v>
      </c>
      <c r="BE151" t="s">
        <v>66</v>
      </c>
      <c r="BG151" t="s">
        <v>66</v>
      </c>
      <c r="BI151" t="s">
        <v>66</v>
      </c>
      <c r="BK151" t="s">
        <v>66</v>
      </c>
      <c r="BM151" t="s">
        <v>66</v>
      </c>
      <c r="BO151" t="s">
        <v>66</v>
      </c>
      <c r="BQ151" t="s">
        <v>66</v>
      </c>
      <c r="BS151" t="s">
        <v>66</v>
      </c>
      <c r="BU151" t="s">
        <v>66</v>
      </c>
      <c r="BW151" t="s">
        <v>66</v>
      </c>
      <c r="BY151" t="s">
        <v>66</v>
      </c>
      <c r="CA151" t="s">
        <v>66</v>
      </c>
      <c r="CC151" t="s">
        <v>66</v>
      </c>
      <c r="CE151" t="s">
        <v>66</v>
      </c>
      <c r="CG151" t="s">
        <v>66</v>
      </c>
      <c r="CI151" t="s">
        <v>66</v>
      </c>
      <c r="CK151" t="s">
        <v>66</v>
      </c>
      <c r="CM151" t="s">
        <v>66</v>
      </c>
      <c r="CO151" t="s">
        <v>66</v>
      </c>
      <c r="CQ151" t="s">
        <v>66</v>
      </c>
      <c r="CS151" t="s">
        <v>66</v>
      </c>
      <c r="CU151" t="s">
        <v>66</v>
      </c>
      <c r="CW151" t="s">
        <v>66</v>
      </c>
      <c r="CY151" t="s">
        <v>66</v>
      </c>
      <c r="DA151" t="s">
        <v>66</v>
      </c>
      <c r="DC151" t="s">
        <v>66</v>
      </c>
      <c r="DE151" t="s">
        <v>66</v>
      </c>
      <c r="DG151" t="s">
        <v>66</v>
      </c>
      <c r="DI151" t="s">
        <v>66</v>
      </c>
      <c r="DK151" t="s">
        <v>66</v>
      </c>
      <c r="DM151" t="s">
        <v>66</v>
      </c>
      <c r="DO151" t="s">
        <v>66</v>
      </c>
      <c r="DQ151" t="s">
        <v>66</v>
      </c>
    </row>
    <row r="152" spans="1:121" x14ac:dyDescent="0.2">
      <c r="A152" t="s">
        <v>600</v>
      </c>
      <c r="D152" t="s">
        <v>60</v>
      </c>
      <c r="E152" t="s">
        <v>61</v>
      </c>
      <c r="G152">
        <v>14484.2</v>
      </c>
      <c r="I152">
        <v>828.3</v>
      </c>
      <c r="K152">
        <v>714808.5</v>
      </c>
      <c r="M152">
        <v>109278.5</v>
      </c>
      <c r="O152">
        <v>1417.7</v>
      </c>
      <c r="Q152">
        <v>23580.3</v>
      </c>
      <c r="S152">
        <v>1583.4</v>
      </c>
      <c r="U152">
        <v>1921.4</v>
      </c>
      <c r="W152">
        <v>289659.2</v>
      </c>
      <c r="Y152">
        <v>23095.9</v>
      </c>
      <c r="AA152">
        <v>3219079.3</v>
      </c>
      <c r="AC152">
        <v>1424880.3</v>
      </c>
      <c r="AE152">
        <v>1746730.7</v>
      </c>
      <c r="AG152">
        <v>44249.4</v>
      </c>
      <c r="AI152">
        <v>117701.7</v>
      </c>
      <c r="AK152">
        <v>2566.9</v>
      </c>
      <c r="AM152">
        <v>3481.4</v>
      </c>
      <c r="AO152">
        <v>469.8</v>
      </c>
      <c r="AQ152">
        <v>193.8</v>
      </c>
      <c r="AS152">
        <v>498.1</v>
      </c>
      <c r="AU152">
        <v>290.60000000000002</v>
      </c>
      <c r="AW152">
        <v>264.60000000000002</v>
      </c>
      <c r="AY152">
        <v>11666</v>
      </c>
      <c r="BA152">
        <v>669685.6</v>
      </c>
      <c r="BC152">
        <v>3756.8</v>
      </c>
      <c r="BE152">
        <v>28080.7</v>
      </c>
      <c r="BG152">
        <v>1164331.8</v>
      </c>
      <c r="BI152">
        <v>984323.5</v>
      </c>
      <c r="BK152">
        <v>2568268</v>
      </c>
      <c r="BM152">
        <v>529021.5</v>
      </c>
      <c r="BO152">
        <v>5797897.7000000002</v>
      </c>
      <c r="BQ152">
        <v>61595.3</v>
      </c>
      <c r="BS152">
        <v>290504.5</v>
      </c>
      <c r="BU152">
        <v>1479286.5</v>
      </c>
      <c r="BW152">
        <v>36210.5</v>
      </c>
      <c r="BY152">
        <v>213587.3</v>
      </c>
      <c r="CA152">
        <v>29153.7</v>
      </c>
      <c r="CC152">
        <v>177.8</v>
      </c>
      <c r="CE152">
        <v>791.1</v>
      </c>
      <c r="CG152">
        <v>189238</v>
      </c>
      <c r="CI152">
        <v>94342.9</v>
      </c>
      <c r="CK152">
        <v>531869.80000000005</v>
      </c>
      <c r="CM152">
        <v>4328.3999999999996</v>
      </c>
      <c r="CO152">
        <v>11427.4</v>
      </c>
      <c r="CQ152">
        <v>126057</v>
      </c>
      <c r="CS152">
        <v>2524172.4</v>
      </c>
      <c r="CU152">
        <v>290259.90000000002</v>
      </c>
      <c r="CW152">
        <v>150714.9</v>
      </c>
      <c r="CY152">
        <v>60070.5</v>
      </c>
      <c r="DA152">
        <v>5470231.0999999996</v>
      </c>
      <c r="DC152">
        <v>128.9</v>
      </c>
      <c r="DE152">
        <v>4512.7</v>
      </c>
      <c r="DG152">
        <v>57.5</v>
      </c>
      <c r="DI152">
        <v>1476.1</v>
      </c>
      <c r="DK152">
        <v>995.5</v>
      </c>
      <c r="DM152">
        <v>88118.8</v>
      </c>
      <c r="DO152">
        <v>41602.1</v>
      </c>
      <c r="DQ152">
        <v>17230.599999999999</v>
      </c>
    </row>
    <row r="153" spans="1:121" x14ac:dyDescent="0.2">
      <c r="D153" t="s">
        <v>62</v>
      </c>
      <c r="E153" t="s">
        <v>61</v>
      </c>
      <c r="G153">
        <v>328.3</v>
      </c>
      <c r="I153">
        <v>67.400000000000006</v>
      </c>
      <c r="K153">
        <v>12778.1</v>
      </c>
      <c r="M153">
        <v>937.2</v>
      </c>
      <c r="O153">
        <v>145.80000000000001</v>
      </c>
      <c r="Q153">
        <v>99.2</v>
      </c>
      <c r="S153">
        <v>70</v>
      </c>
      <c r="U153">
        <v>72.900000000000006</v>
      </c>
      <c r="W153">
        <v>3980.1</v>
      </c>
      <c r="Y153">
        <v>641.5</v>
      </c>
      <c r="AA153">
        <v>250997.4</v>
      </c>
      <c r="AC153">
        <v>132040.6</v>
      </c>
      <c r="AE153">
        <v>318792.8</v>
      </c>
      <c r="AG153">
        <v>5848.1</v>
      </c>
      <c r="AI153">
        <v>6474.6</v>
      </c>
      <c r="AK153">
        <v>218.8</v>
      </c>
      <c r="AM153">
        <v>325</v>
      </c>
      <c r="AO153">
        <v>54.7</v>
      </c>
      <c r="AQ153">
        <v>27.2</v>
      </c>
      <c r="AS153">
        <v>42.5</v>
      </c>
      <c r="AU153">
        <v>29.8</v>
      </c>
      <c r="AW153">
        <v>97.1</v>
      </c>
      <c r="AY153">
        <v>177.5</v>
      </c>
      <c r="BA153">
        <v>27959.8</v>
      </c>
      <c r="BC153">
        <v>100.8</v>
      </c>
      <c r="BE153">
        <v>1386.6</v>
      </c>
      <c r="BG153">
        <v>56519.9</v>
      </c>
      <c r="BI153">
        <v>30364.9</v>
      </c>
      <c r="BK153">
        <v>135209.4</v>
      </c>
      <c r="BM153">
        <v>25918.9</v>
      </c>
      <c r="BO153">
        <v>36110.199999999997</v>
      </c>
      <c r="BQ153">
        <v>370.4</v>
      </c>
      <c r="BS153">
        <v>3290.2</v>
      </c>
      <c r="BU153">
        <v>5637.2</v>
      </c>
      <c r="BW153">
        <v>163.69999999999999</v>
      </c>
      <c r="BY153">
        <v>1347.1</v>
      </c>
      <c r="CA153">
        <v>561.29999999999995</v>
      </c>
      <c r="CC153">
        <v>27.4</v>
      </c>
      <c r="CE153">
        <v>13.2</v>
      </c>
      <c r="CG153">
        <v>890</v>
      </c>
      <c r="CI153">
        <v>907.5</v>
      </c>
      <c r="CK153">
        <v>7107.1</v>
      </c>
      <c r="CM153">
        <v>96</v>
      </c>
      <c r="CO153">
        <v>165.5</v>
      </c>
      <c r="CQ153">
        <v>393.5</v>
      </c>
      <c r="CS153">
        <v>26731.8</v>
      </c>
      <c r="CU153">
        <v>1083.5999999999999</v>
      </c>
      <c r="CW153">
        <v>1353.1</v>
      </c>
      <c r="CY153">
        <v>453.2</v>
      </c>
      <c r="DA153">
        <v>59165.1</v>
      </c>
      <c r="DC153">
        <v>5.4</v>
      </c>
      <c r="DE153">
        <v>162.19999999999999</v>
      </c>
      <c r="DG153">
        <v>8.6</v>
      </c>
      <c r="DI153">
        <v>71.099999999999994</v>
      </c>
      <c r="DK153">
        <v>69.2</v>
      </c>
      <c r="DM153">
        <v>668.7</v>
      </c>
      <c r="DO153">
        <v>1218.7</v>
      </c>
      <c r="DQ153">
        <v>258.60000000000002</v>
      </c>
    </row>
    <row r="154" spans="1:121" x14ac:dyDescent="0.2">
      <c r="D154" t="s">
        <v>63</v>
      </c>
      <c r="G154">
        <v>8.2299999999999998E-2</v>
      </c>
      <c r="H154" t="s">
        <v>75</v>
      </c>
      <c r="I154">
        <v>1.661E-2</v>
      </c>
      <c r="J154" t="s">
        <v>75</v>
      </c>
      <c r="K154">
        <v>0.91747999999999996</v>
      </c>
      <c r="L154" t="s">
        <v>75</v>
      </c>
      <c r="M154">
        <v>7.8299999999999995E-2</v>
      </c>
      <c r="N154" t="s">
        <v>75</v>
      </c>
      <c r="O154">
        <v>4.1200000000000004E-3</v>
      </c>
      <c r="P154" t="s">
        <v>75</v>
      </c>
      <c r="Q154">
        <v>0.17530999999999999</v>
      </c>
      <c r="R154" t="s">
        <v>75</v>
      </c>
      <c r="S154">
        <v>7.1000000000000002E-4</v>
      </c>
      <c r="T154" t="s">
        <v>75</v>
      </c>
      <c r="U154">
        <v>1.3690000000000001E-2</v>
      </c>
      <c r="V154" t="s">
        <v>75</v>
      </c>
      <c r="W154">
        <v>0.62602999999999998</v>
      </c>
      <c r="X154" t="s">
        <v>75</v>
      </c>
      <c r="Y154">
        <v>0.34737000000000001</v>
      </c>
      <c r="Z154" t="s">
        <v>75</v>
      </c>
      <c r="AB154" t="s">
        <v>76</v>
      </c>
      <c r="AC154">
        <v>5.1881399999999998</v>
      </c>
      <c r="AD154" t="s">
        <v>75</v>
      </c>
      <c r="AE154">
        <v>6.6924200000000003</v>
      </c>
      <c r="AF154" t="s">
        <v>75</v>
      </c>
      <c r="AG154">
        <v>1.8950000000000002E-2</v>
      </c>
      <c r="AH154" t="s">
        <v>75</v>
      </c>
      <c r="AI154">
        <v>0.75478000000000001</v>
      </c>
      <c r="AJ154" t="s">
        <v>75</v>
      </c>
      <c r="AK154">
        <v>-3.6000000000000002E-4</v>
      </c>
      <c r="AL154" t="s">
        <v>75</v>
      </c>
      <c r="AM154">
        <v>-3.0300000000000001E-3</v>
      </c>
      <c r="AN154" t="s">
        <v>75</v>
      </c>
      <c r="AO154">
        <v>3.16E-3</v>
      </c>
      <c r="AP154" t="s">
        <v>75</v>
      </c>
      <c r="AQ154">
        <v>-1.1E-4</v>
      </c>
      <c r="AR154" t="s">
        <v>75</v>
      </c>
      <c r="AS154">
        <v>1.1999999999999999E-3</v>
      </c>
      <c r="AT154" t="s">
        <v>75</v>
      </c>
      <c r="AU154">
        <v>1.5399999999999999E-3</v>
      </c>
      <c r="AV154" t="s">
        <v>75</v>
      </c>
      <c r="AW154">
        <v>-1.6000000000000001E-4</v>
      </c>
      <c r="AX154" t="s">
        <v>75</v>
      </c>
      <c r="AY154">
        <v>2.7799999999999998E-2</v>
      </c>
      <c r="AZ154" t="s">
        <v>75</v>
      </c>
      <c r="BC154">
        <v>-2.0485199999999999</v>
      </c>
      <c r="BD154" t="s">
        <v>75</v>
      </c>
      <c r="BE154">
        <v>2.9780000000000001E-2</v>
      </c>
      <c r="BF154" t="s">
        <v>75</v>
      </c>
      <c r="BG154">
        <v>3.3584200000000002</v>
      </c>
      <c r="BH154" t="s">
        <v>75</v>
      </c>
      <c r="BI154">
        <v>3.2840400000000001</v>
      </c>
      <c r="BJ154" t="s">
        <v>75</v>
      </c>
      <c r="BK154">
        <v>3.4748899999999998</v>
      </c>
      <c r="BL154" t="s">
        <v>75</v>
      </c>
      <c r="BM154">
        <v>0.49458000000000002</v>
      </c>
      <c r="BN154" t="s">
        <v>75</v>
      </c>
      <c r="BO154">
        <v>125.33043000000001</v>
      </c>
      <c r="BP154" t="s">
        <v>75</v>
      </c>
      <c r="BQ154">
        <v>1.6495200000000001</v>
      </c>
      <c r="BR154" t="s">
        <v>75</v>
      </c>
      <c r="BS154">
        <v>6.00326</v>
      </c>
      <c r="BT154" t="s">
        <v>75</v>
      </c>
      <c r="BU154">
        <v>40.256689999999999</v>
      </c>
      <c r="BV154" t="s">
        <v>75</v>
      </c>
      <c r="BW154">
        <v>15.00512</v>
      </c>
      <c r="BX154" t="s">
        <v>75</v>
      </c>
      <c r="BY154">
        <v>51.426000000000002</v>
      </c>
      <c r="BZ154" t="s">
        <v>75</v>
      </c>
      <c r="CA154">
        <v>11.89983</v>
      </c>
      <c r="CB154" t="s">
        <v>75</v>
      </c>
      <c r="CC154">
        <v>2.341E-2</v>
      </c>
      <c r="CD154" t="s">
        <v>75</v>
      </c>
      <c r="CE154">
        <v>1.005E-2</v>
      </c>
      <c r="CF154" t="s">
        <v>75</v>
      </c>
      <c r="CG154">
        <v>3.1842299999999999</v>
      </c>
      <c r="CH154" t="s">
        <v>75</v>
      </c>
      <c r="CI154">
        <v>1.19309</v>
      </c>
      <c r="CJ154" t="s">
        <v>75</v>
      </c>
      <c r="CK154">
        <v>7.14588</v>
      </c>
      <c r="CL154" t="s">
        <v>75</v>
      </c>
      <c r="CM154">
        <v>5.4030000000000002E-2</v>
      </c>
      <c r="CN154" t="s">
        <v>75</v>
      </c>
      <c r="CO154">
        <v>0.65169999999999995</v>
      </c>
      <c r="CP154" t="s">
        <v>75</v>
      </c>
      <c r="CQ154">
        <v>3.7575699999999999</v>
      </c>
      <c r="CR154" t="s">
        <v>75</v>
      </c>
      <c r="CS154">
        <v>655.35036000000002</v>
      </c>
      <c r="CT154" t="s">
        <v>75</v>
      </c>
      <c r="CV154" t="s">
        <v>76</v>
      </c>
      <c r="CW154">
        <v>5.5281200000000004</v>
      </c>
      <c r="CX154" t="s">
        <v>75</v>
      </c>
      <c r="DA154">
        <v>308.39940000000001</v>
      </c>
      <c r="DB154" t="s">
        <v>75</v>
      </c>
      <c r="DC154">
        <v>5.2540000000000003E-2</v>
      </c>
      <c r="DD154" t="s">
        <v>75</v>
      </c>
      <c r="DE154">
        <v>1.91394</v>
      </c>
      <c r="DF154" t="s">
        <v>75</v>
      </c>
      <c r="DG154">
        <v>0.22484999999999999</v>
      </c>
      <c r="DH154" t="s">
        <v>75</v>
      </c>
      <c r="DI154">
        <v>2.0026999999999999</v>
      </c>
      <c r="DJ154" t="s">
        <v>75</v>
      </c>
      <c r="DL154" t="s">
        <v>76</v>
      </c>
      <c r="DN154" t="s">
        <v>76</v>
      </c>
      <c r="DO154">
        <v>5.8158700000000003</v>
      </c>
      <c r="DP154" t="s">
        <v>75</v>
      </c>
    </row>
    <row r="155" spans="1:121" x14ac:dyDescent="0.2">
      <c r="D155" t="s">
        <v>64</v>
      </c>
      <c r="G155">
        <v>7.2100000000000003E-3</v>
      </c>
      <c r="H155" t="s">
        <v>75</v>
      </c>
      <c r="I155">
        <v>1.2999999999999999E-3</v>
      </c>
      <c r="J155" t="s">
        <v>75</v>
      </c>
      <c r="K155">
        <v>2.452E-2</v>
      </c>
      <c r="L155" t="s">
        <v>75</v>
      </c>
      <c r="M155">
        <v>4.8399999999999997E-3</v>
      </c>
      <c r="N155" t="s">
        <v>75</v>
      </c>
      <c r="O155">
        <v>6.9999999999999994E-5</v>
      </c>
      <c r="P155" t="s">
        <v>75</v>
      </c>
      <c r="Q155">
        <v>7.0800000000000004E-3</v>
      </c>
      <c r="R155" t="s">
        <v>75</v>
      </c>
      <c r="S155">
        <v>5.0000000000000002E-5</v>
      </c>
      <c r="T155" t="s">
        <v>75</v>
      </c>
      <c r="U155">
        <v>2.0000000000000001E-4</v>
      </c>
      <c r="V155" t="s">
        <v>75</v>
      </c>
      <c r="W155">
        <v>2.0760000000000001E-2</v>
      </c>
      <c r="X155" t="s">
        <v>75</v>
      </c>
      <c r="Y155">
        <v>1.051E-2</v>
      </c>
      <c r="Z155" t="s">
        <v>75</v>
      </c>
      <c r="AC155">
        <v>0.63851999999999998</v>
      </c>
      <c r="AD155" t="s">
        <v>75</v>
      </c>
      <c r="AE155">
        <v>1.39446</v>
      </c>
      <c r="AF155" t="s">
        <v>75</v>
      </c>
      <c r="AG155">
        <v>5.8599999999999998E-3</v>
      </c>
      <c r="AH155" t="s">
        <v>75</v>
      </c>
      <c r="AI155">
        <v>6.7369999999999999E-2</v>
      </c>
      <c r="AJ155" t="s">
        <v>75</v>
      </c>
      <c r="AK155">
        <v>2.0000000000000001E-4</v>
      </c>
      <c r="AL155" t="s">
        <v>75</v>
      </c>
      <c r="AM155">
        <v>3.1E-4</v>
      </c>
      <c r="AN155" t="s">
        <v>75</v>
      </c>
      <c r="AO155">
        <v>1.6000000000000001E-4</v>
      </c>
      <c r="AP155" t="s">
        <v>75</v>
      </c>
      <c r="AQ155">
        <v>1.3999999999999999E-4</v>
      </c>
      <c r="AR155" t="s">
        <v>75</v>
      </c>
      <c r="AS155">
        <v>1.2999999999999999E-4</v>
      </c>
      <c r="AT155" t="s">
        <v>75</v>
      </c>
      <c r="AU155">
        <v>3.0000000000000001E-5</v>
      </c>
      <c r="AV155" t="s">
        <v>75</v>
      </c>
      <c r="AW155">
        <v>2.2000000000000001E-4</v>
      </c>
      <c r="AX155" t="s">
        <v>75</v>
      </c>
      <c r="AY155">
        <v>1.9499999999999999E-3</v>
      </c>
      <c r="AZ155" t="s">
        <v>75</v>
      </c>
      <c r="BC155">
        <v>2.3000000000000001E-4</v>
      </c>
      <c r="BD155" t="s">
        <v>75</v>
      </c>
      <c r="BE155">
        <v>2.5200000000000001E-3</v>
      </c>
      <c r="BF155" t="s">
        <v>75</v>
      </c>
      <c r="BG155">
        <v>0.30824000000000001</v>
      </c>
      <c r="BH155" t="s">
        <v>75</v>
      </c>
      <c r="BI155">
        <v>0.24174000000000001</v>
      </c>
      <c r="BJ155" t="s">
        <v>75</v>
      </c>
      <c r="BK155">
        <v>0.31534000000000001</v>
      </c>
      <c r="BL155" t="s">
        <v>75</v>
      </c>
      <c r="BM155">
        <v>4.5830000000000003E-2</v>
      </c>
      <c r="BN155" t="s">
        <v>75</v>
      </c>
      <c r="BO155">
        <v>1.74997</v>
      </c>
      <c r="BP155" t="s">
        <v>75</v>
      </c>
      <c r="BQ155">
        <v>2.044E-2</v>
      </c>
      <c r="BR155" t="s">
        <v>75</v>
      </c>
      <c r="BS155">
        <v>0.10983999999999999</v>
      </c>
      <c r="BT155" t="s">
        <v>75</v>
      </c>
      <c r="BU155">
        <v>0.38899</v>
      </c>
      <c r="BV155" t="s">
        <v>75</v>
      </c>
      <c r="BW155">
        <v>0.14982000000000001</v>
      </c>
      <c r="BX155" t="s">
        <v>75</v>
      </c>
      <c r="BY155">
        <v>0.24529999999999999</v>
      </c>
      <c r="BZ155" t="s">
        <v>75</v>
      </c>
      <c r="CA155">
        <v>0.38913999999999999</v>
      </c>
      <c r="CB155" t="s">
        <v>75</v>
      </c>
      <c r="CC155">
        <v>5.9699999999999996E-3</v>
      </c>
      <c r="CD155" t="s">
        <v>75</v>
      </c>
      <c r="CE155">
        <v>2.3000000000000001E-4</v>
      </c>
      <c r="CF155" t="s">
        <v>75</v>
      </c>
      <c r="CG155">
        <v>3.8150000000000003E-2</v>
      </c>
      <c r="CH155" t="s">
        <v>75</v>
      </c>
      <c r="CI155">
        <v>1.7350000000000001E-2</v>
      </c>
      <c r="CJ155" t="s">
        <v>75</v>
      </c>
      <c r="CK155">
        <v>0.15612000000000001</v>
      </c>
      <c r="CL155" t="s">
        <v>75</v>
      </c>
      <c r="CM155">
        <v>1.65E-3</v>
      </c>
      <c r="CN155" t="s">
        <v>75</v>
      </c>
      <c r="CO155">
        <v>8.6499999999999997E-3</v>
      </c>
      <c r="CP155" t="s">
        <v>75</v>
      </c>
      <c r="CQ155">
        <v>4.0219999999999999E-2</v>
      </c>
      <c r="CR155" t="s">
        <v>75</v>
      </c>
      <c r="CS155">
        <v>10.28961</v>
      </c>
      <c r="CT155" t="s">
        <v>75</v>
      </c>
      <c r="CW155">
        <v>9.1179999999999997E-2</v>
      </c>
      <c r="CX155" t="s">
        <v>75</v>
      </c>
      <c r="DA155">
        <v>7.8527300000000002</v>
      </c>
      <c r="DB155" t="s">
        <v>75</v>
      </c>
      <c r="DC155">
        <v>1.47E-3</v>
      </c>
      <c r="DD155" t="s">
        <v>75</v>
      </c>
      <c r="DE155">
        <v>5.3760000000000002E-2</v>
      </c>
      <c r="DF155" t="s">
        <v>75</v>
      </c>
      <c r="DG155">
        <v>4.6440000000000002E-2</v>
      </c>
      <c r="DH155" t="s">
        <v>75</v>
      </c>
      <c r="DI155">
        <v>0.15651999999999999</v>
      </c>
      <c r="DJ155" t="s">
        <v>75</v>
      </c>
      <c r="DO155">
        <v>0.18528</v>
      </c>
      <c r="DP155" t="s">
        <v>75</v>
      </c>
    </row>
    <row r="156" spans="1:121" x14ac:dyDescent="0.2">
      <c r="D156" t="s">
        <v>65</v>
      </c>
      <c r="G156" t="s">
        <v>66</v>
      </c>
      <c r="I156" t="s">
        <v>66</v>
      </c>
      <c r="K156" t="s">
        <v>66</v>
      </c>
      <c r="M156" t="s">
        <v>66</v>
      </c>
      <c r="O156" t="s">
        <v>66</v>
      </c>
      <c r="Q156" t="s">
        <v>66</v>
      </c>
      <c r="S156" t="s">
        <v>66</v>
      </c>
      <c r="U156" t="s">
        <v>66</v>
      </c>
      <c r="W156" t="s">
        <v>66</v>
      </c>
      <c r="Y156" t="s">
        <v>66</v>
      </c>
      <c r="AA156" t="s">
        <v>66</v>
      </c>
      <c r="AC156" t="s">
        <v>66</v>
      </c>
      <c r="AE156" t="s">
        <v>66</v>
      </c>
      <c r="AG156" t="s">
        <v>66</v>
      </c>
      <c r="AI156" t="s">
        <v>66</v>
      </c>
      <c r="AK156" t="s">
        <v>66</v>
      </c>
      <c r="AM156" t="s">
        <v>66</v>
      </c>
      <c r="AO156" t="s">
        <v>66</v>
      </c>
      <c r="AQ156" t="s">
        <v>66</v>
      </c>
      <c r="AS156" t="s">
        <v>66</v>
      </c>
      <c r="AU156" t="s">
        <v>66</v>
      </c>
      <c r="AW156" t="s">
        <v>66</v>
      </c>
      <c r="AY156" t="s">
        <v>66</v>
      </c>
      <c r="BA156" t="s">
        <v>66</v>
      </c>
      <c r="BC156" t="s">
        <v>66</v>
      </c>
      <c r="BE156" t="s">
        <v>66</v>
      </c>
      <c r="BG156" t="s">
        <v>66</v>
      </c>
      <c r="BI156" t="s">
        <v>66</v>
      </c>
      <c r="BK156" t="s">
        <v>66</v>
      </c>
      <c r="BM156" t="s">
        <v>66</v>
      </c>
      <c r="BO156" t="s">
        <v>66</v>
      </c>
      <c r="BQ156" t="s">
        <v>66</v>
      </c>
      <c r="BS156" t="s">
        <v>66</v>
      </c>
      <c r="BU156" t="s">
        <v>66</v>
      </c>
      <c r="BW156" t="s">
        <v>66</v>
      </c>
      <c r="BY156" t="s">
        <v>66</v>
      </c>
      <c r="CA156" t="s">
        <v>66</v>
      </c>
      <c r="CC156" t="s">
        <v>66</v>
      </c>
      <c r="CE156" t="s">
        <v>66</v>
      </c>
      <c r="CG156" t="s">
        <v>66</v>
      </c>
      <c r="CI156" t="s">
        <v>66</v>
      </c>
      <c r="CK156" t="s">
        <v>66</v>
      </c>
      <c r="CM156" t="s">
        <v>66</v>
      </c>
      <c r="CO156" t="s">
        <v>66</v>
      </c>
      <c r="CQ156" t="s">
        <v>66</v>
      </c>
      <c r="CS156" t="s">
        <v>66</v>
      </c>
      <c r="CU156" t="s">
        <v>66</v>
      </c>
      <c r="CW156" t="s">
        <v>66</v>
      </c>
      <c r="CY156" t="s">
        <v>66</v>
      </c>
      <c r="DA156" t="s">
        <v>66</v>
      </c>
      <c r="DC156" t="s">
        <v>66</v>
      </c>
      <c r="DE156" t="s">
        <v>66</v>
      </c>
      <c r="DG156" t="s">
        <v>66</v>
      </c>
      <c r="DI156" t="s">
        <v>66</v>
      </c>
      <c r="DK156" t="s">
        <v>66</v>
      </c>
      <c r="DM156" t="s">
        <v>66</v>
      </c>
      <c r="DO156" t="s">
        <v>66</v>
      </c>
      <c r="DQ156" t="s">
        <v>66</v>
      </c>
    </row>
    <row r="157" spans="1:121" x14ac:dyDescent="0.2">
      <c r="A157" t="s">
        <v>601</v>
      </c>
      <c r="D157" t="s">
        <v>60</v>
      </c>
      <c r="E157" t="s">
        <v>61</v>
      </c>
      <c r="G157">
        <v>158123.9</v>
      </c>
      <c r="I157">
        <v>36077.1</v>
      </c>
      <c r="K157">
        <v>944076.6</v>
      </c>
      <c r="M157">
        <v>1259371.3</v>
      </c>
      <c r="O157">
        <v>1446020.5</v>
      </c>
      <c r="Q157">
        <v>179631.9</v>
      </c>
      <c r="S157">
        <v>1390313.3</v>
      </c>
      <c r="U157">
        <v>280857.59999999998</v>
      </c>
      <c r="W157">
        <v>560980.6</v>
      </c>
      <c r="Y157">
        <v>80031.7</v>
      </c>
      <c r="AA157">
        <v>2974051.7</v>
      </c>
      <c r="AC157">
        <v>315832.09999999998</v>
      </c>
      <c r="AE157">
        <v>304476.5</v>
      </c>
      <c r="AG157">
        <v>1590588.5</v>
      </c>
      <c r="AI157">
        <v>667828.80000000005</v>
      </c>
      <c r="AK157">
        <v>1770095.5</v>
      </c>
      <c r="AM157">
        <v>1637377.2</v>
      </c>
      <c r="AO157">
        <v>332694.5</v>
      </c>
      <c r="AQ157">
        <v>286824.40000000002</v>
      </c>
      <c r="AS157">
        <v>276276.5</v>
      </c>
      <c r="AU157">
        <v>1931464</v>
      </c>
      <c r="AW157">
        <v>518186.8</v>
      </c>
      <c r="AY157">
        <v>392794.5</v>
      </c>
      <c r="BA157">
        <v>672469.9</v>
      </c>
      <c r="BC157">
        <v>308636.3</v>
      </c>
      <c r="BE157">
        <v>1281286</v>
      </c>
      <c r="BG157">
        <v>423119.6</v>
      </c>
      <c r="BI157">
        <v>362270.8</v>
      </c>
      <c r="BK157">
        <v>894960.7</v>
      </c>
      <c r="BM157">
        <v>1388637</v>
      </c>
      <c r="BO157">
        <v>429816.1</v>
      </c>
      <c r="BQ157">
        <v>261970.1</v>
      </c>
      <c r="BS157">
        <v>202828.9</v>
      </c>
      <c r="BU157">
        <v>746859.7</v>
      </c>
      <c r="BW157">
        <v>3473.6</v>
      </c>
      <c r="BY157">
        <v>111991.8</v>
      </c>
      <c r="CA157">
        <v>23571.599999999999</v>
      </c>
      <c r="CC157">
        <v>5610.6</v>
      </c>
      <c r="CE157">
        <v>79369.899999999994</v>
      </c>
      <c r="CG157">
        <v>70778.600000000006</v>
      </c>
      <c r="CI157">
        <v>90392.7</v>
      </c>
      <c r="CK157">
        <v>288075</v>
      </c>
      <c r="CM157">
        <v>82262.7</v>
      </c>
      <c r="CO157">
        <v>19101.5</v>
      </c>
      <c r="CQ157">
        <v>39214.5</v>
      </c>
      <c r="CS157">
        <v>19691.599999999999</v>
      </c>
      <c r="CU157">
        <v>260109.7</v>
      </c>
      <c r="CW157">
        <v>32809.599999999999</v>
      </c>
      <c r="CY157">
        <v>58137.7</v>
      </c>
      <c r="DA157">
        <v>201214.9</v>
      </c>
      <c r="DC157">
        <v>3448.1</v>
      </c>
      <c r="DE157">
        <v>2921.9</v>
      </c>
      <c r="DG157">
        <v>261.39999999999998</v>
      </c>
      <c r="DI157">
        <v>1629.1</v>
      </c>
      <c r="DK157">
        <v>962.1</v>
      </c>
      <c r="DM157">
        <v>79207.899999999994</v>
      </c>
      <c r="DO157">
        <v>9173.2999999999993</v>
      </c>
      <c r="DQ157">
        <v>17631.900000000001</v>
      </c>
    </row>
    <row r="158" spans="1:121" x14ac:dyDescent="0.2">
      <c r="D158" t="s">
        <v>62</v>
      </c>
      <c r="E158" t="s">
        <v>61</v>
      </c>
      <c r="G158">
        <v>739.9</v>
      </c>
      <c r="I158">
        <v>343.4</v>
      </c>
      <c r="K158">
        <v>7280.6</v>
      </c>
      <c r="M158">
        <v>11480.3</v>
      </c>
      <c r="O158">
        <v>21734.5</v>
      </c>
      <c r="Q158">
        <v>1209.8</v>
      </c>
      <c r="S158">
        <v>16660.099999999999</v>
      </c>
      <c r="U158">
        <v>4069.5</v>
      </c>
      <c r="W158">
        <v>6576.8</v>
      </c>
      <c r="Y158">
        <v>1205.0999999999999</v>
      </c>
      <c r="AA158">
        <v>23424.1</v>
      </c>
      <c r="AC158">
        <v>5720.8</v>
      </c>
      <c r="AE158">
        <v>5268.9</v>
      </c>
      <c r="AG158">
        <v>14073.9</v>
      </c>
      <c r="AI158">
        <v>3080.8</v>
      </c>
      <c r="AK158">
        <v>14538.1</v>
      </c>
      <c r="AM158">
        <v>10833.6</v>
      </c>
      <c r="AO158">
        <v>3351</v>
      </c>
      <c r="AQ158">
        <v>1889.4</v>
      </c>
      <c r="AS158">
        <v>1721.7</v>
      </c>
      <c r="AU158">
        <v>39178.5</v>
      </c>
      <c r="AW158">
        <v>17867.900000000001</v>
      </c>
      <c r="AY158">
        <v>4393.6000000000004</v>
      </c>
      <c r="BA158">
        <v>3222.6</v>
      </c>
      <c r="BC158">
        <v>3988.2</v>
      </c>
      <c r="BE158">
        <v>9595.7000000000007</v>
      </c>
      <c r="BG158">
        <v>9614.7999999999993</v>
      </c>
      <c r="BI158">
        <v>3689.6</v>
      </c>
      <c r="BK158">
        <v>5659.9</v>
      </c>
      <c r="BM158">
        <v>19753.7</v>
      </c>
      <c r="BO158">
        <v>10353.299999999999</v>
      </c>
      <c r="BQ158">
        <v>9588.7999999999993</v>
      </c>
      <c r="BS158">
        <v>9909.2999999999993</v>
      </c>
      <c r="BU158">
        <v>12665.6</v>
      </c>
      <c r="BW158">
        <v>199.4</v>
      </c>
      <c r="BY158">
        <v>1229.0999999999999</v>
      </c>
      <c r="CA158">
        <v>562.6</v>
      </c>
      <c r="CC158">
        <v>289.7</v>
      </c>
      <c r="CE158">
        <v>1672.7</v>
      </c>
      <c r="CG158">
        <v>537.29999999999995</v>
      </c>
      <c r="CI158">
        <v>1679.8</v>
      </c>
      <c r="CK158">
        <v>10029.200000000001</v>
      </c>
      <c r="CM158">
        <v>2431.9</v>
      </c>
      <c r="CO158">
        <v>732.2</v>
      </c>
      <c r="CQ158">
        <v>1511.8</v>
      </c>
      <c r="CS158">
        <v>773.9</v>
      </c>
      <c r="CU158">
        <v>6079.7</v>
      </c>
      <c r="CW158">
        <v>218.5</v>
      </c>
      <c r="CY158">
        <v>302.2</v>
      </c>
      <c r="DA158">
        <v>1304.8</v>
      </c>
      <c r="DC158">
        <v>126.2</v>
      </c>
      <c r="DE158">
        <v>154.69999999999999</v>
      </c>
      <c r="DG158">
        <v>13.2</v>
      </c>
      <c r="DI158">
        <v>285.39999999999998</v>
      </c>
      <c r="DK158">
        <v>55</v>
      </c>
      <c r="DM158">
        <v>256.60000000000002</v>
      </c>
      <c r="DO158">
        <v>193.7</v>
      </c>
      <c r="DQ158">
        <v>599.79999999999995</v>
      </c>
    </row>
    <row r="159" spans="1:121" x14ac:dyDescent="0.2">
      <c r="D159" t="s">
        <v>63</v>
      </c>
      <c r="G159">
        <v>1.2318899999999999</v>
      </c>
      <c r="H159" t="s">
        <v>75</v>
      </c>
      <c r="I159">
        <v>1.2584299999999999</v>
      </c>
      <c r="J159" t="s">
        <v>75</v>
      </c>
      <c r="K159">
        <v>1.20699</v>
      </c>
      <c r="L159" t="s">
        <v>75</v>
      </c>
      <c r="M159">
        <v>1.25562</v>
      </c>
      <c r="N159" t="s">
        <v>75</v>
      </c>
      <c r="O159">
        <v>1.2180200000000001</v>
      </c>
      <c r="P159" t="s">
        <v>75</v>
      </c>
      <c r="Q159">
        <v>1.1901900000000001</v>
      </c>
      <c r="R159" t="s">
        <v>75</v>
      </c>
      <c r="S159">
        <v>1.2252099999999999</v>
      </c>
      <c r="T159" t="s">
        <v>75</v>
      </c>
      <c r="U159">
        <v>1.17692</v>
      </c>
      <c r="V159" t="s">
        <v>75</v>
      </c>
      <c r="W159">
        <v>1.2031000000000001</v>
      </c>
      <c r="X159" t="s">
        <v>75</v>
      </c>
      <c r="Y159">
        <v>1.1980200000000001</v>
      </c>
      <c r="Z159" t="s">
        <v>75</v>
      </c>
      <c r="AB159" t="s">
        <v>76</v>
      </c>
      <c r="AC159">
        <v>1.17441</v>
      </c>
      <c r="AD159" t="s">
        <v>75</v>
      </c>
      <c r="AE159">
        <v>1.18885</v>
      </c>
      <c r="AF159" t="s">
        <v>75</v>
      </c>
      <c r="AG159">
        <v>1.24251</v>
      </c>
      <c r="AH159" t="s">
        <v>75</v>
      </c>
      <c r="AI159">
        <v>4.2551800000000002</v>
      </c>
      <c r="AJ159" t="s">
        <v>75</v>
      </c>
      <c r="AK159">
        <v>1.2222599999999999</v>
      </c>
      <c r="AL159" t="s">
        <v>75</v>
      </c>
      <c r="AM159">
        <v>1.2344599999999999</v>
      </c>
      <c r="AN159" t="s">
        <v>75</v>
      </c>
      <c r="AO159">
        <v>1.2261299999999999</v>
      </c>
      <c r="AP159" t="s">
        <v>75</v>
      </c>
      <c r="AQ159">
        <v>1.2390099999999999</v>
      </c>
      <c r="AR159" t="s">
        <v>75</v>
      </c>
      <c r="AS159">
        <v>1.2354400000000001</v>
      </c>
      <c r="AT159" t="s">
        <v>75</v>
      </c>
      <c r="AU159">
        <v>1.28277</v>
      </c>
      <c r="AV159" t="s">
        <v>75</v>
      </c>
      <c r="AW159">
        <v>1.2583599999999999</v>
      </c>
      <c r="AX159" t="s">
        <v>75</v>
      </c>
      <c r="AY159">
        <v>1.2675000000000001</v>
      </c>
      <c r="AZ159" t="s">
        <v>75</v>
      </c>
      <c r="BC159">
        <v>-1.12876</v>
      </c>
      <c r="BD159" t="s">
        <v>75</v>
      </c>
      <c r="BE159">
        <v>1.2358800000000001</v>
      </c>
      <c r="BF159" t="s">
        <v>75</v>
      </c>
      <c r="BG159">
        <v>1.1876500000000001</v>
      </c>
      <c r="BH159" t="s">
        <v>75</v>
      </c>
      <c r="BI159">
        <v>1.19103</v>
      </c>
      <c r="BJ159" t="s">
        <v>75</v>
      </c>
      <c r="BK159">
        <v>1.1987300000000001</v>
      </c>
      <c r="BL159" t="s">
        <v>75</v>
      </c>
      <c r="BM159">
        <v>1.3057399999999999</v>
      </c>
      <c r="BN159" t="s">
        <v>75</v>
      </c>
      <c r="BO159">
        <v>8.0009399999999999</v>
      </c>
      <c r="BP159" t="s">
        <v>75</v>
      </c>
      <c r="BQ159">
        <v>8.6718499999999992</v>
      </c>
      <c r="BR159" t="s">
        <v>75</v>
      </c>
      <c r="BS159">
        <v>4.2017300000000004</v>
      </c>
      <c r="BT159" t="s">
        <v>75</v>
      </c>
      <c r="BU159">
        <v>11.20567</v>
      </c>
      <c r="BV159" t="s">
        <v>75</v>
      </c>
      <c r="BW159">
        <v>1.2602199999999999</v>
      </c>
      <c r="BX159" t="s">
        <v>75</v>
      </c>
      <c r="BY159">
        <v>24.134440000000001</v>
      </c>
      <c r="BZ159" t="s">
        <v>75</v>
      </c>
      <c r="CA159">
        <v>9.3454899999999999</v>
      </c>
      <c r="CB159" t="s">
        <v>75</v>
      </c>
      <c r="CC159">
        <v>1.2135199999999999</v>
      </c>
      <c r="CD159" t="s">
        <v>75</v>
      </c>
      <c r="CE159">
        <v>1.2108699999999999</v>
      </c>
      <c r="CF159" t="s">
        <v>75</v>
      </c>
      <c r="CG159">
        <v>1.2198199999999999</v>
      </c>
      <c r="CH159" t="s">
        <v>75</v>
      </c>
      <c r="CI159">
        <v>1.1807399999999999</v>
      </c>
      <c r="CJ159" t="s">
        <v>75</v>
      </c>
      <c r="CK159">
        <v>3.8532000000000002</v>
      </c>
      <c r="CL159" t="s">
        <v>75</v>
      </c>
      <c r="CM159">
        <v>1.19109</v>
      </c>
      <c r="CN159" t="s">
        <v>75</v>
      </c>
      <c r="CO159">
        <v>1.1179699999999999</v>
      </c>
      <c r="CP159" t="s">
        <v>75</v>
      </c>
      <c r="CQ159">
        <v>1.1890000000000001</v>
      </c>
      <c r="CR159" t="s">
        <v>75</v>
      </c>
      <c r="CS159">
        <v>5.1833299999999998</v>
      </c>
      <c r="CT159" t="s">
        <v>75</v>
      </c>
      <c r="CV159" t="s">
        <v>76</v>
      </c>
      <c r="CW159">
        <v>1.22342</v>
      </c>
      <c r="CX159" t="s">
        <v>75</v>
      </c>
      <c r="DA159">
        <v>10.87377</v>
      </c>
      <c r="DB159" t="s">
        <v>75</v>
      </c>
      <c r="DC159">
        <v>1.4008799999999999</v>
      </c>
      <c r="DD159" t="s">
        <v>75</v>
      </c>
      <c r="DE159">
        <v>1.2063600000000001</v>
      </c>
      <c r="DF159" t="s">
        <v>75</v>
      </c>
      <c r="DG159">
        <v>1.21193</v>
      </c>
      <c r="DH159" t="s">
        <v>75</v>
      </c>
      <c r="DI159">
        <v>2.2099799999999998</v>
      </c>
      <c r="DJ159" t="s">
        <v>75</v>
      </c>
      <c r="DL159" t="s">
        <v>76</v>
      </c>
      <c r="DN159" t="s">
        <v>76</v>
      </c>
      <c r="DO159">
        <v>1.2480800000000001</v>
      </c>
      <c r="DP159" t="s">
        <v>75</v>
      </c>
    </row>
    <row r="160" spans="1:121" x14ac:dyDescent="0.2">
      <c r="D160" t="s">
        <v>64</v>
      </c>
      <c r="G160">
        <v>2.3600000000000001E-3</v>
      </c>
      <c r="H160" t="s">
        <v>75</v>
      </c>
      <c r="I160">
        <v>1.8159999999999999E-2</v>
      </c>
      <c r="J160" t="s">
        <v>75</v>
      </c>
      <c r="K160">
        <v>1.2829999999999999E-2</v>
      </c>
      <c r="L160" t="s">
        <v>75</v>
      </c>
      <c r="M160">
        <v>1.6539999999999999E-2</v>
      </c>
      <c r="N160" t="s">
        <v>75</v>
      </c>
      <c r="O160">
        <v>2.3859999999999999E-2</v>
      </c>
      <c r="P160" t="s">
        <v>75</v>
      </c>
      <c r="Q160">
        <v>8.09E-3</v>
      </c>
      <c r="R160" t="s">
        <v>75</v>
      </c>
      <c r="S160">
        <v>2.0559999999999998E-2</v>
      </c>
      <c r="T160" t="s">
        <v>75</v>
      </c>
      <c r="U160">
        <v>2.2540000000000001E-2</v>
      </c>
      <c r="V160" t="s">
        <v>75</v>
      </c>
      <c r="W160">
        <v>1.9730000000000001E-2</v>
      </c>
      <c r="X160" t="s">
        <v>75</v>
      </c>
      <c r="Y160">
        <v>2.2249999999999999E-2</v>
      </c>
      <c r="Z160" t="s">
        <v>75</v>
      </c>
      <c r="AC160">
        <v>2.4989999999999998E-2</v>
      </c>
      <c r="AD160" t="s">
        <v>75</v>
      </c>
      <c r="AE160">
        <v>2.4140000000000002E-2</v>
      </c>
      <c r="AF160" t="s">
        <v>75</v>
      </c>
      <c r="AG160">
        <v>1.12E-2</v>
      </c>
      <c r="AH160" t="s">
        <v>75</v>
      </c>
      <c r="AI160">
        <v>1.8440000000000002E-2</v>
      </c>
      <c r="AJ160" t="s">
        <v>75</v>
      </c>
      <c r="AK160">
        <v>1.038E-2</v>
      </c>
      <c r="AL160" t="s">
        <v>75</v>
      </c>
      <c r="AM160">
        <v>1.4019999999999999E-2</v>
      </c>
      <c r="AN160" t="s">
        <v>75</v>
      </c>
      <c r="AO160">
        <v>1.7819999999999999E-2</v>
      </c>
      <c r="AP160" t="s">
        <v>75</v>
      </c>
      <c r="AQ160">
        <v>1.273E-2</v>
      </c>
      <c r="AR160" t="s">
        <v>75</v>
      </c>
      <c r="AS160">
        <v>1.183E-2</v>
      </c>
      <c r="AT160" t="s">
        <v>75</v>
      </c>
      <c r="AU160">
        <v>3.2120000000000003E-2</v>
      </c>
      <c r="AV160" t="s">
        <v>75</v>
      </c>
      <c r="AW160">
        <v>4.9390000000000003E-2</v>
      </c>
      <c r="AX160" t="s">
        <v>75</v>
      </c>
      <c r="AY160">
        <v>2.0410000000000001E-2</v>
      </c>
      <c r="AZ160" t="s">
        <v>75</v>
      </c>
      <c r="BC160">
        <v>1.592E-2</v>
      </c>
      <c r="BD160" t="s">
        <v>75</v>
      </c>
      <c r="BE160">
        <v>8.7399999999999995E-3</v>
      </c>
      <c r="BF160" t="s">
        <v>75</v>
      </c>
      <c r="BG160">
        <v>3.3739999999999999E-2</v>
      </c>
      <c r="BH160" t="s">
        <v>75</v>
      </c>
      <c r="BI160">
        <v>1.7850000000000001E-2</v>
      </c>
      <c r="BJ160" t="s">
        <v>75</v>
      </c>
      <c r="BK160">
        <v>1.83E-2</v>
      </c>
      <c r="BL160" t="s">
        <v>75</v>
      </c>
      <c r="BM160">
        <v>2.4150000000000001E-2</v>
      </c>
      <c r="BN160" t="s">
        <v>75</v>
      </c>
      <c r="BO160">
        <v>0.19134000000000001</v>
      </c>
      <c r="BP160" t="s">
        <v>75</v>
      </c>
      <c r="BQ160">
        <v>0.2908</v>
      </c>
      <c r="BR160" t="s">
        <v>75</v>
      </c>
      <c r="BS160">
        <v>0.20657</v>
      </c>
      <c r="BT160" t="s">
        <v>75</v>
      </c>
      <c r="BU160">
        <v>0.37869999999999998</v>
      </c>
      <c r="BV160" t="s">
        <v>75</v>
      </c>
      <c r="BW160">
        <v>7.8789999999999999E-2</v>
      </c>
      <c r="BX160" t="s">
        <v>75</v>
      </c>
      <c r="BY160">
        <v>0.18720000000000001</v>
      </c>
      <c r="BZ160" t="s">
        <v>75</v>
      </c>
      <c r="CA160">
        <v>0.24257999999999999</v>
      </c>
      <c r="CB160" t="s">
        <v>75</v>
      </c>
      <c r="CC160">
        <v>6.0909999999999999E-2</v>
      </c>
      <c r="CD160" t="s">
        <v>75</v>
      </c>
      <c r="CE160">
        <v>2.1309999999999999E-2</v>
      </c>
      <c r="CF160" t="s">
        <v>75</v>
      </c>
      <c r="CG160">
        <v>4.5199999999999997E-3</v>
      </c>
      <c r="CH160" t="s">
        <v>75</v>
      </c>
      <c r="CI160">
        <v>1.7680000000000001E-2</v>
      </c>
      <c r="CJ160" t="s">
        <v>75</v>
      </c>
      <c r="CK160">
        <v>0.13106999999999999</v>
      </c>
      <c r="CL160" t="s">
        <v>75</v>
      </c>
      <c r="CM160">
        <v>3.3140000000000003E-2</v>
      </c>
      <c r="CN160" t="s">
        <v>75</v>
      </c>
      <c r="CO160">
        <v>3.7609999999999998E-2</v>
      </c>
      <c r="CP160" t="s">
        <v>75</v>
      </c>
      <c r="CQ160">
        <v>4.0509999999999997E-2</v>
      </c>
      <c r="CR160" t="s">
        <v>75</v>
      </c>
      <c r="CS160">
        <v>0.18229000000000001</v>
      </c>
      <c r="CT160" t="s">
        <v>75</v>
      </c>
      <c r="CW160">
        <v>8.7399999999999995E-3</v>
      </c>
      <c r="CX160" t="s">
        <v>75</v>
      </c>
      <c r="DA160">
        <v>0.44079000000000002</v>
      </c>
      <c r="DB160" t="s">
        <v>75</v>
      </c>
      <c r="DC160">
        <v>2.7529999999999999E-2</v>
      </c>
      <c r="DD160" t="s">
        <v>75</v>
      </c>
      <c r="DE160">
        <v>9.7489999999999993E-2</v>
      </c>
      <c r="DF160" t="s">
        <v>75</v>
      </c>
      <c r="DG160">
        <v>0.10298</v>
      </c>
      <c r="DH160" t="s">
        <v>75</v>
      </c>
      <c r="DI160">
        <v>0.56647000000000003</v>
      </c>
      <c r="DJ160" t="s">
        <v>75</v>
      </c>
      <c r="DO160">
        <v>6.479E-2</v>
      </c>
      <c r="DP160" t="s">
        <v>75</v>
      </c>
    </row>
    <row r="161" spans="1:121" x14ac:dyDescent="0.2">
      <c r="D161" t="s">
        <v>65</v>
      </c>
      <c r="G161" t="s">
        <v>66</v>
      </c>
      <c r="I161" t="s">
        <v>66</v>
      </c>
      <c r="K161" t="s">
        <v>66</v>
      </c>
      <c r="M161" t="s">
        <v>66</v>
      </c>
      <c r="O161" t="s">
        <v>66</v>
      </c>
      <c r="Q161" t="s">
        <v>66</v>
      </c>
      <c r="S161" t="s">
        <v>66</v>
      </c>
      <c r="U161" t="s">
        <v>66</v>
      </c>
      <c r="W161" t="s">
        <v>66</v>
      </c>
      <c r="Y161" t="s">
        <v>66</v>
      </c>
      <c r="AA161" t="s">
        <v>66</v>
      </c>
      <c r="AC161" t="s">
        <v>66</v>
      </c>
      <c r="AE161" t="s">
        <v>66</v>
      </c>
      <c r="AG161" t="s">
        <v>66</v>
      </c>
      <c r="AI161" t="s">
        <v>66</v>
      </c>
      <c r="AK161" t="s">
        <v>66</v>
      </c>
      <c r="AM161" t="s">
        <v>66</v>
      </c>
      <c r="AO161" t="s">
        <v>66</v>
      </c>
      <c r="AQ161" t="s">
        <v>66</v>
      </c>
      <c r="AS161" t="s">
        <v>66</v>
      </c>
      <c r="AU161" t="s">
        <v>66</v>
      </c>
      <c r="AW161" t="s">
        <v>66</v>
      </c>
      <c r="AY161" t="s">
        <v>66</v>
      </c>
      <c r="BA161" t="s">
        <v>66</v>
      </c>
      <c r="BC161" t="s">
        <v>66</v>
      </c>
      <c r="BE161" t="s">
        <v>66</v>
      </c>
      <c r="BG161" t="s">
        <v>66</v>
      </c>
      <c r="BI161" t="s">
        <v>66</v>
      </c>
      <c r="BK161" t="s">
        <v>66</v>
      </c>
      <c r="BM161" t="s">
        <v>66</v>
      </c>
      <c r="BO161" t="s">
        <v>66</v>
      </c>
      <c r="BQ161" t="s">
        <v>66</v>
      </c>
      <c r="BS161" t="s">
        <v>66</v>
      </c>
      <c r="BU161" t="s">
        <v>66</v>
      </c>
      <c r="BW161" t="s">
        <v>66</v>
      </c>
      <c r="BY161" t="s">
        <v>66</v>
      </c>
      <c r="CA161" t="s">
        <v>66</v>
      </c>
      <c r="CC161" t="s">
        <v>66</v>
      </c>
      <c r="CE161" t="s">
        <v>66</v>
      </c>
      <c r="CG161" t="s">
        <v>66</v>
      </c>
      <c r="CI161" t="s">
        <v>66</v>
      </c>
      <c r="CK161" t="s">
        <v>66</v>
      </c>
      <c r="CM161" t="s">
        <v>66</v>
      </c>
      <c r="CO161" t="s">
        <v>66</v>
      </c>
      <c r="CQ161" t="s">
        <v>66</v>
      </c>
      <c r="CS161" t="s">
        <v>66</v>
      </c>
      <c r="CU161" t="s">
        <v>66</v>
      </c>
      <c r="CW161" t="s">
        <v>66</v>
      </c>
      <c r="CY161" t="s">
        <v>66</v>
      </c>
      <c r="DA161" t="s">
        <v>66</v>
      </c>
      <c r="DC161" t="s">
        <v>66</v>
      </c>
      <c r="DE161" t="s">
        <v>66</v>
      </c>
      <c r="DG161" t="s">
        <v>66</v>
      </c>
      <c r="DI161" t="s">
        <v>66</v>
      </c>
      <c r="DK161" t="s">
        <v>66</v>
      </c>
      <c r="DM161" t="s">
        <v>66</v>
      </c>
      <c r="DO161" t="s">
        <v>66</v>
      </c>
      <c r="DQ161" t="s">
        <v>66</v>
      </c>
    </row>
    <row r="162" spans="1:121" x14ac:dyDescent="0.2">
      <c r="A162" t="s">
        <v>602</v>
      </c>
      <c r="D162" t="s">
        <v>60</v>
      </c>
      <c r="E162" t="s">
        <v>61</v>
      </c>
      <c r="G162">
        <v>10660.7</v>
      </c>
      <c r="I162">
        <v>797.6</v>
      </c>
      <c r="K162">
        <v>9600.4</v>
      </c>
      <c r="M162">
        <v>47056.800000000003</v>
      </c>
      <c r="O162">
        <v>172.9</v>
      </c>
      <c r="Q162">
        <v>628.29999999999995</v>
      </c>
      <c r="S162">
        <v>1914</v>
      </c>
      <c r="U162">
        <v>1754.4</v>
      </c>
      <c r="W162">
        <v>1410.4</v>
      </c>
      <c r="Y162">
        <v>39.6</v>
      </c>
      <c r="AA162">
        <v>2904469</v>
      </c>
      <c r="AC162">
        <v>1638.7</v>
      </c>
      <c r="AE162">
        <v>2213.3000000000002</v>
      </c>
      <c r="AG162">
        <v>3451.2</v>
      </c>
      <c r="AI162">
        <v>8295.2000000000007</v>
      </c>
      <c r="AK162">
        <v>277.10000000000002</v>
      </c>
      <c r="AM162">
        <v>152.1</v>
      </c>
      <c r="AO162">
        <v>141.69999999999999</v>
      </c>
      <c r="AQ162">
        <v>124</v>
      </c>
      <c r="AS162">
        <v>456.3</v>
      </c>
      <c r="AU162">
        <v>286.5</v>
      </c>
      <c r="AW162">
        <v>175</v>
      </c>
      <c r="AY162">
        <v>2028.7</v>
      </c>
      <c r="BA162">
        <v>653360.6</v>
      </c>
      <c r="BC162">
        <v>4033.2</v>
      </c>
      <c r="BE162">
        <v>423</v>
      </c>
      <c r="BG162">
        <v>409.4</v>
      </c>
      <c r="BI162">
        <v>531.4</v>
      </c>
      <c r="BK162">
        <v>1274.8</v>
      </c>
      <c r="BM162">
        <v>997.4</v>
      </c>
      <c r="BO162">
        <v>52168.7</v>
      </c>
      <c r="BQ162">
        <v>12366.9</v>
      </c>
      <c r="BS162">
        <v>14683</v>
      </c>
      <c r="BU162">
        <v>517859</v>
      </c>
      <c r="BW162">
        <v>535.29999999999995</v>
      </c>
      <c r="BY162">
        <v>26210.7</v>
      </c>
      <c r="CA162">
        <v>8666.7000000000007</v>
      </c>
      <c r="CC162">
        <v>14.8</v>
      </c>
      <c r="CE162">
        <v>198.1</v>
      </c>
      <c r="CG162">
        <v>539</v>
      </c>
      <c r="CI162">
        <v>140.69999999999999</v>
      </c>
      <c r="CK162">
        <v>2564.3000000000002</v>
      </c>
      <c r="CM162">
        <v>72.2</v>
      </c>
      <c r="CO162">
        <v>163.9</v>
      </c>
      <c r="CQ162">
        <v>275.89999999999998</v>
      </c>
      <c r="CS162">
        <v>195.4</v>
      </c>
      <c r="CU162">
        <v>254247.1</v>
      </c>
      <c r="CW162">
        <v>161.1</v>
      </c>
      <c r="CY162">
        <v>57189.8</v>
      </c>
      <c r="DA162">
        <v>24126.1</v>
      </c>
      <c r="DC162">
        <v>1.7</v>
      </c>
      <c r="DE162">
        <v>16.899999999999999</v>
      </c>
      <c r="DG162">
        <v>44.6</v>
      </c>
      <c r="DI162">
        <v>1303.4000000000001</v>
      </c>
      <c r="DK162">
        <v>968.3</v>
      </c>
      <c r="DM162">
        <v>76439.199999999997</v>
      </c>
      <c r="DO162">
        <v>46.1</v>
      </c>
      <c r="DQ162">
        <v>16997.400000000001</v>
      </c>
    </row>
    <row r="163" spans="1:121" x14ac:dyDescent="0.2">
      <c r="D163" t="s">
        <v>62</v>
      </c>
      <c r="E163" t="s">
        <v>61</v>
      </c>
      <c r="G163">
        <v>331.4</v>
      </c>
      <c r="I163">
        <v>10.5</v>
      </c>
      <c r="K163">
        <v>335.4</v>
      </c>
      <c r="M163">
        <v>949.1</v>
      </c>
      <c r="O163">
        <v>4.8</v>
      </c>
      <c r="Q163">
        <v>94.2</v>
      </c>
      <c r="S163">
        <v>92.9</v>
      </c>
      <c r="U163">
        <v>81.8</v>
      </c>
      <c r="W163">
        <v>121.2</v>
      </c>
      <c r="Y163">
        <v>18.3</v>
      </c>
      <c r="AA163">
        <v>12419.8</v>
      </c>
      <c r="AC163">
        <v>132.5</v>
      </c>
      <c r="AE163">
        <v>142.6</v>
      </c>
      <c r="AG163">
        <v>148.9</v>
      </c>
      <c r="AI163">
        <v>268.60000000000002</v>
      </c>
      <c r="AK163">
        <v>17.2</v>
      </c>
      <c r="AM163">
        <v>25.5</v>
      </c>
      <c r="AO163">
        <v>3.6</v>
      </c>
      <c r="AQ163">
        <v>17.2</v>
      </c>
      <c r="AS163">
        <v>41</v>
      </c>
      <c r="AU163">
        <v>21.3</v>
      </c>
      <c r="AW163">
        <v>39.200000000000003</v>
      </c>
      <c r="AY163">
        <v>161.4</v>
      </c>
      <c r="BA163">
        <v>10287.9</v>
      </c>
      <c r="BC163">
        <v>279.39999999999998</v>
      </c>
      <c r="BE163">
        <v>45.2</v>
      </c>
      <c r="BG163">
        <v>49.6</v>
      </c>
      <c r="BI163">
        <v>37.5</v>
      </c>
      <c r="BK163">
        <v>64.099999999999994</v>
      </c>
      <c r="BM163">
        <v>55.3</v>
      </c>
      <c r="BO163">
        <v>161.4</v>
      </c>
      <c r="BQ163">
        <v>273.5</v>
      </c>
      <c r="BS163">
        <v>480.1</v>
      </c>
      <c r="BU163">
        <v>10087.9</v>
      </c>
      <c r="BW163">
        <v>23.6</v>
      </c>
      <c r="BY163">
        <v>129.30000000000001</v>
      </c>
      <c r="CA163">
        <v>75.2</v>
      </c>
      <c r="CC163">
        <v>3.2</v>
      </c>
      <c r="CE163">
        <v>69</v>
      </c>
      <c r="CG163">
        <v>26.5</v>
      </c>
      <c r="CI163">
        <v>17</v>
      </c>
      <c r="CK163">
        <v>95.4</v>
      </c>
      <c r="CM163">
        <v>2.8</v>
      </c>
      <c r="CO163">
        <v>20</v>
      </c>
      <c r="CQ163">
        <v>32.9</v>
      </c>
      <c r="CS163">
        <v>36.700000000000003</v>
      </c>
      <c r="CU163">
        <v>4801.3</v>
      </c>
      <c r="CW163">
        <v>20.7</v>
      </c>
      <c r="CY163">
        <v>756.7</v>
      </c>
      <c r="DA163">
        <v>477.1</v>
      </c>
      <c r="DC163">
        <v>2.9</v>
      </c>
      <c r="DE163">
        <v>4.3</v>
      </c>
      <c r="DG163">
        <v>12.5</v>
      </c>
      <c r="DI163">
        <v>39</v>
      </c>
      <c r="DK163">
        <v>17.100000000000001</v>
      </c>
      <c r="DM163">
        <v>279.39999999999998</v>
      </c>
      <c r="DO163">
        <v>12.2</v>
      </c>
      <c r="DQ163">
        <v>256.7</v>
      </c>
    </row>
    <row r="164" spans="1:121" x14ac:dyDescent="0.2">
      <c r="D164" t="s">
        <v>63</v>
      </c>
      <c r="G164">
        <v>5.3490000000000003E-2</v>
      </c>
      <c r="H164" t="s">
        <v>75</v>
      </c>
      <c r="I164">
        <v>1.627E-2</v>
      </c>
      <c r="J164" t="s">
        <v>75</v>
      </c>
      <c r="K164">
        <v>9.1800000000000007E-3</v>
      </c>
      <c r="L164" t="s">
        <v>75</v>
      </c>
      <c r="M164">
        <v>1.5389999999999999E-2</v>
      </c>
      <c r="N164" t="s">
        <v>75</v>
      </c>
      <c r="O164">
        <v>3.0799999999999998E-3</v>
      </c>
      <c r="P164" t="s">
        <v>75</v>
      </c>
      <c r="Q164">
        <v>2.521E-2</v>
      </c>
      <c r="R164" t="s">
        <v>75</v>
      </c>
      <c r="S164">
        <v>1.0399999999999999E-3</v>
      </c>
      <c r="T164" t="s">
        <v>75</v>
      </c>
      <c r="U164">
        <v>1.3169999999999999E-2</v>
      </c>
      <c r="V164" t="s">
        <v>75</v>
      </c>
      <c r="W164">
        <v>6.6499999999999997E-3</v>
      </c>
      <c r="X164" t="s">
        <v>75</v>
      </c>
      <c r="Y164">
        <v>6.0999999999999997E-4</v>
      </c>
      <c r="Z164" t="s">
        <v>75</v>
      </c>
      <c r="AB164" t="s">
        <v>76</v>
      </c>
      <c r="AC164">
        <v>4.7750000000000001E-2</v>
      </c>
      <c r="AD164" t="s">
        <v>75</v>
      </c>
      <c r="AE164">
        <v>4.7820000000000001E-2</v>
      </c>
      <c r="AF164" t="s">
        <v>75</v>
      </c>
      <c r="AG164">
        <v>-1.355E-2</v>
      </c>
      <c r="AH164" t="s">
        <v>75</v>
      </c>
      <c r="AI164">
        <v>5.441E-2</v>
      </c>
      <c r="AJ164" t="s">
        <v>75</v>
      </c>
      <c r="AK164">
        <v>-1.9499999999999999E-3</v>
      </c>
      <c r="AL164" t="s">
        <v>75</v>
      </c>
      <c r="AM164">
        <v>-5.5700000000000003E-3</v>
      </c>
      <c r="AN164" t="s">
        <v>75</v>
      </c>
      <c r="AO164">
        <v>1.9599999999999999E-3</v>
      </c>
      <c r="AP164" t="s">
        <v>75</v>
      </c>
      <c r="AQ164">
        <v>-4.0999999999999999E-4</v>
      </c>
      <c r="AR164" t="s">
        <v>75</v>
      </c>
      <c r="AS164">
        <v>1.07E-3</v>
      </c>
      <c r="AT164" t="s">
        <v>75</v>
      </c>
      <c r="AU164">
        <v>1.5499999999999999E-3</v>
      </c>
      <c r="AV164" t="s">
        <v>75</v>
      </c>
      <c r="AW164">
        <v>-3.6000000000000002E-4</v>
      </c>
      <c r="AX164" t="s">
        <v>75</v>
      </c>
      <c r="AY164">
        <v>-3.5699999999999998E-3</v>
      </c>
      <c r="AZ164" t="s">
        <v>75</v>
      </c>
      <c r="BC164">
        <v>-2.04738</v>
      </c>
      <c r="BD164" t="s">
        <v>75</v>
      </c>
      <c r="BE164">
        <v>2.99E-3</v>
      </c>
      <c r="BF164" t="s">
        <v>75</v>
      </c>
      <c r="BG164">
        <v>-3.7580000000000002E-2</v>
      </c>
      <c r="BH164" t="s">
        <v>75</v>
      </c>
      <c r="BI164">
        <v>-1.431E-2</v>
      </c>
      <c r="BJ164" t="s">
        <v>75</v>
      </c>
      <c r="BK164">
        <v>-4.632E-2</v>
      </c>
      <c r="BL164" t="s">
        <v>75</v>
      </c>
      <c r="BM164">
        <v>-9.0200000000000002E-3</v>
      </c>
      <c r="BN164" t="s">
        <v>75</v>
      </c>
      <c r="BO164">
        <v>-0.52946000000000004</v>
      </c>
      <c r="BP164" t="s">
        <v>75</v>
      </c>
      <c r="BQ164">
        <v>1.687E-2</v>
      </c>
      <c r="BR164" t="s">
        <v>75</v>
      </c>
      <c r="BS164">
        <v>-0.11681999999999999</v>
      </c>
      <c r="BT164" t="s">
        <v>75</v>
      </c>
      <c r="BU164">
        <v>1.8634299999999999</v>
      </c>
      <c r="BV164" t="s">
        <v>75</v>
      </c>
      <c r="BW164">
        <v>-1.4829999999999999E-2</v>
      </c>
      <c r="BX164" t="s">
        <v>75</v>
      </c>
      <c r="BY164">
        <v>-0.45299</v>
      </c>
      <c r="BZ164" t="s">
        <v>75</v>
      </c>
      <c r="CA164">
        <v>1.23556</v>
      </c>
      <c r="CB164" t="s">
        <v>75</v>
      </c>
      <c r="CC164">
        <v>-1.098E-2</v>
      </c>
      <c r="CD164" t="s">
        <v>75</v>
      </c>
      <c r="CE164">
        <v>1.4400000000000001E-3</v>
      </c>
      <c r="CF164" t="s">
        <v>75</v>
      </c>
      <c r="CG164">
        <v>-7.79E-3</v>
      </c>
      <c r="CH164" t="s">
        <v>75</v>
      </c>
      <c r="CI164">
        <v>-2.6800000000000001E-2</v>
      </c>
      <c r="CJ164" t="s">
        <v>75</v>
      </c>
      <c r="CK164">
        <v>-0.29176999999999997</v>
      </c>
      <c r="CL164" t="s">
        <v>75</v>
      </c>
      <c r="CM164">
        <v>-5.9199999999999999E-3</v>
      </c>
      <c r="CN164" t="s">
        <v>75</v>
      </c>
      <c r="CO164">
        <v>1.9949999999999999E-2</v>
      </c>
      <c r="CP164" t="s">
        <v>75</v>
      </c>
      <c r="CQ164">
        <v>-1.8669999999999999E-2</v>
      </c>
      <c r="CR164" t="s">
        <v>75</v>
      </c>
      <c r="CS164">
        <v>-4.5830000000000003E-2</v>
      </c>
      <c r="CT164" t="s">
        <v>75</v>
      </c>
      <c r="CV164" t="s">
        <v>76</v>
      </c>
      <c r="CW164">
        <v>-1.9480000000000001E-2</v>
      </c>
      <c r="CX164" t="s">
        <v>75</v>
      </c>
      <c r="DA164">
        <v>1.15252</v>
      </c>
      <c r="DB164" t="s">
        <v>75</v>
      </c>
      <c r="DC164">
        <v>-3.6999999999999999E-4</v>
      </c>
      <c r="DD164" t="s">
        <v>75</v>
      </c>
      <c r="DE164">
        <v>-1.095E-2</v>
      </c>
      <c r="DF164" t="s">
        <v>75</v>
      </c>
      <c r="DG164">
        <v>0.16392000000000001</v>
      </c>
      <c r="DH164" t="s">
        <v>75</v>
      </c>
      <c r="DI164">
        <v>1.74472</v>
      </c>
      <c r="DJ164" t="s">
        <v>75</v>
      </c>
      <c r="DL164" t="s">
        <v>76</v>
      </c>
      <c r="DN164" t="s">
        <v>76</v>
      </c>
      <c r="DO164">
        <v>-1.6199999999999999E-3</v>
      </c>
      <c r="DP164" t="s">
        <v>75</v>
      </c>
    </row>
    <row r="165" spans="1:121" x14ac:dyDescent="0.2">
      <c r="D165" t="s">
        <v>64</v>
      </c>
      <c r="G165">
        <v>1.3799999999999999E-3</v>
      </c>
      <c r="H165" t="s">
        <v>75</v>
      </c>
      <c r="I165">
        <v>8.1999999999999998E-4</v>
      </c>
      <c r="J165" t="s">
        <v>75</v>
      </c>
      <c r="K165">
        <v>2.4000000000000001E-4</v>
      </c>
      <c r="L165" t="s">
        <v>75</v>
      </c>
      <c r="M165">
        <v>7.7999999999999999E-4</v>
      </c>
      <c r="N165" t="s">
        <v>75</v>
      </c>
      <c r="O165">
        <v>0</v>
      </c>
      <c r="P165" t="s">
        <v>75</v>
      </c>
      <c r="Q165">
        <v>6.0999999999999997E-4</v>
      </c>
      <c r="R165" t="s">
        <v>75</v>
      </c>
      <c r="S165">
        <v>6.0000000000000002E-5</v>
      </c>
      <c r="T165" t="s">
        <v>75</v>
      </c>
      <c r="U165">
        <v>2.3000000000000001E-4</v>
      </c>
      <c r="V165" t="s">
        <v>75</v>
      </c>
      <c r="W165">
        <v>2.4000000000000001E-4</v>
      </c>
      <c r="X165" t="s">
        <v>75</v>
      </c>
      <c r="Y165">
        <v>2.7999999999999998E-4</v>
      </c>
      <c r="Z165" t="s">
        <v>75</v>
      </c>
      <c r="AC165">
        <v>3.8999999999999999E-4</v>
      </c>
      <c r="AD165" t="s">
        <v>75</v>
      </c>
      <c r="AE165">
        <v>4.6999999999999999E-4</v>
      </c>
      <c r="AF165" t="s">
        <v>75</v>
      </c>
      <c r="AG165">
        <v>8.0000000000000007E-5</v>
      </c>
      <c r="AH165" t="s">
        <v>75</v>
      </c>
      <c r="AI165">
        <v>1.92E-3</v>
      </c>
      <c r="AJ165" t="s">
        <v>75</v>
      </c>
      <c r="AK165">
        <v>1.0000000000000001E-5</v>
      </c>
      <c r="AL165" t="s">
        <v>75</v>
      </c>
      <c r="AM165">
        <v>2.0000000000000002E-5</v>
      </c>
      <c r="AN165" t="s">
        <v>75</v>
      </c>
      <c r="AO165">
        <v>2.0000000000000002E-5</v>
      </c>
      <c r="AP165" t="s">
        <v>75</v>
      </c>
      <c r="AQ165">
        <v>6.9999999999999994E-5</v>
      </c>
      <c r="AR165" t="s">
        <v>75</v>
      </c>
      <c r="AS165">
        <v>1.6000000000000001E-4</v>
      </c>
      <c r="AT165" t="s">
        <v>75</v>
      </c>
      <c r="AU165">
        <v>1.0000000000000001E-5</v>
      </c>
      <c r="AV165" t="s">
        <v>75</v>
      </c>
      <c r="AW165">
        <v>1E-4</v>
      </c>
      <c r="AX165" t="s">
        <v>75</v>
      </c>
      <c r="AY165">
        <v>5.5000000000000003E-4</v>
      </c>
      <c r="AZ165" t="s">
        <v>75</v>
      </c>
      <c r="BC165">
        <v>9.1E-4</v>
      </c>
      <c r="BD165" t="s">
        <v>75</v>
      </c>
      <c r="BE165">
        <v>5.0000000000000002E-5</v>
      </c>
      <c r="BF165" t="s">
        <v>75</v>
      </c>
      <c r="BG165">
        <v>1.3999999999999999E-4</v>
      </c>
      <c r="BH165" t="s">
        <v>75</v>
      </c>
      <c r="BI165">
        <v>1.1E-4</v>
      </c>
      <c r="BJ165" t="s">
        <v>75</v>
      </c>
      <c r="BK165">
        <v>1.1E-4</v>
      </c>
      <c r="BL165" t="s">
        <v>75</v>
      </c>
      <c r="BM165">
        <v>6.9999999999999994E-5</v>
      </c>
      <c r="BN165" t="s">
        <v>75</v>
      </c>
      <c r="BO165">
        <v>1.917E-2</v>
      </c>
      <c r="BP165" t="s">
        <v>75</v>
      </c>
      <c r="BQ165">
        <v>1.491E-2</v>
      </c>
      <c r="BR165" t="s">
        <v>75</v>
      </c>
      <c r="BS165">
        <v>1.1220000000000001E-2</v>
      </c>
      <c r="BT165" t="s">
        <v>75</v>
      </c>
      <c r="BU165">
        <v>0.69930000000000003</v>
      </c>
      <c r="BV165" t="s">
        <v>75</v>
      </c>
      <c r="BW165">
        <v>8.3099999999999997E-3</v>
      </c>
      <c r="BX165" t="s">
        <v>75</v>
      </c>
      <c r="BY165">
        <v>8.8349999999999998E-2</v>
      </c>
      <c r="BZ165" t="s">
        <v>75</v>
      </c>
      <c r="CA165">
        <v>5.2209999999999999E-2</v>
      </c>
      <c r="CB165" t="s">
        <v>75</v>
      </c>
      <c r="CC165">
        <v>6.9999999999999999E-4</v>
      </c>
      <c r="CD165" t="s">
        <v>75</v>
      </c>
      <c r="CE165">
        <v>1.1000000000000001E-3</v>
      </c>
      <c r="CF165" t="s">
        <v>75</v>
      </c>
      <c r="CG165">
        <v>3.4000000000000002E-4</v>
      </c>
      <c r="CH165" t="s">
        <v>75</v>
      </c>
      <c r="CI165">
        <v>2.3000000000000001E-4</v>
      </c>
      <c r="CJ165" t="s">
        <v>75</v>
      </c>
      <c r="CK165">
        <v>1.2600000000000001E-3</v>
      </c>
      <c r="CL165" t="s">
        <v>75</v>
      </c>
      <c r="CM165">
        <v>3.0000000000000001E-5</v>
      </c>
      <c r="CN165" t="s">
        <v>75</v>
      </c>
      <c r="CO165">
        <v>1.08E-3</v>
      </c>
      <c r="CP165" t="s">
        <v>75</v>
      </c>
      <c r="CQ165">
        <v>1.09E-3</v>
      </c>
      <c r="CR165" t="s">
        <v>75</v>
      </c>
      <c r="CS165">
        <v>9.4199999999999996E-3</v>
      </c>
      <c r="CT165" t="s">
        <v>75</v>
      </c>
      <c r="CW165">
        <v>8.8000000000000003E-4</v>
      </c>
      <c r="CX165" t="s">
        <v>75</v>
      </c>
      <c r="DA165">
        <v>4.7359999999999999E-2</v>
      </c>
      <c r="DB165" t="s">
        <v>75</v>
      </c>
      <c r="DC165">
        <v>1.2099999999999999E-3</v>
      </c>
      <c r="DD165" t="s">
        <v>75</v>
      </c>
      <c r="DE165">
        <v>1.7799999999999999E-3</v>
      </c>
      <c r="DF165" t="s">
        <v>75</v>
      </c>
      <c r="DG165">
        <v>6.6309999999999994E-2</v>
      </c>
      <c r="DH165" t="s">
        <v>75</v>
      </c>
      <c r="DI165">
        <v>9.7839999999999996E-2</v>
      </c>
      <c r="DJ165" t="s">
        <v>75</v>
      </c>
      <c r="DO165">
        <v>1.73E-3</v>
      </c>
      <c r="DP165" t="s">
        <v>75</v>
      </c>
    </row>
    <row r="166" spans="1:121" x14ac:dyDescent="0.2">
      <c r="D166" t="s">
        <v>65</v>
      </c>
      <c r="G166" t="s">
        <v>66</v>
      </c>
      <c r="I166" t="s">
        <v>66</v>
      </c>
      <c r="K166" t="s">
        <v>66</v>
      </c>
      <c r="M166" t="s">
        <v>66</v>
      </c>
      <c r="O166" t="s">
        <v>66</v>
      </c>
      <c r="Q166" t="s">
        <v>66</v>
      </c>
      <c r="S166" t="s">
        <v>66</v>
      </c>
      <c r="U166" t="s">
        <v>66</v>
      </c>
      <c r="W166" t="s">
        <v>66</v>
      </c>
      <c r="Y166" t="s">
        <v>66</v>
      </c>
      <c r="AA166" t="s">
        <v>66</v>
      </c>
      <c r="AC166" t="s">
        <v>66</v>
      </c>
      <c r="AE166" t="s">
        <v>66</v>
      </c>
      <c r="AG166" t="s">
        <v>66</v>
      </c>
      <c r="AI166" t="s">
        <v>66</v>
      </c>
      <c r="AK166" t="s">
        <v>66</v>
      </c>
      <c r="AM166" t="s">
        <v>66</v>
      </c>
      <c r="AO166" t="s">
        <v>66</v>
      </c>
      <c r="AQ166" t="s">
        <v>66</v>
      </c>
      <c r="AS166" t="s">
        <v>66</v>
      </c>
      <c r="AU166" t="s">
        <v>66</v>
      </c>
      <c r="AW166" t="s">
        <v>66</v>
      </c>
      <c r="AY166" t="s">
        <v>66</v>
      </c>
      <c r="BA166" t="s">
        <v>66</v>
      </c>
      <c r="BC166" t="s">
        <v>66</v>
      </c>
      <c r="BE166" t="s">
        <v>66</v>
      </c>
      <c r="BG166" t="s">
        <v>66</v>
      </c>
      <c r="BI166" t="s">
        <v>66</v>
      </c>
      <c r="BK166" t="s">
        <v>66</v>
      </c>
      <c r="BM166" t="s">
        <v>66</v>
      </c>
      <c r="BO166" t="s">
        <v>66</v>
      </c>
      <c r="BQ166" t="s">
        <v>66</v>
      </c>
      <c r="BS166" t="s">
        <v>66</v>
      </c>
      <c r="BU166" t="s">
        <v>66</v>
      </c>
      <c r="BW166" t="s">
        <v>66</v>
      </c>
      <c r="BY166" t="s">
        <v>66</v>
      </c>
      <c r="CA166" t="s">
        <v>66</v>
      </c>
      <c r="CC166" t="s">
        <v>66</v>
      </c>
      <c r="CE166" t="s">
        <v>66</v>
      </c>
      <c r="CG166" t="s">
        <v>66</v>
      </c>
      <c r="CI166" t="s">
        <v>66</v>
      </c>
      <c r="CK166" t="s">
        <v>66</v>
      </c>
      <c r="CM166" t="s">
        <v>66</v>
      </c>
      <c r="CO166" t="s">
        <v>66</v>
      </c>
      <c r="CQ166" t="s">
        <v>66</v>
      </c>
      <c r="CS166" t="s">
        <v>66</v>
      </c>
      <c r="CU166" t="s">
        <v>66</v>
      </c>
      <c r="CW166" t="s">
        <v>66</v>
      </c>
      <c r="CY166" t="s">
        <v>66</v>
      </c>
      <c r="DA166" t="s">
        <v>66</v>
      </c>
      <c r="DC166" t="s">
        <v>66</v>
      </c>
      <c r="DE166" t="s">
        <v>66</v>
      </c>
      <c r="DG166" t="s">
        <v>66</v>
      </c>
      <c r="DI166" t="s">
        <v>66</v>
      </c>
      <c r="DK166" t="s">
        <v>66</v>
      </c>
      <c r="DM166" t="s">
        <v>66</v>
      </c>
      <c r="DO166" t="s">
        <v>66</v>
      </c>
      <c r="DQ166" t="s">
        <v>66</v>
      </c>
    </row>
    <row r="167" spans="1:121" x14ac:dyDescent="0.2">
      <c r="A167" t="s">
        <v>603</v>
      </c>
      <c r="D167" t="s">
        <v>60</v>
      </c>
      <c r="E167" t="s">
        <v>61</v>
      </c>
      <c r="G167">
        <v>69826.100000000006</v>
      </c>
      <c r="I167">
        <v>744.7</v>
      </c>
      <c r="K167">
        <v>6070364.9000000004</v>
      </c>
      <c r="M167">
        <v>240975.5</v>
      </c>
      <c r="O167">
        <v>6165</v>
      </c>
      <c r="Q167">
        <v>100650</v>
      </c>
      <c r="S167">
        <v>2894.3</v>
      </c>
      <c r="U167">
        <v>2407.3000000000002</v>
      </c>
      <c r="W167">
        <v>520761.3</v>
      </c>
      <c r="Y167">
        <v>202894</v>
      </c>
      <c r="AA167">
        <v>16048823.5</v>
      </c>
      <c r="AC167">
        <v>21535885.399999999</v>
      </c>
      <c r="AE167">
        <v>83116185.900000006</v>
      </c>
      <c r="AG167">
        <v>438530.2</v>
      </c>
      <c r="AI167">
        <v>528479.9</v>
      </c>
      <c r="AK167">
        <v>40929.699999999997</v>
      </c>
      <c r="AM167">
        <v>8739.6</v>
      </c>
      <c r="AO167">
        <v>858.7</v>
      </c>
      <c r="AQ167">
        <v>272.89999999999998</v>
      </c>
      <c r="AS167">
        <v>561.6</v>
      </c>
      <c r="AU167">
        <v>444.9</v>
      </c>
      <c r="AW167">
        <v>408.4</v>
      </c>
      <c r="AY167">
        <v>57495.7</v>
      </c>
      <c r="BA167">
        <v>665705.19999999995</v>
      </c>
      <c r="BC167">
        <v>3777.8</v>
      </c>
      <c r="BE167">
        <v>111551.9</v>
      </c>
      <c r="BG167">
        <v>7652928.7999999998</v>
      </c>
      <c r="BI167">
        <v>6363559.5</v>
      </c>
      <c r="BK167">
        <v>15556931.1</v>
      </c>
      <c r="BM167">
        <v>2561611.7000000002</v>
      </c>
      <c r="BO167">
        <v>58658218.700000003</v>
      </c>
      <c r="BQ167">
        <v>137488.5</v>
      </c>
      <c r="BS167">
        <v>680564</v>
      </c>
      <c r="BU167">
        <v>16369301.199999999</v>
      </c>
      <c r="BW167">
        <v>531660.4</v>
      </c>
      <c r="BY167">
        <v>2822731.3</v>
      </c>
      <c r="CA167">
        <v>73302.7</v>
      </c>
      <c r="CC167">
        <v>696.5</v>
      </c>
      <c r="CE167">
        <v>4482.3</v>
      </c>
      <c r="CG167">
        <v>485692.3</v>
      </c>
      <c r="CI167">
        <v>351423</v>
      </c>
      <c r="CK167">
        <v>3458423.7</v>
      </c>
      <c r="CM167">
        <v>48220.800000000003</v>
      </c>
      <c r="CO167">
        <v>109054.8</v>
      </c>
      <c r="CQ167">
        <v>701396.4</v>
      </c>
      <c r="CS167">
        <v>24039175.899999999</v>
      </c>
      <c r="CU167">
        <v>1699972.1</v>
      </c>
      <c r="CW167">
        <v>2639439.4</v>
      </c>
      <c r="CY167">
        <v>60269.4</v>
      </c>
      <c r="DA167">
        <v>37287565.399999999</v>
      </c>
      <c r="DC167">
        <v>1134.5999999999999</v>
      </c>
      <c r="DE167">
        <v>420722</v>
      </c>
      <c r="DG167">
        <v>1278.2</v>
      </c>
      <c r="DI167">
        <v>4148.8</v>
      </c>
      <c r="DK167">
        <v>1042.3</v>
      </c>
      <c r="DM167">
        <v>493439.1</v>
      </c>
      <c r="DO167">
        <v>673174.1</v>
      </c>
      <c r="DQ167">
        <v>17461.8</v>
      </c>
    </row>
    <row r="168" spans="1:121" x14ac:dyDescent="0.2">
      <c r="D168" t="s">
        <v>62</v>
      </c>
      <c r="E168" t="s">
        <v>61</v>
      </c>
      <c r="G168">
        <v>781</v>
      </c>
      <c r="I168">
        <v>44.9</v>
      </c>
      <c r="K168">
        <v>73824.800000000003</v>
      </c>
      <c r="M168">
        <v>2388</v>
      </c>
      <c r="O168">
        <v>289</v>
      </c>
      <c r="Q168">
        <v>1316.3</v>
      </c>
      <c r="S168">
        <v>61.6</v>
      </c>
      <c r="U168">
        <v>176.8</v>
      </c>
      <c r="W168">
        <v>3467.6</v>
      </c>
      <c r="Y168">
        <v>1196.7</v>
      </c>
      <c r="AA168">
        <v>177827.3</v>
      </c>
      <c r="AC168">
        <v>164275.29999999999</v>
      </c>
      <c r="AE168">
        <v>453710.3</v>
      </c>
      <c r="AG168">
        <v>5962.1</v>
      </c>
      <c r="AI168">
        <v>4260.1000000000004</v>
      </c>
      <c r="AK168">
        <v>620.79999999999995</v>
      </c>
      <c r="AM168">
        <v>374.1</v>
      </c>
      <c r="AO168">
        <v>33.700000000000003</v>
      </c>
      <c r="AQ168">
        <v>54.3</v>
      </c>
      <c r="AS168">
        <v>28.4</v>
      </c>
      <c r="AU168">
        <v>61.7</v>
      </c>
      <c r="AW168">
        <v>51.6</v>
      </c>
      <c r="AY168">
        <v>252.5</v>
      </c>
      <c r="BA168">
        <v>13014.8</v>
      </c>
      <c r="BC168">
        <v>75.8</v>
      </c>
      <c r="BE168">
        <v>1902.4</v>
      </c>
      <c r="BG168">
        <v>174086</v>
      </c>
      <c r="BI168">
        <v>61060.4</v>
      </c>
      <c r="BK168">
        <v>233560.5</v>
      </c>
      <c r="BM168">
        <v>58117.3</v>
      </c>
      <c r="BO168">
        <v>515595.3</v>
      </c>
      <c r="BQ168">
        <v>1489.6</v>
      </c>
      <c r="BS168">
        <v>6557.4</v>
      </c>
      <c r="BU168">
        <v>138818.70000000001</v>
      </c>
      <c r="BW168">
        <v>3447.4</v>
      </c>
      <c r="BY168">
        <v>32032.3</v>
      </c>
      <c r="CA168">
        <v>1295.3</v>
      </c>
      <c r="CC168">
        <v>21.6</v>
      </c>
      <c r="CE168">
        <v>254.9</v>
      </c>
      <c r="CG168">
        <v>7557.6</v>
      </c>
      <c r="CI168">
        <v>9122.2000000000007</v>
      </c>
      <c r="CK168">
        <v>25421.9</v>
      </c>
      <c r="CM168">
        <v>411.5</v>
      </c>
      <c r="CO168">
        <v>1452.7</v>
      </c>
      <c r="CQ168">
        <v>10161.1</v>
      </c>
      <c r="CS168">
        <v>408313.7</v>
      </c>
      <c r="CU168">
        <v>10345.200000000001</v>
      </c>
      <c r="CW168">
        <v>20538.599999999999</v>
      </c>
      <c r="CY168">
        <v>521.9</v>
      </c>
      <c r="DA168">
        <v>1097528.3</v>
      </c>
      <c r="DC168">
        <v>69.400000000000006</v>
      </c>
      <c r="DE168">
        <v>4203.6000000000004</v>
      </c>
      <c r="DG168">
        <v>56.8</v>
      </c>
      <c r="DI168">
        <v>64.099999999999994</v>
      </c>
      <c r="DK168">
        <v>30.9</v>
      </c>
      <c r="DM168">
        <v>10398.299999999999</v>
      </c>
      <c r="DO168">
        <v>12270.4</v>
      </c>
      <c r="DQ168">
        <v>387.4</v>
      </c>
    </row>
    <row r="169" spans="1:121" x14ac:dyDescent="0.2">
      <c r="D169" t="s">
        <v>63</v>
      </c>
      <c r="G169">
        <v>0.53069999999999995</v>
      </c>
      <c r="H169" t="s">
        <v>75</v>
      </c>
      <c r="I169">
        <v>1.383E-2</v>
      </c>
      <c r="J169" t="s">
        <v>75</v>
      </c>
      <c r="K169">
        <v>7.8618399999999999</v>
      </c>
      <c r="L169" t="s">
        <v>75</v>
      </c>
      <c r="M169">
        <v>0.21515999999999999</v>
      </c>
      <c r="N169" t="s">
        <v>75</v>
      </c>
      <c r="O169">
        <v>8.1600000000000006E-3</v>
      </c>
      <c r="P169" t="s">
        <v>75</v>
      </c>
      <c r="Q169">
        <v>0.68284</v>
      </c>
      <c r="R169" t="s">
        <v>75</v>
      </c>
      <c r="S169">
        <v>1.89E-3</v>
      </c>
      <c r="T169" t="s">
        <v>75</v>
      </c>
      <c r="U169">
        <v>1.5779999999999999E-2</v>
      </c>
      <c r="V169" t="s">
        <v>75</v>
      </c>
      <c r="W169">
        <v>1.12866</v>
      </c>
      <c r="X169" t="s">
        <v>75</v>
      </c>
      <c r="Y169">
        <v>3.0687899999999999</v>
      </c>
      <c r="Z169" t="s">
        <v>75</v>
      </c>
      <c r="AB169" t="s">
        <v>76</v>
      </c>
      <c r="AC169">
        <v>78.070899999999995</v>
      </c>
      <c r="AD169" t="s">
        <v>75</v>
      </c>
      <c r="AE169">
        <v>317.10377</v>
      </c>
      <c r="AF169" t="s">
        <v>75</v>
      </c>
      <c r="AG169">
        <v>0.33428999999999998</v>
      </c>
      <c r="AH169" t="s">
        <v>75</v>
      </c>
      <c r="AI169">
        <v>3.4022999999999999</v>
      </c>
      <c r="AJ169" t="s">
        <v>75</v>
      </c>
      <c r="AK169">
        <v>2.647E-2</v>
      </c>
      <c r="AL169" t="s">
        <v>75</v>
      </c>
      <c r="AM169">
        <v>1E-3</v>
      </c>
      <c r="AN169" t="s">
        <v>75</v>
      </c>
      <c r="AO169">
        <v>4.62E-3</v>
      </c>
      <c r="AP169" t="s">
        <v>75</v>
      </c>
      <c r="AQ169">
        <v>2.3000000000000001E-4</v>
      </c>
      <c r="AR169" t="s">
        <v>75</v>
      </c>
      <c r="AS169">
        <v>1.5E-3</v>
      </c>
      <c r="AT169" t="s">
        <v>75</v>
      </c>
      <c r="AU169">
        <v>1.65E-3</v>
      </c>
      <c r="AV169" t="s">
        <v>75</v>
      </c>
      <c r="AW169">
        <v>2.0000000000000001E-4</v>
      </c>
      <c r="AX169" t="s">
        <v>75</v>
      </c>
      <c r="AY169">
        <v>0.17860999999999999</v>
      </c>
      <c r="AZ169" t="s">
        <v>75</v>
      </c>
      <c r="BC169">
        <v>-2.0483899999999999</v>
      </c>
      <c r="BD169" t="s">
        <v>75</v>
      </c>
      <c r="BE169">
        <v>0.11104</v>
      </c>
      <c r="BF169" t="s">
        <v>75</v>
      </c>
      <c r="BG169">
        <v>22.369119999999999</v>
      </c>
      <c r="BH169" t="s">
        <v>75</v>
      </c>
      <c r="BI169">
        <v>21.407419999999998</v>
      </c>
      <c r="BJ169" t="s">
        <v>75</v>
      </c>
      <c r="BK169">
        <v>22.118279999999999</v>
      </c>
      <c r="BL169" t="s">
        <v>75</v>
      </c>
      <c r="BM169">
        <v>2.4418000000000002</v>
      </c>
      <c r="BN169" t="s">
        <v>75</v>
      </c>
      <c r="BO169">
        <v>1279.5415499999999</v>
      </c>
      <c r="BP169" t="s">
        <v>75</v>
      </c>
      <c r="BQ169">
        <v>4.1834499999999997</v>
      </c>
      <c r="BR169" t="s">
        <v>75</v>
      </c>
      <c r="BS169">
        <v>14.63036</v>
      </c>
      <c r="BT169" t="s">
        <v>75</v>
      </c>
      <c r="BU169">
        <v>649.35666000000003</v>
      </c>
      <c r="BV169" t="s">
        <v>75</v>
      </c>
      <c r="BW169">
        <v>223.01975999999999</v>
      </c>
      <c r="BX169" t="s">
        <v>75</v>
      </c>
      <c r="BY169">
        <v>776.38203999999996</v>
      </c>
      <c r="BZ169" t="s">
        <v>75</v>
      </c>
      <c r="CA169">
        <v>35.24888</v>
      </c>
      <c r="CB169" t="s">
        <v>75</v>
      </c>
      <c r="CC169">
        <v>0.13278999999999999</v>
      </c>
      <c r="CD169" t="s">
        <v>75</v>
      </c>
      <c r="CE169">
        <v>6.4409999999999995E-2</v>
      </c>
      <c r="CF169" t="s">
        <v>75</v>
      </c>
      <c r="CG169">
        <v>8.17225</v>
      </c>
      <c r="CH169" t="s">
        <v>75</v>
      </c>
      <c r="CI169">
        <v>4.5076799999999997</v>
      </c>
      <c r="CJ169" t="s">
        <v>75</v>
      </c>
      <c r="CK169">
        <v>48.115479999999998</v>
      </c>
      <c r="CL169" t="s">
        <v>75</v>
      </c>
      <c r="CM169">
        <v>0.67052999999999996</v>
      </c>
      <c r="CN169" t="s">
        <v>75</v>
      </c>
      <c r="CO169">
        <v>6.1116799999999998</v>
      </c>
      <c r="CP169" t="s">
        <v>75</v>
      </c>
      <c r="CQ169">
        <v>20.96471</v>
      </c>
      <c r="CR169" t="s">
        <v>75</v>
      </c>
      <c r="CS169">
        <v>6222.0540700000001</v>
      </c>
      <c r="CT169" t="s">
        <v>75</v>
      </c>
      <c r="CV169" t="s">
        <v>76</v>
      </c>
      <c r="CW169">
        <v>96.916669999999996</v>
      </c>
      <c r="CX169" t="s">
        <v>75</v>
      </c>
      <c r="DA169">
        <v>2076.1960600000002</v>
      </c>
      <c r="DB169" t="s">
        <v>75</v>
      </c>
      <c r="DC169">
        <v>0.46472000000000002</v>
      </c>
      <c r="DD169" t="s">
        <v>75</v>
      </c>
      <c r="DE169">
        <v>177.78639999999999</v>
      </c>
      <c r="DF169" t="s">
        <v>75</v>
      </c>
      <c r="DG169">
        <v>6.2169699999999999</v>
      </c>
      <c r="DH169" t="s">
        <v>75</v>
      </c>
      <c r="DI169">
        <v>6.3644299999999996</v>
      </c>
      <c r="DJ169" t="s">
        <v>75</v>
      </c>
      <c r="DL169" t="s">
        <v>76</v>
      </c>
      <c r="DN169" t="s">
        <v>76</v>
      </c>
      <c r="DO169">
        <v>93.001630000000006</v>
      </c>
      <c r="DP169" t="s">
        <v>75</v>
      </c>
    </row>
    <row r="170" spans="1:121" x14ac:dyDescent="0.2">
      <c r="D170" t="s">
        <v>64</v>
      </c>
      <c r="G170">
        <v>1.719E-2</v>
      </c>
      <c r="H170" t="s">
        <v>75</v>
      </c>
      <c r="I170">
        <v>1.1100000000000001E-3</v>
      </c>
      <c r="J170" t="s">
        <v>75</v>
      </c>
      <c r="K170">
        <v>0.24301</v>
      </c>
      <c r="L170" t="s">
        <v>75</v>
      </c>
      <c r="M170">
        <v>5.4299999999999999E-3</v>
      </c>
      <c r="N170" t="s">
        <v>75</v>
      </c>
      <c r="O170">
        <v>2.7999999999999998E-4</v>
      </c>
      <c r="P170" t="s">
        <v>75</v>
      </c>
      <c r="Q170">
        <v>7.9900000000000006E-3</v>
      </c>
      <c r="R170" t="s">
        <v>75</v>
      </c>
      <c r="S170">
        <v>8.0000000000000007E-5</v>
      </c>
      <c r="T170" t="s">
        <v>75</v>
      </c>
      <c r="U170">
        <v>5.9999999999999995E-4</v>
      </c>
      <c r="V170" t="s">
        <v>75</v>
      </c>
      <c r="W170">
        <v>2.4250000000000001E-2</v>
      </c>
      <c r="X170" t="s">
        <v>75</v>
      </c>
      <c r="Y170">
        <v>6.9180000000000005E-2</v>
      </c>
      <c r="Z170" t="s">
        <v>75</v>
      </c>
      <c r="AC170">
        <v>1.0162899999999999</v>
      </c>
      <c r="AD170" t="s">
        <v>75</v>
      </c>
      <c r="AE170">
        <v>5.27752</v>
      </c>
      <c r="AF170" t="s">
        <v>75</v>
      </c>
      <c r="AG170">
        <v>5.4299999999999999E-3</v>
      </c>
      <c r="AH170" t="s">
        <v>75</v>
      </c>
      <c r="AI170">
        <v>6.8169999999999994E-2</v>
      </c>
      <c r="AJ170" t="s">
        <v>75</v>
      </c>
      <c r="AK170">
        <v>8.8999999999999995E-4</v>
      </c>
      <c r="AL170" t="s">
        <v>75</v>
      </c>
      <c r="AM170">
        <v>2.9999999999999997E-4</v>
      </c>
      <c r="AN170" t="s">
        <v>75</v>
      </c>
      <c r="AO170">
        <v>6.0000000000000002E-5</v>
      </c>
      <c r="AP170" t="s">
        <v>75</v>
      </c>
      <c r="AQ170">
        <v>2.1000000000000001E-4</v>
      </c>
      <c r="AR170" t="s">
        <v>75</v>
      </c>
      <c r="AS170">
        <v>1.3999999999999999E-4</v>
      </c>
      <c r="AT170" t="s">
        <v>75</v>
      </c>
      <c r="AU170">
        <v>4.0000000000000003E-5</v>
      </c>
      <c r="AV170" t="s">
        <v>75</v>
      </c>
      <c r="AW170">
        <v>1.2999999999999999E-4</v>
      </c>
      <c r="AX170" t="s">
        <v>75</v>
      </c>
      <c r="AY170">
        <v>2.8700000000000002E-3</v>
      </c>
      <c r="AZ170" t="s">
        <v>75</v>
      </c>
      <c r="BC170">
        <v>2.5000000000000001E-4</v>
      </c>
      <c r="BD170" t="s">
        <v>75</v>
      </c>
      <c r="BE170">
        <v>6.3000000000000003E-4</v>
      </c>
      <c r="BF170" t="s">
        <v>75</v>
      </c>
      <c r="BG170">
        <v>0.42754999999999999</v>
      </c>
      <c r="BH170" t="s">
        <v>75</v>
      </c>
      <c r="BI170">
        <v>0.38596999999999998</v>
      </c>
      <c r="BJ170" t="s">
        <v>75</v>
      </c>
      <c r="BK170">
        <v>0.27424999999999999</v>
      </c>
      <c r="BL170" t="s">
        <v>75</v>
      </c>
      <c r="BM170">
        <v>4.267E-2</v>
      </c>
      <c r="BN170" t="s">
        <v>75</v>
      </c>
      <c r="BO170">
        <v>20.570229999999999</v>
      </c>
      <c r="BP170" t="s">
        <v>75</v>
      </c>
      <c r="BQ170">
        <v>1.771E-2</v>
      </c>
      <c r="BR170" t="s">
        <v>75</v>
      </c>
      <c r="BS170">
        <v>7.5069999999999998E-2</v>
      </c>
      <c r="BT170" t="s">
        <v>75</v>
      </c>
      <c r="BU170">
        <v>10.80677</v>
      </c>
      <c r="BV170" t="s">
        <v>75</v>
      </c>
      <c r="BW170">
        <v>2.63944</v>
      </c>
      <c r="BX170" t="s">
        <v>75</v>
      </c>
      <c r="BY170">
        <v>10.52575</v>
      </c>
      <c r="BZ170" t="s">
        <v>75</v>
      </c>
      <c r="CA170">
        <v>0.64473999999999998</v>
      </c>
      <c r="CB170" t="s">
        <v>75</v>
      </c>
      <c r="CC170">
        <v>5.2100000000000002E-3</v>
      </c>
      <c r="CD170" t="s">
        <v>75</v>
      </c>
      <c r="CE170">
        <v>3.6600000000000001E-3</v>
      </c>
      <c r="CF170" t="s">
        <v>75</v>
      </c>
      <c r="CG170">
        <v>0.11647</v>
      </c>
      <c r="CH170" t="s">
        <v>75</v>
      </c>
      <c r="CI170">
        <v>0.13880999999999999</v>
      </c>
      <c r="CJ170" t="s">
        <v>75</v>
      </c>
      <c r="CK170">
        <v>0.48300999999999999</v>
      </c>
      <c r="CL170" t="s">
        <v>75</v>
      </c>
      <c r="CM170">
        <v>9.3399999999999993E-3</v>
      </c>
      <c r="CN170" t="s">
        <v>75</v>
      </c>
      <c r="CO170">
        <v>0.1167</v>
      </c>
      <c r="CP170" t="s">
        <v>75</v>
      </c>
      <c r="CQ170">
        <v>0.48682999999999998</v>
      </c>
      <c r="CR170" t="s">
        <v>75</v>
      </c>
      <c r="CS170">
        <v>160.22660999999999</v>
      </c>
      <c r="CT170" t="s">
        <v>75</v>
      </c>
      <c r="CW170">
        <v>1.4898199999999999</v>
      </c>
      <c r="CX170" t="s">
        <v>75</v>
      </c>
      <c r="DA170">
        <v>90.608639999999994</v>
      </c>
      <c r="DB170" t="s">
        <v>75</v>
      </c>
      <c r="DC170">
        <v>2.6429999999999999E-2</v>
      </c>
      <c r="DD170" t="s">
        <v>75</v>
      </c>
      <c r="DE170">
        <v>2.2028599999999998</v>
      </c>
      <c r="DF170" t="s">
        <v>75</v>
      </c>
      <c r="DG170">
        <v>0.26706999999999997</v>
      </c>
      <c r="DH170" t="s">
        <v>75</v>
      </c>
      <c r="DI170">
        <v>4.9360000000000001E-2</v>
      </c>
      <c r="DJ170" t="s">
        <v>75</v>
      </c>
      <c r="DO170">
        <v>2.5422099999999999</v>
      </c>
      <c r="DP170" t="s">
        <v>75</v>
      </c>
    </row>
    <row r="171" spans="1:121" x14ac:dyDescent="0.2">
      <c r="D171" t="s">
        <v>65</v>
      </c>
      <c r="G171" t="s">
        <v>66</v>
      </c>
      <c r="I171" t="s">
        <v>66</v>
      </c>
      <c r="K171" t="s">
        <v>66</v>
      </c>
      <c r="M171" t="s">
        <v>66</v>
      </c>
      <c r="O171" t="s">
        <v>66</v>
      </c>
      <c r="Q171" t="s">
        <v>66</v>
      </c>
      <c r="S171" t="s">
        <v>66</v>
      </c>
      <c r="U171" t="s">
        <v>66</v>
      </c>
      <c r="W171" t="s">
        <v>66</v>
      </c>
      <c r="Y171" t="s">
        <v>66</v>
      </c>
      <c r="AA171" t="s">
        <v>66</v>
      </c>
      <c r="AC171" t="s">
        <v>66</v>
      </c>
      <c r="AE171" t="s">
        <v>66</v>
      </c>
      <c r="AG171" t="s">
        <v>66</v>
      </c>
      <c r="AI171" t="s">
        <v>66</v>
      </c>
      <c r="AK171" t="s">
        <v>66</v>
      </c>
      <c r="AM171" t="s">
        <v>66</v>
      </c>
      <c r="AO171" t="s">
        <v>66</v>
      </c>
      <c r="AQ171" t="s">
        <v>66</v>
      </c>
      <c r="AS171" t="s">
        <v>66</v>
      </c>
      <c r="AU171" t="s">
        <v>66</v>
      </c>
      <c r="AW171" t="s">
        <v>66</v>
      </c>
      <c r="AY171" t="s">
        <v>66</v>
      </c>
      <c r="BA171" t="s">
        <v>66</v>
      </c>
      <c r="BC171" t="s">
        <v>66</v>
      </c>
      <c r="BE171" t="s">
        <v>66</v>
      </c>
      <c r="BG171" t="s">
        <v>66</v>
      </c>
      <c r="BI171" t="s">
        <v>66</v>
      </c>
      <c r="BK171" t="s">
        <v>66</v>
      </c>
      <c r="BM171" t="s">
        <v>66</v>
      </c>
      <c r="BO171" t="s">
        <v>66</v>
      </c>
      <c r="BQ171" t="s">
        <v>66</v>
      </c>
      <c r="BS171" t="s">
        <v>66</v>
      </c>
      <c r="BU171" t="s">
        <v>66</v>
      </c>
      <c r="BW171" t="s">
        <v>66</v>
      </c>
      <c r="BY171" t="s">
        <v>66</v>
      </c>
      <c r="CA171" t="s">
        <v>66</v>
      </c>
      <c r="CC171" t="s">
        <v>66</v>
      </c>
      <c r="CE171" t="s">
        <v>66</v>
      </c>
      <c r="CG171" t="s">
        <v>66</v>
      </c>
      <c r="CI171" t="s">
        <v>66</v>
      </c>
      <c r="CK171" t="s">
        <v>66</v>
      </c>
      <c r="CM171" t="s">
        <v>66</v>
      </c>
      <c r="CO171" t="s">
        <v>66</v>
      </c>
      <c r="CQ171" t="s">
        <v>66</v>
      </c>
      <c r="CS171" t="s">
        <v>66</v>
      </c>
      <c r="CU171" t="s">
        <v>66</v>
      </c>
      <c r="CW171" t="s">
        <v>66</v>
      </c>
      <c r="CY171" t="s">
        <v>66</v>
      </c>
      <c r="DA171" t="s">
        <v>66</v>
      </c>
      <c r="DC171" t="s">
        <v>66</v>
      </c>
      <c r="DE171" t="s">
        <v>66</v>
      </c>
      <c r="DG171" t="s">
        <v>66</v>
      </c>
      <c r="DI171" t="s">
        <v>66</v>
      </c>
      <c r="DK171" t="s">
        <v>66</v>
      </c>
      <c r="DM171" t="s">
        <v>66</v>
      </c>
      <c r="DO171" t="s">
        <v>66</v>
      </c>
      <c r="DQ171" t="s">
        <v>66</v>
      </c>
    </row>
    <row r="172" spans="1:121" x14ac:dyDescent="0.2">
      <c r="A172" t="s">
        <v>604</v>
      </c>
      <c r="D172" t="s">
        <v>60</v>
      </c>
      <c r="E172" t="s">
        <v>61</v>
      </c>
      <c r="G172">
        <v>18203.2</v>
      </c>
      <c r="I172">
        <v>824</v>
      </c>
      <c r="K172">
        <v>1517065.7</v>
      </c>
      <c r="M172">
        <v>139429.4</v>
      </c>
      <c r="O172">
        <v>2648.1</v>
      </c>
      <c r="Q172">
        <v>18265.7</v>
      </c>
      <c r="S172">
        <v>3060.2</v>
      </c>
      <c r="U172">
        <v>1931.8</v>
      </c>
      <c r="W172">
        <v>202692.6</v>
      </c>
      <c r="Y172">
        <v>38828.400000000001</v>
      </c>
      <c r="AA172">
        <v>3510046.7</v>
      </c>
      <c r="AC172">
        <v>2337122.2999999998</v>
      </c>
      <c r="AE172">
        <v>1442620.2</v>
      </c>
      <c r="AG172">
        <v>104181.8</v>
      </c>
      <c r="AI172">
        <v>170755.20000000001</v>
      </c>
      <c r="AK172">
        <v>4524.5</v>
      </c>
      <c r="AM172">
        <v>7551.4</v>
      </c>
      <c r="AO172">
        <v>872.3</v>
      </c>
      <c r="AQ172">
        <v>279.2</v>
      </c>
      <c r="AS172">
        <v>597.1</v>
      </c>
      <c r="AU172">
        <v>306.3</v>
      </c>
      <c r="AW172">
        <v>310.39999999999998</v>
      </c>
      <c r="AY172">
        <v>9634.6</v>
      </c>
      <c r="BA172">
        <v>658665.80000000005</v>
      </c>
      <c r="BC172">
        <v>3697.4</v>
      </c>
      <c r="BE172">
        <v>75267.3</v>
      </c>
      <c r="BG172">
        <v>1679089.7</v>
      </c>
      <c r="BI172">
        <v>1379740</v>
      </c>
      <c r="BK172">
        <v>3609626.7</v>
      </c>
      <c r="BM172">
        <v>1596757.3</v>
      </c>
      <c r="BO172">
        <v>8555565.5</v>
      </c>
      <c r="BQ172">
        <v>77102.3</v>
      </c>
      <c r="BS172">
        <v>611260.9</v>
      </c>
      <c r="BU172">
        <v>1644651.3</v>
      </c>
      <c r="BW172">
        <v>107898.9</v>
      </c>
      <c r="BY172">
        <v>907728.3</v>
      </c>
      <c r="CA172">
        <v>40411.599999999999</v>
      </c>
      <c r="CC172">
        <v>238</v>
      </c>
      <c r="CE172">
        <v>647.4</v>
      </c>
      <c r="CG172">
        <v>178992.5</v>
      </c>
      <c r="CI172">
        <v>80983.7</v>
      </c>
      <c r="CK172">
        <v>526181.9</v>
      </c>
      <c r="CM172">
        <v>3268.8</v>
      </c>
      <c r="CO172">
        <v>12756.5</v>
      </c>
      <c r="CQ172">
        <v>140631.9</v>
      </c>
      <c r="CS172">
        <v>2314170.7000000002</v>
      </c>
      <c r="CU172">
        <v>299749.3</v>
      </c>
      <c r="CW172">
        <v>229538.9</v>
      </c>
      <c r="CY172">
        <v>58813.7</v>
      </c>
      <c r="DA172">
        <v>9810670.0999999996</v>
      </c>
      <c r="DC172">
        <v>150.6</v>
      </c>
      <c r="DE172">
        <v>7442.4</v>
      </c>
      <c r="DG172">
        <v>135</v>
      </c>
      <c r="DI172">
        <v>1423.5</v>
      </c>
      <c r="DK172">
        <v>986.1</v>
      </c>
      <c r="DM172">
        <v>90345.4</v>
      </c>
      <c r="DO172">
        <v>62092.2</v>
      </c>
      <c r="DQ172">
        <v>16953.3</v>
      </c>
    </row>
    <row r="173" spans="1:121" x14ac:dyDescent="0.2">
      <c r="D173" t="s">
        <v>62</v>
      </c>
      <c r="E173" t="s">
        <v>61</v>
      </c>
      <c r="G173">
        <v>341.1</v>
      </c>
      <c r="I173">
        <v>52.5</v>
      </c>
      <c r="K173">
        <v>6607.3</v>
      </c>
      <c r="M173">
        <v>2096.5</v>
      </c>
      <c r="O173">
        <v>142.80000000000001</v>
      </c>
      <c r="Q173">
        <v>557.6</v>
      </c>
      <c r="S173">
        <v>289.10000000000002</v>
      </c>
      <c r="U173">
        <v>104.7</v>
      </c>
      <c r="W173">
        <v>1429.7</v>
      </c>
      <c r="Y173">
        <v>314.10000000000002</v>
      </c>
      <c r="AA173">
        <v>16324.8</v>
      </c>
      <c r="AC173">
        <v>30868.3</v>
      </c>
      <c r="AE173">
        <v>13673.7</v>
      </c>
      <c r="AG173">
        <v>376.6</v>
      </c>
      <c r="AI173">
        <v>1992</v>
      </c>
      <c r="AK173">
        <v>60</v>
      </c>
      <c r="AM173">
        <v>366.9</v>
      </c>
      <c r="AO173">
        <v>118.9</v>
      </c>
      <c r="AQ173">
        <v>70.900000000000006</v>
      </c>
      <c r="AS173">
        <v>15.6</v>
      </c>
      <c r="AU173">
        <v>35.5</v>
      </c>
      <c r="AW173">
        <v>43.3</v>
      </c>
      <c r="AY173">
        <v>446.7</v>
      </c>
      <c r="BA173">
        <v>8175.8</v>
      </c>
      <c r="BC173">
        <v>65.7</v>
      </c>
      <c r="BE173">
        <v>1546.9</v>
      </c>
      <c r="BG173">
        <v>23203.5</v>
      </c>
      <c r="BI173">
        <v>30504.1</v>
      </c>
      <c r="BK173">
        <v>70585.7</v>
      </c>
      <c r="BM173">
        <v>23615.9</v>
      </c>
      <c r="BO173">
        <v>211854</v>
      </c>
      <c r="BQ173">
        <v>1762.4</v>
      </c>
      <c r="BS173">
        <v>16852.3</v>
      </c>
      <c r="BU173">
        <v>15902</v>
      </c>
      <c r="BW173">
        <v>2839.7</v>
      </c>
      <c r="BY173">
        <v>9565.4</v>
      </c>
      <c r="CA173">
        <v>463.6</v>
      </c>
      <c r="CC173">
        <v>30.6</v>
      </c>
      <c r="CE173">
        <v>32.1</v>
      </c>
      <c r="CG173">
        <v>4036.4</v>
      </c>
      <c r="CI173">
        <v>2603.5</v>
      </c>
      <c r="CK173">
        <v>12740.5</v>
      </c>
      <c r="CM173">
        <v>185.2</v>
      </c>
      <c r="CO173">
        <v>386.9</v>
      </c>
      <c r="CQ173">
        <v>2470.1</v>
      </c>
      <c r="CS173">
        <v>16173.9</v>
      </c>
      <c r="CU173">
        <v>2788.1</v>
      </c>
      <c r="CW173">
        <v>4411.5</v>
      </c>
      <c r="CY173">
        <v>1251</v>
      </c>
      <c r="DA173">
        <v>90888.7</v>
      </c>
      <c r="DC173">
        <v>1.9</v>
      </c>
      <c r="DE173">
        <v>147.1</v>
      </c>
      <c r="DG173">
        <v>16.399999999999999</v>
      </c>
      <c r="DI173">
        <v>237.8</v>
      </c>
      <c r="DK173">
        <v>50.3</v>
      </c>
      <c r="DM173">
        <v>941.6</v>
      </c>
      <c r="DO173">
        <v>1725.7</v>
      </c>
      <c r="DQ173">
        <v>449.4</v>
      </c>
    </row>
    <row r="174" spans="1:121" x14ac:dyDescent="0.2">
      <c r="D174" t="s">
        <v>63</v>
      </c>
      <c r="G174">
        <v>0.11447</v>
      </c>
      <c r="H174" t="s">
        <v>75</v>
      </c>
      <c r="I174">
        <v>1.6969999999999999E-2</v>
      </c>
      <c r="J174" t="s">
        <v>75</v>
      </c>
      <c r="K174">
        <v>1.9825999999999999</v>
      </c>
      <c r="L174" t="s">
        <v>75</v>
      </c>
      <c r="M174">
        <v>0.11158999999999999</v>
      </c>
      <c r="N174" t="s">
        <v>75</v>
      </c>
      <c r="O174">
        <v>5.1999999999999998E-3</v>
      </c>
      <c r="P174" t="s">
        <v>75</v>
      </c>
      <c r="Q174">
        <v>0.14238999999999999</v>
      </c>
      <c r="R174" t="s">
        <v>75</v>
      </c>
      <c r="S174">
        <v>2.0699999999999998E-3</v>
      </c>
      <c r="T174" t="s">
        <v>75</v>
      </c>
      <c r="U174">
        <v>1.388E-2</v>
      </c>
      <c r="V174" t="s">
        <v>75</v>
      </c>
      <c r="W174">
        <v>0.4461</v>
      </c>
      <c r="X174" t="s">
        <v>75</v>
      </c>
      <c r="Y174">
        <v>0.59341999999999995</v>
      </c>
      <c r="Z174" t="s">
        <v>75</v>
      </c>
      <c r="AB174" t="s">
        <v>76</v>
      </c>
      <c r="AC174">
        <v>8.5994700000000002</v>
      </c>
      <c r="AD174" t="s">
        <v>75</v>
      </c>
      <c r="AE174">
        <v>5.6009399999999996</v>
      </c>
      <c r="AF174" t="s">
        <v>75</v>
      </c>
      <c r="AG174">
        <v>6.7830000000000001E-2</v>
      </c>
      <c r="AH174" t="s">
        <v>75</v>
      </c>
      <c r="AI174">
        <v>1.1109</v>
      </c>
      <c r="AJ174" t="s">
        <v>75</v>
      </c>
      <c r="AK174">
        <v>1.0499999999999999E-3</v>
      </c>
      <c r="AL174" t="s">
        <v>75</v>
      </c>
      <c r="AM174">
        <v>1.4999999999999999E-4</v>
      </c>
      <c r="AN174" t="s">
        <v>75</v>
      </c>
      <c r="AO174">
        <v>4.7099999999999998E-3</v>
      </c>
      <c r="AP174" t="s">
        <v>75</v>
      </c>
      <c r="AQ174">
        <v>2.7E-4</v>
      </c>
      <c r="AR174" t="s">
        <v>75</v>
      </c>
      <c r="AS174">
        <v>1.6900000000000001E-3</v>
      </c>
      <c r="AT174" t="s">
        <v>75</v>
      </c>
      <c r="AU174">
        <v>1.56E-3</v>
      </c>
      <c r="AV174" t="s">
        <v>75</v>
      </c>
      <c r="AW174">
        <v>-3.0000000000000001E-5</v>
      </c>
      <c r="AX174" t="s">
        <v>75</v>
      </c>
      <c r="AY174">
        <v>2.164E-2</v>
      </c>
      <c r="AZ174" t="s">
        <v>75</v>
      </c>
      <c r="BC174">
        <v>-2.0485199999999999</v>
      </c>
      <c r="BD174" t="s">
        <v>75</v>
      </c>
      <c r="BE174">
        <v>7.6560000000000003E-2</v>
      </c>
      <c r="BF174" t="s">
        <v>75</v>
      </c>
      <c r="BG174">
        <v>4.9308300000000003</v>
      </c>
      <c r="BH174" t="s">
        <v>75</v>
      </c>
      <c r="BI174">
        <v>4.6789300000000003</v>
      </c>
      <c r="BJ174" t="s">
        <v>75</v>
      </c>
      <c r="BK174">
        <v>5.0041599999999997</v>
      </c>
      <c r="BL174" t="s">
        <v>75</v>
      </c>
      <c r="BM174">
        <v>1.53491</v>
      </c>
      <c r="BN174" t="s">
        <v>75</v>
      </c>
      <c r="BO174">
        <v>189.85814999999999</v>
      </c>
      <c r="BP174" t="s">
        <v>75</v>
      </c>
      <c r="BQ174">
        <v>2.2269100000000002</v>
      </c>
      <c r="BR174" t="s">
        <v>75</v>
      </c>
      <c r="BS174">
        <v>13.43365</v>
      </c>
      <c r="BT174" t="s">
        <v>75</v>
      </c>
      <c r="BU174">
        <v>48.514499999999998</v>
      </c>
      <c r="BV174" t="s">
        <v>75</v>
      </c>
      <c r="BW174">
        <v>46.194769999999998</v>
      </c>
      <c r="BX174" t="s">
        <v>75</v>
      </c>
      <c r="BY174">
        <v>250.43595999999999</v>
      </c>
      <c r="BZ174" t="s">
        <v>75</v>
      </c>
      <c r="CA174">
        <v>18.34938</v>
      </c>
      <c r="CB174" t="s">
        <v>75</v>
      </c>
      <c r="CC174">
        <v>3.7170000000000002E-2</v>
      </c>
      <c r="CD174" t="s">
        <v>75</v>
      </c>
      <c r="CE174">
        <v>8.1399999999999997E-3</v>
      </c>
      <c r="CF174" t="s">
        <v>75</v>
      </c>
      <c r="CG174">
        <v>3.0757400000000001</v>
      </c>
      <c r="CH174" t="s">
        <v>75</v>
      </c>
      <c r="CI174">
        <v>1.0422899999999999</v>
      </c>
      <c r="CJ174" t="s">
        <v>75</v>
      </c>
      <c r="CK174">
        <v>7.2238199999999999</v>
      </c>
      <c r="CL174" t="s">
        <v>75</v>
      </c>
      <c r="CM174">
        <v>4.0059999999999998E-2</v>
      </c>
      <c r="CN174" t="s">
        <v>75</v>
      </c>
      <c r="CO174">
        <v>0.74187999999999998</v>
      </c>
      <c r="CP174" t="s">
        <v>75</v>
      </c>
      <c r="CQ174">
        <v>4.2859299999999996</v>
      </c>
      <c r="CR174" t="s">
        <v>75</v>
      </c>
      <c r="CS174">
        <v>613.77791999999999</v>
      </c>
      <c r="CT174" t="s">
        <v>75</v>
      </c>
      <c r="CV174" t="s">
        <v>76</v>
      </c>
      <c r="CW174">
        <v>8.6167200000000008</v>
      </c>
      <c r="CX174" t="s">
        <v>75</v>
      </c>
      <c r="DA174">
        <v>562.43984</v>
      </c>
      <c r="DB174" t="s">
        <v>75</v>
      </c>
      <c r="DC174">
        <v>6.2609999999999999E-2</v>
      </c>
      <c r="DD174" t="s">
        <v>75</v>
      </c>
      <c r="DE174">
        <v>3.2217199999999999</v>
      </c>
      <c r="DF174" t="s">
        <v>75</v>
      </c>
      <c r="DG174">
        <v>0.62058999999999997</v>
      </c>
      <c r="DH174" t="s">
        <v>75</v>
      </c>
      <c r="DI174">
        <v>1.9478500000000001</v>
      </c>
      <c r="DJ174" t="s">
        <v>75</v>
      </c>
      <c r="DL174" t="s">
        <v>76</v>
      </c>
      <c r="DN174" t="s">
        <v>76</v>
      </c>
      <c r="DO174">
        <v>8.8262099999999997</v>
      </c>
      <c r="DP174" t="s">
        <v>75</v>
      </c>
    </row>
    <row r="175" spans="1:121" x14ac:dyDescent="0.2">
      <c r="D175" t="s">
        <v>64</v>
      </c>
      <c r="G175">
        <v>3.13E-3</v>
      </c>
      <c r="H175" t="s">
        <v>75</v>
      </c>
      <c r="I175">
        <v>1.6800000000000001E-3</v>
      </c>
      <c r="J175" t="s">
        <v>75</v>
      </c>
      <c r="K175">
        <v>2.784E-2</v>
      </c>
      <c r="L175" t="s">
        <v>75</v>
      </c>
      <c r="M175">
        <v>2.1800000000000001E-3</v>
      </c>
      <c r="N175" t="s">
        <v>75</v>
      </c>
      <c r="O175">
        <v>1.4999999999999999E-4</v>
      </c>
      <c r="P175" t="s">
        <v>75</v>
      </c>
      <c r="Q175">
        <v>4.0000000000000001E-3</v>
      </c>
      <c r="R175" t="s">
        <v>75</v>
      </c>
      <c r="S175">
        <v>2.9999999999999997E-4</v>
      </c>
      <c r="T175" t="s">
        <v>75</v>
      </c>
      <c r="U175">
        <v>5.5000000000000003E-4</v>
      </c>
      <c r="V175" t="s">
        <v>75</v>
      </c>
      <c r="W175">
        <v>8.6400000000000001E-3</v>
      </c>
      <c r="X175" t="s">
        <v>75</v>
      </c>
      <c r="Y175">
        <v>4.5700000000000003E-3</v>
      </c>
      <c r="Z175" t="s">
        <v>75</v>
      </c>
      <c r="AC175">
        <v>0.14441999999999999</v>
      </c>
      <c r="AD175" t="s">
        <v>75</v>
      </c>
      <c r="AE175">
        <v>0.11283</v>
      </c>
      <c r="AF175" t="s">
        <v>75</v>
      </c>
      <c r="AG175">
        <v>9.7000000000000005E-4</v>
      </c>
      <c r="AH175" t="s">
        <v>75</v>
      </c>
      <c r="AI175">
        <v>1.864E-2</v>
      </c>
      <c r="AJ175" t="s">
        <v>75</v>
      </c>
      <c r="AK175">
        <v>8.0000000000000007E-5</v>
      </c>
      <c r="AL175" t="s">
        <v>75</v>
      </c>
      <c r="AM175">
        <v>2.4000000000000001E-4</v>
      </c>
      <c r="AN175" t="s">
        <v>75</v>
      </c>
      <c r="AO175">
        <v>4.6999999999999999E-4</v>
      </c>
      <c r="AP175" t="s">
        <v>75</v>
      </c>
      <c r="AQ175">
        <v>3.1E-4</v>
      </c>
      <c r="AR175" t="s">
        <v>75</v>
      </c>
      <c r="AS175">
        <v>9.0000000000000006E-5</v>
      </c>
      <c r="AT175" t="s">
        <v>75</v>
      </c>
      <c r="AU175">
        <v>3.0000000000000001E-5</v>
      </c>
      <c r="AV175" t="s">
        <v>75</v>
      </c>
      <c r="AW175">
        <v>1.2E-4</v>
      </c>
      <c r="AX175" t="s">
        <v>75</v>
      </c>
      <c r="AY175">
        <v>1.6900000000000001E-3</v>
      </c>
      <c r="AZ175" t="s">
        <v>75</v>
      </c>
      <c r="BC175">
        <v>3.4000000000000002E-4</v>
      </c>
      <c r="BD175" t="s">
        <v>75</v>
      </c>
      <c r="BE175">
        <v>2.4099999999999998E-3</v>
      </c>
      <c r="BF175" t="s">
        <v>75</v>
      </c>
      <c r="BG175">
        <v>0.12875</v>
      </c>
      <c r="BH175" t="s">
        <v>75</v>
      </c>
      <c r="BI175">
        <v>0.16292999999999999</v>
      </c>
      <c r="BJ175" t="s">
        <v>75</v>
      </c>
      <c r="BK175">
        <v>0.13124</v>
      </c>
      <c r="BL175" t="s">
        <v>75</v>
      </c>
      <c r="BM175">
        <v>4.2250000000000003E-2</v>
      </c>
      <c r="BN175" t="s">
        <v>75</v>
      </c>
      <c r="BO175">
        <v>7.9868300000000003</v>
      </c>
      <c r="BP175" t="s">
        <v>75</v>
      </c>
      <c r="BQ175">
        <v>0.10188999999999999</v>
      </c>
      <c r="BR175" t="s">
        <v>75</v>
      </c>
      <c r="BS175">
        <v>0.50258999999999998</v>
      </c>
      <c r="BT175" t="s">
        <v>75</v>
      </c>
      <c r="BU175">
        <v>2.0325899999999999</v>
      </c>
      <c r="BV175" t="s">
        <v>75</v>
      </c>
      <c r="BW175">
        <v>1.64408</v>
      </c>
      <c r="BX175" t="s">
        <v>75</v>
      </c>
      <c r="BY175">
        <v>4.13687</v>
      </c>
      <c r="BZ175" t="s">
        <v>75</v>
      </c>
      <c r="CA175">
        <v>0.41381000000000001</v>
      </c>
      <c r="CB175" t="s">
        <v>75</v>
      </c>
      <c r="CC175">
        <v>6.11E-3</v>
      </c>
      <c r="CD175" t="s">
        <v>75</v>
      </c>
      <c r="CE175">
        <v>6.8000000000000005E-4</v>
      </c>
      <c r="CF175" t="s">
        <v>75</v>
      </c>
      <c r="CG175">
        <v>5.91E-2</v>
      </c>
      <c r="CH175" t="s">
        <v>75</v>
      </c>
      <c r="CI175">
        <v>1.444E-2</v>
      </c>
      <c r="CJ175" t="s">
        <v>75</v>
      </c>
      <c r="CK175">
        <v>0.14982000000000001</v>
      </c>
      <c r="CL175" t="s">
        <v>75</v>
      </c>
      <c r="CM175">
        <v>1.98E-3</v>
      </c>
      <c r="CN175" t="s">
        <v>75</v>
      </c>
      <c r="CO175">
        <v>2.989E-2</v>
      </c>
      <c r="CP175" t="s">
        <v>75</v>
      </c>
      <c r="CQ175">
        <v>8.3269999999999997E-2</v>
      </c>
      <c r="CR175" t="s">
        <v>75</v>
      </c>
      <c r="CS175">
        <v>11.752829999999999</v>
      </c>
      <c r="CT175" t="s">
        <v>75</v>
      </c>
      <c r="CW175">
        <v>0.30865999999999999</v>
      </c>
      <c r="CX175" t="s">
        <v>75</v>
      </c>
      <c r="DA175">
        <v>14.653420000000001</v>
      </c>
      <c r="DB175" t="s">
        <v>75</v>
      </c>
      <c r="DC175">
        <v>9.2000000000000003E-4</v>
      </c>
      <c r="DD175" t="s">
        <v>75</v>
      </c>
      <c r="DE175">
        <v>7.7990000000000004E-2</v>
      </c>
      <c r="DF175" t="s">
        <v>75</v>
      </c>
      <c r="DG175">
        <v>7.4950000000000003E-2</v>
      </c>
      <c r="DH175" t="s">
        <v>75</v>
      </c>
      <c r="DI175">
        <v>0.35924</v>
      </c>
      <c r="DJ175" t="s">
        <v>75</v>
      </c>
      <c r="DO175">
        <v>0.15687999999999999</v>
      </c>
      <c r="DP175" t="s">
        <v>75</v>
      </c>
    </row>
    <row r="176" spans="1:121" x14ac:dyDescent="0.2">
      <c r="D176" t="s">
        <v>65</v>
      </c>
      <c r="G176" t="s">
        <v>66</v>
      </c>
      <c r="I176" t="s">
        <v>66</v>
      </c>
      <c r="K176" t="s">
        <v>66</v>
      </c>
      <c r="M176" t="s">
        <v>66</v>
      </c>
      <c r="O176" t="s">
        <v>66</v>
      </c>
      <c r="Q176" t="s">
        <v>66</v>
      </c>
      <c r="S176" t="s">
        <v>66</v>
      </c>
      <c r="U176" t="s">
        <v>66</v>
      </c>
      <c r="W176" t="s">
        <v>66</v>
      </c>
      <c r="Y176" t="s">
        <v>66</v>
      </c>
      <c r="AA176" t="s">
        <v>66</v>
      </c>
      <c r="AC176" t="s">
        <v>66</v>
      </c>
      <c r="AE176" t="s">
        <v>66</v>
      </c>
      <c r="AG176" t="s">
        <v>66</v>
      </c>
      <c r="AI176" t="s">
        <v>66</v>
      </c>
      <c r="AK176" t="s">
        <v>66</v>
      </c>
      <c r="AM176" t="s">
        <v>66</v>
      </c>
      <c r="AO176" t="s">
        <v>66</v>
      </c>
      <c r="AQ176" t="s">
        <v>66</v>
      </c>
      <c r="AS176" t="s">
        <v>66</v>
      </c>
      <c r="AU176" t="s">
        <v>66</v>
      </c>
      <c r="AW176" t="s">
        <v>66</v>
      </c>
      <c r="AY176" t="s">
        <v>66</v>
      </c>
      <c r="BA176" t="s">
        <v>66</v>
      </c>
      <c r="BC176" t="s">
        <v>66</v>
      </c>
      <c r="BE176" t="s">
        <v>66</v>
      </c>
      <c r="BG176" t="s">
        <v>66</v>
      </c>
      <c r="BI176" t="s">
        <v>66</v>
      </c>
      <c r="BK176" t="s">
        <v>66</v>
      </c>
      <c r="BM176" t="s">
        <v>66</v>
      </c>
      <c r="BO176" t="s">
        <v>66</v>
      </c>
      <c r="BQ176" t="s">
        <v>66</v>
      </c>
      <c r="BS176" t="s">
        <v>66</v>
      </c>
      <c r="BU176" t="s">
        <v>66</v>
      </c>
      <c r="BW176" t="s">
        <v>66</v>
      </c>
      <c r="BY176" t="s">
        <v>66</v>
      </c>
      <c r="CA176" t="s">
        <v>66</v>
      </c>
      <c r="CC176" t="s">
        <v>66</v>
      </c>
      <c r="CE176" t="s">
        <v>66</v>
      </c>
      <c r="CG176" t="s">
        <v>66</v>
      </c>
      <c r="CI176" t="s">
        <v>66</v>
      </c>
      <c r="CK176" t="s">
        <v>66</v>
      </c>
      <c r="CM176" t="s">
        <v>66</v>
      </c>
      <c r="CO176" t="s">
        <v>66</v>
      </c>
      <c r="CQ176" t="s">
        <v>66</v>
      </c>
      <c r="CS176" t="s">
        <v>66</v>
      </c>
      <c r="CU176" t="s">
        <v>66</v>
      </c>
      <c r="CW176" t="s">
        <v>66</v>
      </c>
      <c r="CY176" t="s">
        <v>66</v>
      </c>
      <c r="DA176" t="s">
        <v>66</v>
      </c>
      <c r="DC176" t="s">
        <v>66</v>
      </c>
      <c r="DE176" t="s">
        <v>66</v>
      </c>
      <c r="DG176" t="s">
        <v>66</v>
      </c>
      <c r="DI176" t="s">
        <v>66</v>
      </c>
      <c r="DK176" t="s">
        <v>66</v>
      </c>
      <c r="DM176" t="s">
        <v>66</v>
      </c>
      <c r="DO176" t="s">
        <v>66</v>
      </c>
      <c r="DQ176" t="s">
        <v>66</v>
      </c>
    </row>
    <row r="177" spans="1:121" x14ac:dyDescent="0.2">
      <c r="A177" t="s">
        <v>605</v>
      </c>
      <c r="D177" t="s">
        <v>60</v>
      </c>
      <c r="E177" t="s">
        <v>61</v>
      </c>
      <c r="G177">
        <v>11553</v>
      </c>
      <c r="I177">
        <v>893.6</v>
      </c>
      <c r="K177">
        <v>147266.4</v>
      </c>
      <c r="M177">
        <v>110639</v>
      </c>
      <c r="O177">
        <v>17212.5</v>
      </c>
      <c r="Q177">
        <v>10648.7</v>
      </c>
      <c r="S177">
        <v>1958.8</v>
      </c>
      <c r="U177">
        <v>1934.8</v>
      </c>
      <c r="W177">
        <v>67090.8</v>
      </c>
      <c r="Y177">
        <v>4991.7</v>
      </c>
      <c r="AA177">
        <v>3048754.3</v>
      </c>
      <c r="AC177">
        <v>1051278.5</v>
      </c>
      <c r="AE177">
        <v>480574.2</v>
      </c>
      <c r="AG177">
        <v>16128.1</v>
      </c>
      <c r="AI177">
        <v>54776.6</v>
      </c>
      <c r="AK177">
        <v>2749.3</v>
      </c>
      <c r="AM177">
        <v>5199.2</v>
      </c>
      <c r="AO177">
        <v>583.5</v>
      </c>
      <c r="AQ177">
        <v>232.3</v>
      </c>
      <c r="AS177">
        <v>542.9</v>
      </c>
      <c r="AU177">
        <v>284.39999999999998</v>
      </c>
      <c r="AW177">
        <v>239.6</v>
      </c>
      <c r="AY177">
        <v>3938.2</v>
      </c>
      <c r="BA177">
        <v>657028.4</v>
      </c>
      <c r="BC177">
        <v>3689</v>
      </c>
      <c r="BE177">
        <v>12294.2</v>
      </c>
      <c r="BG177">
        <v>251355.5</v>
      </c>
      <c r="BI177">
        <v>212511.5</v>
      </c>
      <c r="BK177">
        <v>518363.9</v>
      </c>
      <c r="BM177">
        <v>34289.4</v>
      </c>
      <c r="BO177">
        <v>1544836.4</v>
      </c>
      <c r="BQ177">
        <v>939146.7</v>
      </c>
      <c r="BS177">
        <v>788076.1</v>
      </c>
      <c r="BU177">
        <v>972963.7</v>
      </c>
      <c r="BW177">
        <v>14364.8</v>
      </c>
      <c r="BY177">
        <v>196160.6</v>
      </c>
      <c r="CA177">
        <v>34372.800000000003</v>
      </c>
      <c r="CC177">
        <v>276.89999999999998</v>
      </c>
      <c r="CE177">
        <v>1079.4000000000001</v>
      </c>
      <c r="CG177">
        <v>244452.8</v>
      </c>
      <c r="CI177">
        <v>71159.5</v>
      </c>
      <c r="CK177">
        <v>766291.3</v>
      </c>
      <c r="CM177">
        <v>1593.7</v>
      </c>
      <c r="CO177">
        <v>18756.5</v>
      </c>
      <c r="CQ177">
        <v>40536.9</v>
      </c>
      <c r="CS177">
        <v>132239.79999999999</v>
      </c>
      <c r="CU177">
        <v>263342.59999999998</v>
      </c>
      <c r="CW177">
        <v>106145.7</v>
      </c>
      <c r="CY177">
        <v>58853.599999999999</v>
      </c>
      <c r="DA177">
        <v>1150133.8999999999</v>
      </c>
      <c r="DC177">
        <v>5.7</v>
      </c>
      <c r="DE177">
        <v>9392</v>
      </c>
      <c r="DG177">
        <v>110</v>
      </c>
      <c r="DI177">
        <v>1544.5</v>
      </c>
      <c r="DK177">
        <v>951</v>
      </c>
      <c r="DM177">
        <v>79566.2</v>
      </c>
      <c r="DO177">
        <v>28788.2</v>
      </c>
      <c r="DQ177">
        <v>17176.5</v>
      </c>
    </row>
    <row r="178" spans="1:121" x14ac:dyDescent="0.2">
      <c r="D178" t="s">
        <v>62</v>
      </c>
      <c r="E178" t="s">
        <v>61</v>
      </c>
      <c r="G178">
        <v>117.2</v>
      </c>
      <c r="I178">
        <v>123.9</v>
      </c>
      <c r="K178">
        <v>1399.2</v>
      </c>
      <c r="M178">
        <v>750.7</v>
      </c>
      <c r="O178">
        <v>471.1</v>
      </c>
      <c r="Q178">
        <v>300.8</v>
      </c>
      <c r="S178">
        <v>64.2</v>
      </c>
      <c r="U178">
        <v>50.1</v>
      </c>
      <c r="W178">
        <v>1420.3</v>
      </c>
      <c r="Y178">
        <v>165.2</v>
      </c>
      <c r="AA178">
        <v>4977.3</v>
      </c>
      <c r="AC178">
        <v>11676.5</v>
      </c>
      <c r="AE178">
        <v>2310.5</v>
      </c>
      <c r="AG178">
        <v>201.6</v>
      </c>
      <c r="AI178">
        <v>633.5</v>
      </c>
      <c r="AK178">
        <v>57.4</v>
      </c>
      <c r="AM178">
        <v>199.6</v>
      </c>
      <c r="AO178">
        <v>63.9</v>
      </c>
      <c r="AQ178">
        <v>35.6</v>
      </c>
      <c r="AS178">
        <v>106.4</v>
      </c>
      <c r="AU178">
        <v>27.8</v>
      </c>
      <c r="AW178">
        <v>11</v>
      </c>
      <c r="AY178">
        <v>76.900000000000006</v>
      </c>
      <c r="BA178">
        <v>6400.8</v>
      </c>
      <c r="BC178">
        <v>238.1</v>
      </c>
      <c r="BE178">
        <v>313.10000000000002</v>
      </c>
      <c r="BG178">
        <v>2702.8</v>
      </c>
      <c r="BI178">
        <v>2929.8</v>
      </c>
      <c r="BK178">
        <v>9176</v>
      </c>
      <c r="BM178">
        <v>889</v>
      </c>
      <c r="BO178">
        <v>19341.2</v>
      </c>
      <c r="BQ178">
        <v>13452.2</v>
      </c>
      <c r="BS178">
        <v>5020.3999999999996</v>
      </c>
      <c r="BU178">
        <v>8025.3</v>
      </c>
      <c r="BW178">
        <v>278.60000000000002</v>
      </c>
      <c r="BY178">
        <v>1295</v>
      </c>
      <c r="CA178">
        <v>380.5</v>
      </c>
      <c r="CC178">
        <v>17.899999999999999</v>
      </c>
      <c r="CE178">
        <v>89.5</v>
      </c>
      <c r="CG178">
        <v>1274</v>
      </c>
      <c r="CI178">
        <v>801.9</v>
      </c>
      <c r="CK178">
        <v>17789.599999999999</v>
      </c>
      <c r="CM178">
        <v>128</v>
      </c>
      <c r="CO178">
        <v>209</v>
      </c>
      <c r="CQ178">
        <v>761</v>
      </c>
      <c r="CS178">
        <v>1008.2</v>
      </c>
      <c r="CU178">
        <v>3567</v>
      </c>
      <c r="CW178">
        <v>1032.8</v>
      </c>
      <c r="CY178">
        <v>504.3</v>
      </c>
      <c r="DA178">
        <v>8404.5</v>
      </c>
      <c r="DC178">
        <v>4</v>
      </c>
      <c r="DE178">
        <v>279.3</v>
      </c>
      <c r="DG178">
        <v>13.2</v>
      </c>
      <c r="DI178">
        <v>59.9</v>
      </c>
      <c r="DK178">
        <v>20.2</v>
      </c>
      <c r="DM178">
        <v>579.29999999999995</v>
      </c>
      <c r="DO178">
        <v>203.5</v>
      </c>
      <c r="DQ178">
        <v>258.60000000000002</v>
      </c>
    </row>
    <row r="179" spans="1:121" x14ac:dyDescent="0.2">
      <c r="D179" t="s">
        <v>63</v>
      </c>
      <c r="G179">
        <v>6.0339999999999998E-2</v>
      </c>
      <c r="H179" t="s">
        <v>75</v>
      </c>
      <c r="I179">
        <v>1.9539999999999998E-2</v>
      </c>
      <c r="J179" t="s">
        <v>75</v>
      </c>
      <c r="K179">
        <v>0.18978</v>
      </c>
      <c r="L179" t="s">
        <v>75</v>
      </c>
      <c r="M179">
        <v>8.1769999999999995E-2</v>
      </c>
      <c r="N179" t="s">
        <v>75</v>
      </c>
      <c r="O179">
        <v>1.7739999999999999E-2</v>
      </c>
      <c r="P179" t="s">
        <v>75</v>
      </c>
      <c r="Q179">
        <v>9.1950000000000004E-2</v>
      </c>
      <c r="R179" t="s">
        <v>75</v>
      </c>
      <c r="S179">
        <v>1.08E-3</v>
      </c>
      <c r="T179" t="s">
        <v>75</v>
      </c>
      <c r="U179">
        <v>1.3899999999999999E-2</v>
      </c>
      <c r="V179" t="s">
        <v>75</v>
      </c>
      <c r="W179">
        <v>0.15037</v>
      </c>
      <c r="X179" t="s">
        <v>75</v>
      </c>
      <c r="Y179">
        <v>7.6469999999999996E-2</v>
      </c>
      <c r="Z179" t="s">
        <v>75</v>
      </c>
      <c r="AB179" t="s">
        <v>76</v>
      </c>
      <c r="AC179">
        <v>3.9003899999999998</v>
      </c>
      <c r="AD179" t="s">
        <v>75</v>
      </c>
      <c r="AE179">
        <v>1.8964700000000001</v>
      </c>
      <c r="AF179" t="s">
        <v>75</v>
      </c>
      <c r="AG179">
        <v>-3.29E-3</v>
      </c>
      <c r="AH179" t="s">
        <v>75</v>
      </c>
      <c r="AI179">
        <v>0.35721999999999998</v>
      </c>
      <c r="AJ179" t="s">
        <v>75</v>
      </c>
      <c r="AK179">
        <v>-2.0000000000000001E-4</v>
      </c>
      <c r="AL179" t="s">
        <v>75</v>
      </c>
      <c r="AM179">
        <v>-1.66E-3</v>
      </c>
      <c r="AN179" t="s">
        <v>75</v>
      </c>
      <c r="AO179">
        <v>3.63E-3</v>
      </c>
      <c r="AP179" t="s">
        <v>75</v>
      </c>
      <c r="AQ179">
        <v>6.9999999999999994E-5</v>
      </c>
      <c r="AR179" t="s">
        <v>75</v>
      </c>
      <c r="AS179">
        <v>1.4499999999999999E-3</v>
      </c>
      <c r="AT179" t="s">
        <v>75</v>
      </c>
      <c r="AU179">
        <v>1.5399999999999999E-3</v>
      </c>
      <c r="AV179" t="s">
        <v>75</v>
      </c>
      <c r="AW179">
        <v>-2.0000000000000001E-4</v>
      </c>
      <c r="AX179" t="s">
        <v>75</v>
      </c>
      <c r="AY179">
        <v>2.7499999999999998E-3</v>
      </c>
      <c r="AZ179" t="s">
        <v>75</v>
      </c>
      <c r="BC179">
        <v>-2.0485199999999999</v>
      </c>
      <c r="BD179" t="s">
        <v>75</v>
      </c>
      <c r="BE179">
        <v>1.468E-2</v>
      </c>
      <c r="BF179" t="s">
        <v>75</v>
      </c>
      <c r="BG179">
        <v>0.70682999999999996</v>
      </c>
      <c r="BH179" t="s">
        <v>75</v>
      </c>
      <c r="BI179">
        <v>0.70860000000000001</v>
      </c>
      <c r="BJ179" t="s">
        <v>75</v>
      </c>
      <c r="BK179">
        <v>0.69784000000000002</v>
      </c>
      <c r="BL179" t="s">
        <v>75</v>
      </c>
      <c r="BM179">
        <v>2.3259999999999999E-2</v>
      </c>
      <c r="BN179" t="s">
        <v>75</v>
      </c>
      <c r="BO179">
        <v>32.826369999999997</v>
      </c>
      <c r="BP179" t="s">
        <v>75</v>
      </c>
      <c r="BQ179">
        <v>31.782599999999999</v>
      </c>
      <c r="BR179" t="s">
        <v>75</v>
      </c>
      <c r="BS179">
        <v>17.435849999999999</v>
      </c>
      <c r="BT179" t="s">
        <v>75</v>
      </c>
      <c r="BU179">
        <v>20.298749999999998</v>
      </c>
      <c r="BV179" t="s">
        <v>75</v>
      </c>
      <c r="BW179">
        <v>5.9258300000000004</v>
      </c>
      <c r="BX179" t="s">
        <v>75</v>
      </c>
      <c r="BY179">
        <v>47.697839999999999</v>
      </c>
      <c r="BZ179" t="s">
        <v>75</v>
      </c>
      <c r="CA179">
        <v>15.052390000000001</v>
      </c>
      <c r="CB179" t="s">
        <v>75</v>
      </c>
      <c r="CC179">
        <v>4.5569999999999999E-2</v>
      </c>
      <c r="CD179" t="s">
        <v>75</v>
      </c>
      <c r="CE179">
        <v>1.465E-2</v>
      </c>
      <c r="CF179" t="s">
        <v>75</v>
      </c>
      <c r="CG179">
        <v>4.2038599999999997</v>
      </c>
      <c r="CH179" t="s">
        <v>75</v>
      </c>
      <c r="CI179">
        <v>0.91185000000000005</v>
      </c>
      <c r="CJ179" t="s">
        <v>75</v>
      </c>
      <c r="CK179">
        <v>10.66188</v>
      </c>
      <c r="CL179" t="s">
        <v>75</v>
      </c>
      <c r="CM179">
        <v>1.5939999999999999E-2</v>
      </c>
      <c r="CN179" t="s">
        <v>75</v>
      </c>
      <c r="CO179">
        <v>1.0848199999999999</v>
      </c>
      <c r="CP179" t="s">
        <v>75</v>
      </c>
      <c r="CQ179">
        <v>1.2150399999999999</v>
      </c>
      <c r="CR179" t="s">
        <v>75</v>
      </c>
      <c r="CS179">
        <v>34.950040000000001</v>
      </c>
      <c r="CT179" t="s">
        <v>75</v>
      </c>
      <c r="CV179" t="s">
        <v>76</v>
      </c>
      <c r="CW179">
        <v>3.9666399999999999</v>
      </c>
      <c r="CX179" t="s">
        <v>75</v>
      </c>
      <c r="DA179">
        <v>64.859870000000001</v>
      </c>
      <c r="DB179" t="s">
        <v>75</v>
      </c>
      <c r="DC179">
        <v>1.2899999999999999E-3</v>
      </c>
      <c r="DD179" t="s">
        <v>75</v>
      </c>
      <c r="DE179">
        <v>4.0171700000000001</v>
      </c>
      <c r="DF179" t="s">
        <v>75</v>
      </c>
      <c r="DG179">
        <v>0.48692999999999997</v>
      </c>
      <c r="DH179" t="s">
        <v>75</v>
      </c>
      <c r="DI179">
        <v>2.1247699999999998</v>
      </c>
      <c r="DJ179" t="s">
        <v>75</v>
      </c>
      <c r="DL179" t="s">
        <v>76</v>
      </c>
      <c r="DN179" t="s">
        <v>76</v>
      </c>
      <c r="DO179">
        <v>4.0347299999999997</v>
      </c>
      <c r="DP179" t="s">
        <v>75</v>
      </c>
    </row>
    <row r="180" spans="1:121" x14ac:dyDescent="0.2">
      <c r="D180" t="s">
        <v>64</v>
      </c>
      <c r="G180">
        <v>1.8699999999999999E-3</v>
      </c>
      <c r="H180" t="s">
        <v>75</v>
      </c>
      <c r="I180">
        <v>4.1999999999999997E-3</v>
      </c>
      <c r="J180" t="s">
        <v>75</v>
      </c>
      <c r="K180">
        <v>1.9499999999999999E-3</v>
      </c>
      <c r="L180" t="s">
        <v>75</v>
      </c>
      <c r="M180">
        <v>5.4000000000000001E-4</v>
      </c>
      <c r="N180" t="s">
        <v>75</v>
      </c>
      <c r="O180">
        <v>5.1000000000000004E-4</v>
      </c>
      <c r="P180" t="s">
        <v>75</v>
      </c>
      <c r="Q180">
        <v>2.3400000000000001E-3</v>
      </c>
      <c r="R180" t="s">
        <v>75</v>
      </c>
      <c r="S180">
        <v>5.0000000000000002E-5</v>
      </c>
      <c r="T180" t="s">
        <v>75</v>
      </c>
      <c r="U180">
        <v>1.3999999999999999E-4</v>
      </c>
      <c r="V180" t="s">
        <v>75</v>
      </c>
      <c r="W180">
        <v>2.7499999999999998E-3</v>
      </c>
      <c r="X180" t="s">
        <v>75</v>
      </c>
      <c r="Y180">
        <v>1.9599999999999999E-3</v>
      </c>
      <c r="Z180" t="s">
        <v>75</v>
      </c>
      <c r="AC180">
        <v>2.1489999999999999E-2</v>
      </c>
      <c r="AD180" t="s">
        <v>75</v>
      </c>
      <c r="AE180">
        <v>2.6210000000000001E-2</v>
      </c>
      <c r="AF180" t="s">
        <v>75</v>
      </c>
      <c r="AG180">
        <v>2.2000000000000001E-4</v>
      </c>
      <c r="AH180" t="s">
        <v>75</v>
      </c>
      <c r="AI180">
        <v>1.2999999999999999E-3</v>
      </c>
      <c r="AJ180" t="s">
        <v>75</v>
      </c>
      <c r="AK180">
        <v>2.0000000000000002E-5</v>
      </c>
      <c r="AL180" t="s">
        <v>75</v>
      </c>
      <c r="AM180">
        <v>1.2999999999999999E-4</v>
      </c>
      <c r="AN180" t="s">
        <v>75</v>
      </c>
      <c r="AO180">
        <v>2.4000000000000001E-4</v>
      </c>
      <c r="AP180" t="s">
        <v>75</v>
      </c>
      <c r="AQ180">
        <v>1.6000000000000001E-4</v>
      </c>
      <c r="AR180" t="s">
        <v>75</v>
      </c>
      <c r="AS180">
        <v>4.6000000000000001E-4</v>
      </c>
      <c r="AT180" t="s">
        <v>75</v>
      </c>
      <c r="AU180">
        <v>2.0000000000000002E-5</v>
      </c>
      <c r="AV180" t="s">
        <v>75</v>
      </c>
      <c r="AW180">
        <v>3.0000000000000001E-5</v>
      </c>
      <c r="AX180" t="s">
        <v>75</v>
      </c>
      <c r="AY180">
        <v>3.1E-4</v>
      </c>
      <c r="AZ180" t="s">
        <v>75</v>
      </c>
      <c r="BC180">
        <v>7.7999999999999999E-4</v>
      </c>
      <c r="BD180" t="s">
        <v>75</v>
      </c>
      <c r="BE180">
        <v>2.5000000000000001E-4</v>
      </c>
      <c r="BF180" t="s">
        <v>75</v>
      </c>
      <c r="BG180">
        <v>8.4999999999999995E-4</v>
      </c>
      <c r="BH180" t="s">
        <v>75</v>
      </c>
      <c r="BI180">
        <v>4.5199999999999997E-3</v>
      </c>
      <c r="BJ180" t="s">
        <v>75</v>
      </c>
      <c r="BK180">
        <v>6.1199999999999996E-3</v>
      </c>
      <c r="BL180" t="s">
        <v>75</v>
      </c>
      <c r="BM180">
        <v>1.08E-3</v>
      </c>
      <c r="BN180" t="s">
        <v>75</v>
      </c>
      <c r="BO180">
        <v>0.72845000000000004</v>
      </c>
      <c r="BP180" t="s">
        <v>75</v>
      </c>
      <c r="BQ180">
        <v>0.68340999999999996</v>
      </c>
      <c r="BR180" t="s">
        <v>75</v>
      </c>
      <c r="BS180">
        <v>0.24349000000000001</v>
      </c>
      <c r="BT180" t="s">
        <v>75</v>
      </c>
      <c r="BU180">
        <v>0.63461000000000001</v>
      </c>
      <c r="BV180" t="s">
        <v>75</v>
      </c>
      <c r="BW180">
        <v>0.12457</v>
      </c>
      <c r="BX180" t="s">
        <v>75</v>
      </c>
      <c r="BY180">
        <v>0.21623000000000001</v>
      </c>
      <c r="BZ180" t="s">
        <v>75</v>
      </c>
      <c r="CA180">
        <v>0.23712</v>
      </c>
      <c r="CB180" t="s">
        <v>75</v>
      </c>
      <c r="CC180">
        <v>3.5200000000000001E-3</v>
      </c>
      <c r="CD180" t="s">
        <v>75</v>
      </c>
      <c r="CE180">
        <v>1.48E-3</v>
      </c>
      <c r="CF180" t="s">
        <v>75</v>
      </c>
      <c r="CG180">
        <v>4.487E-2</v>
      </c>
      <c r="CH180" t="s">
        <v>75</v>
      </c>
      <c r="CI180">
        <v>5.7099999999999998E-3</v>
      </c>
      <c r="CJ180" t="s">
        <v>75</v>
      </c>
      <c r="CK180">
        <v>0.21142</v>
      </c>
      <c r="CL180" t="s">
        <v>75</v>
      </c>
      <c r="CM180">
        <v>1.8E-3</v>
      </c>
      <c r="CN180" t="s">
        <v>75</v>
      </c>
      <c r="CO180">
        <v>5.96E-3</v>
      </c>
      <c r="CP180" t="s">
        <v>75</v>
      </c>
      <c r="CQ180">
        <v>3.2480000000000002E-2</v>
      </c>
      <c r="CR180" t="s">
        <v>75</v>
      </c>
      <c r="CS180">
        <v>0.52280000000000004</v>
      </c>
      <c r="CT180" t="s">
        <v>75</v>
      </c>
      <c r="CW180">
        <v>6.794E-2</v>
      </c>
      <c r="CX180" t="s">
        <v>75</v>
      </c>
      <c r="DA180">
        <v>1.0399</v>
      </c>
      <c r="DB180" t="s">
        <v>75</v>
      </c>
      <c r="DC180">
        <v>1.6299999999999999E-3</v>
      </c>
      <c r="DD180" t="s">
        <v>75</v>
      </c>
      <c r="DE180">
        <v>0.15087999999999999</v>
      </c>
      <c r="DF180" t="s">
        <v>75</v>
      </c>
      <c r="DG180">
        <v>5.9409999999999998E-2</v>
      </c>
      <c r="DH180" t="s">
        <v>75</v>
      </c>
      <c r="DI180">
        <v>6.4360000000000001E-2</v>
      </c>
      <c r="DJ180" t="s">
        <v>75</v>
      </c>
      <c r="DO180">
        <v>5.738E-2</v>
      </c>
      <c r="DP180" t="s">
        <v>75</v>
      </c>
    </row>
    <row r="181" spans="1:121" x14ac:dyDescent="0.2">
      <c r="D181" t="s">
        <v>65</v>
      </c>
      <c r="G181" t="s">
        <v>66</v>
      </c>
      <c r="I181" t="s">
        <v>66</v>
      </c>
      <c r="K181" t="s">
        <v>66</v>
      </c>
      <c r="M181" t="s">
        <v>66</v>
      </c>
      <c r="O181" t="s">
        <v>66</v>
      </c>
      <c r="Q181" t="s">
        <v>66</v>
      </c>
      <c r="S181" t="s">
        <v>66</v>
      </c>
      <c r="U181" t="s">
        <v>66</v>
      </c>
      <c r="W181" t="s">
        <v>66</v>
      </c>
      <c r="Y181" t="s">
        <v>66</v>
      </c>
      <c r="AA181" t="s">
        <v>66</v>
      </c>
      <c r="AC181" t="s">
        <v>66</v>
      </c>
      <c r="AE181" t="s">
        <v>66</v>
      </c>
      <c r="AG181" t="s">
        <v>66</v>
      </c>
      <c r="AI181" t="s">
        <v>66</v>
      </c>
      <c r="AK181" t="s">
        <v>66</v>
      </c>
      <c r="AM181" t="s">
        <v>66</v>
      </c>
      <c r="AO181" t="s">
        <v>66</v>
      </c>
      <c r="AQ181" t="s">
        <v>66</v>
      </c>
      <c r="AS181" t="s">
        <v>66</v>
      </c>
      <c r="AU181" t="s">
        <v>66</v>
      </c>
      <c r="AW181" t="s">
        <v>66</v>
      </c>
      <c r="AY181" t="s">
        <v>66</v>
      </c>
      <c r="BA181" t="s">
        <v>66</v>
      </c>
      <c r="BC181" t="s">
        <v>66</v>
      </c>
      <c r="BE181" t="s">
        <v>66</v>
      </c>
      <c r="BG181" t="s">
        <v>66</v>
      </c>
      <c r="BI181" t="s">
        <v>66</v>
      </c>
      <c r="BK181" t="s">
        <v>66</v>
      </c>
      <c r="BM181" t="s">
        <v>66</v>
      </c>
      <c r="BO181" t="s">
        <v>66</v>
      </c>
      <c r="BQ181" t="s">
        <v>66</v>
      </c>
      <c r="BS181" t="s">
        <v>66</v>
      </c>
      <c r="BU181" t="s">
        <v>66</v>
      </c>
      <c r="BW181" t="s">
        <v>66</v>
      </c>
      <c r="BY181" t="s">
        <v>66</v>
      </c>
      <c r="CA181" t="s">
        <v>66</v>
      </c>
      <c r="CC181" t="s">
        <v>66</v>
      </c>
      <c r="CE181" t="s">
        <v>66</v>
      </c>
      <c r="CG181" t="s">
        <v>66</v>
      </c>
      <c r="CI181" t="s">
        <v>66</v>
      </c>
      <c r="CK181" t="s">
        <v>66</v>
      </c>
      <c r="CM181" t="s">
        <v>66</v>
      </c>
      <c r="CO181" t="s">
        <v>66</v>
      </c>
      <c r="CQ181" t="s">
        <v>66</v>
      </c>
      <c r="CS181" t="s">
        <v>66</v>
      </c>
      <c r="CU181" t="s">
        <v>66</v>
      </c>
      <c r="CW181" t="s">
        <v>66</v>
      </c>
      <c r="CY181" t="s">
        <v>66</v>
      </c>
      <c r="DA181" t="s">
        <v>66</v>
      </c>
      <c r="DC181" t="s">
        <v>66</v>
      </c>
      <c r="DE181" t="s">
        <v>66</v>
      </c>
      <c r="DG181" t="s">
        <v>66</v>
      </c>
      <c r="DI181" t="s">
        <v>66</v>
      </c>
      <c r="DK181" t="s">
        <v>66</v>
      </c>
      <c r="DM181" t="s">
        <v>66</v>
      </c>
      <c r="DO181" t="s">
        <v>66</v>
      </c>
      <c r="DQ181" t="s">
        <v>66</v>
      </c>
    </row>
    <row r="182" spans="1:121" x14ac:dyDescent="0.2">
      <c r="A182" t="s">
        <v>606</v>
      </c>
      <c r="D182" t="s">
        <v>60</v>
      </c>
      <c r="E182" t="s">
        <v>61</v>
      </c>
      <c r="G182">
        <v>11230.7</v>
      </c>
      <c r="I182">
        <v>825.4</v>
      </c>
      <c r="K182">
        <v>30893.200000000001</v>
      </c>
      <c r="M182">
        <v>83625.5</v>
      </c>
      <c r="O182">
        <v>2448</v>
      </c>
      <c r="Q182">
        <v>10550.8</v>
      </c>
      <c r="S182">
        <v>1599.1</v>
      </c>
      <c r="U182">
        <v>1837.9</v>
      </c>
      <c r="W182">
        <v>88974.1</v>
      </c>
      <c r="Y182">
        <v>702.3</v>
      </c>
      <c r="AA182">
        <v>2949133.7</v>
      </c>
      <c r="AC182">
        <v>49070.6</v>
      </c>
      <c r="AE182">
        <v>143128.79999999999</v>
      </c>
      <c r="AG182">
        <v>10069.700000000001</v>
      </c>
      <c r="AI182">
        <v>29616</v>
      </c>
      <c r="AK182">
        <v>2551.1999999999998</v>
      </c>
      <c r="AM182">
        <v>5161.7</v>
      </c>
      <c r="AO182">
        <v>597.1</v>
      </c>
      <c r="AQ182">
        <v>252.1</v>
      </c>
      <c r="AS182">
        <v>532.4</v>
      </c>
      <c r="AU182">
        <v>272.89999999999998</v>
      </c>
      <c r="AW182">
        <v>232.3</v>
      </c>
      <c r="AY182">
        <v>3984.1</v>
      </c>
      <c r="BA182">
        <v>659901.30000000005</v>
      </c>
      <c r="BC182">
        <v>3852.7</v>
      </c>
      <c r="BE182">
        <v>697.1</v>
      </c>
      <c r="BG182">
        <v>41578.300000000003</v>
      </c>
      <c r="BI182">
        <v>34999.599999999999</v>
      </c>
      <c r="BK182">
        <v>87171.1</v>
      </c>
      <c r="BM182">
        <v>7027.8</v>
      </c>
      <c r="BO182">
        <v>1034475</v>
      </c>
      <c r="BQ182">
        <v>55641.9</v>
      </c>
      <c r="BS182">
        <v>337525.6</v>
      </c>
      <c r="BU182">
        <v>684549.9</v>
      </c>
      <c r="BW182">
        <v>11190.9</v>
      </c>
      <c r="BY182">
        <v>49631.6</v>
      </c>
      <c r="CA182">
        <v>26407.1</v>
      </c>
      <c r="CC182">
        <v>172.2</v>
      </c>
      <c r="CE182">
        <v>1124.8</v>
      </c>
      <c r="CG182">
        <v>249373.4</v>
      </c>
      <c r="CI182">
        <v>55558.1</v>
      </c>
      <c r="CK182">
        <v>859451.6</v>
      </c>
      <c r="CM182">
        <v>1591.9</v>
      </c>
      <c r="CO182">
        <v>19932.099999999999</v>
      </c>
      <c r="CQ182">
        <v>38278.300000000003</v>
      </c>
      <c r="CS182">
        <v>42906.7</v>
      </c>
      <c r="CU182">
        <v>259398.5</v>
      </c>
      <c r="CW182">
        <v>5277.7</v>
      </c>
      <c r="CY182">
        <v>58854.1</v>
      </c>
      <c r="DA182">
        <v>185634.9</v>
      </c>
      <c r="DC182">
        <v>3.3</v>
      </c>
      <c r="DE182">
        <v>633</v>
      </c>
      <c r="DG182">
        <v>75.099999999999994</v>
      </c>
      <c r="DI182">
        <v>2050.5</v>
      </c>
      <c r="DK182">
        <v>960.5</v>
      </c>
      <c r="DM182">
        <v>75656.3</v>
      </c>
      <c r="DO182">
        <v>1458.9</v>
      </c>
      <c r="DQ182">
        <v>16726.599999999999</v>
      </c>
    </row>
    <row r="183" spans="1:121" x14ac:dyDescent="0.2">
      <c r="D183" t="s">
        <v>62</v>
      </c>
      <c r="E183" t="s">
        <v>61</v>
      </c>
      <c r="G183">
        <v>469</v>
      </c>
      <c r="I183">
        <v>66.8</v>
      </c>
      <c r="K183">
        <v>320.8</v>
      </c>
      <c r="M183">
        <v>180.8</v>
      </c>
      <c r="O183">
        <v>141.1</v>
      </c>
      <c r="Q183">
        <v>333.1</v>
      </c>
      <c r="S183">
        <v>162.1</v>
      </c>
      <c r="U183">
        <v>86.4</v>
      </c>
      <c r="W183">
        <v>1305.5</v>
      </c>
      <c r="Y183">
        <v>36.299999999999997</v>
      </c>
      <c r="AA183">
        <v>4330.3</v>
      </c>
      <c r="AC183">
        <v>245.8</v>
      </c>
      <c r="AE183">
        <v>169.8</v>
      </c>
      <c r="AG183">
        <v>271</v>
      </c>
      <c r="AI183">
        <v>524.79999999999995</v>
      </c>
      <c r="AK183">
        <v>174.1</v>
      </c>
      <c r="AM183">
        <v>43.8</v>
      </c>
      <c r="AO183">
        <v>95.1</v>
      </c>
      <c r="AQ183">
        <v>23.5</v>
      </c>
      <c r="AS183">
        <v>7.9</v>
      </c>
      <c r="AU183">
        <v>11.8</v>
      </c>
      <c r="AW183">
        <v>72.400000000000006</v>
      </c>
      <c r="AY183">
        <v>53.2</v>
      </c>
      <c r="BA183">
        <v>2909.8</v>
      </c>
      <c r="BC183">
        <v>206.5</v>
      </c>
      <c r="BE183">
        <v>27.8</v>
      </c>
      <c r="BG183">
        <v>275</v>
      </c>
      <c r="BI183">
        <v>407</v>
      </c>
      <c r="BK183">
        <v>1892.4</v>
      </c>
      <c r="BM183">
        <v>203.8</v>
      </c>
      <c r="BO183">
        <v>5829.5</v>
      </c>
      <c r="BQ183">
        <v>410.7</v>
      </c>
      <c r="BS183">
        <v>2990.7</v>
      </c>
      <c r="BU183">
        <v>7295.7</v>
      </c>
      <c r="BW183">
        <v>365</v>
      </c>
      <c r="BY183">
        <v>483.1</v>
      </c>
      <c r="CA183">
        <v>1282.5999999999999</v>
      </c>
      <c r="CC183">
        <v>15.5</v>
      </c>
      <c r="CE183">
        <v>88.7</v>
      </c>
      <c r="CG183">
        <v>6990.9</v>
      </c>
      <c r="CI183">
        <v>917</v>
      </c>
      <c r="CK183">
        <v>21719.1</v>
      </c>
      <c r="CM183">
        <v>72.400000000000006</v>
      </c>
      <c r="CO183">
        <v>355.4</v>
      </c>
      <c r="CQ183">
        <v>891.5</v>
      </c>
      <c r="CS183">
        <v>154.9</v>
      </c>
      <c r="CU183">
        <v>1157.7</v>
      </c>
      <c r="CW183">
        <v>59.1</v>
      </c>
      <c r="CY183">
        <v>597.9</v>
      </c>
      <c r="DA183">
        <v>898.8</v>
      </c>
      <c r="DC183">
        <v>4.4000000000000004</v>
      </c>
      <c r="DE183">
        <v>103.7</v>
      </c>
      <c r="DG183">
        <v>19.5</v>
      </c>
      <c r="DI183">
        <v>145.5</v>
      </c>
      <c r="DK183">
        <v>60.3</v>
      </c>
      <c r="DM183">
        <v>1435.7</v>
      </c>
      <c r="DO183">
        <v>41.9</v>
      </c>
      <c r="DQ183">
        <v>121.3</v>
      </c>
    </row>
    <row r="184" spans="1:121" x14ac:dyDescent="0.2">
      <c r="D184" t="s">
        <v>63</v>
      </c>
      <c r="G184">
        <v>5.7290000000000001E-2</v>
      </c>
      <c r="H184" t="s">
        <v>75</v>
      </c>
      <c r="I184">
        <v>1.6969999999999999E-2</v>
      </c>
      <c r="J184" t="s">
        <v>75</v>
      </c>
      <c r="K184">
        <v>3.6880000000000003E-2</v>
      </c>
      <c r="L184" t="s">
        <v>75</v>
      </c>
      <c r="M184">
        <v>5.3069999999999999E-2</v>
      </c>
      <c r="N184" t="s">
        <v>75</v>
      </c>
      <c r="O184">
        <v>5.0299999999999997E-3</v>
      </c>
      <c r="P184" t="s">
        <v>75</v>
      </c>
      <c r="Q184">
        <v>9.0980000000000005E-2</v>
      </c>
      <c r="R184" t="s">
        <v>75</v>
      </c>
      <c r="S184">
        <v>7.5000000000000002E-4</v>
      </c>
      <c r="T184" t="s">
        <v>75</v>
      </c>
      <c r="U184">
        <v>1.346E-2</v>
      </c>
      <c r="V184" t="s">
        <v>75</v>
      </c>
      <c r="W184">
        <v>0.19742000000000001</v>
      </c>
      <c r="X184" t="s">
        <v>75</v>
      </c>
      <c r="Y184">
        <v>1.0710000000000001E-2</v>
      </c>
      <c r="Z184" t="s">
        <v>75</v>
      </c>
      <c r="AB184" t="s">
        <v>76</v>
      </c>
      <c r="AC184">
        <v>0.22103999999999999</v>
      </c>
      <c r="AD184" t="s">
        <v>75</v>
      </c>
      <c r="AE184">
        <v>0.58991000000000005</v>
      </c>
      <c r="AF184" t="s">
        <v>75</v>
      </c>
      <c r="AG184">
        <v>-8.2400000000000008E-3</v>
      </c>
      <c r="AH184" t="s">
        <v>75</v>
      </c>
      <c r="AI184">
        <v>0.19228999999999999</v>
      </c>
      <c r="AJ184" t="s">
        <v>75</v>
      </c>
      <c r="AK184">
        <v>-3.5E-4</v>
      </c>
      <c r="AL184" t="s">
        <v>75</v>
      </c>
      <c r="AM184">
        <v>-1.6999999999999999E-3</v>
      </c>
      <c r="AN184" t="s">
        <v>75</v>
      </c>
      <c r="AO184">
        <v>3.6700000000000001E-3</v>
      </c>
      <c r="AP184" t="s">
        <v>75</v>
      </c>
      <c r="AQ184">
        <v>1.4999999999999999E-4</v>
      </c>
      <c r="AR184" t="s">
        <v>75</v>
      </c>
      <c r="AS184">
        <v>1.39E-3</v>
      </c>
      <c r="AT184" t="s">
        <v>75</v>
      </c>
      <c r="AU184">
        <v>1.5299999999999999E-3</v>
      </c>
      <c r="AV184" t="s">
        <v>75</v>
      </c>
      <c r="AW184">
        <v>-2.2000000000000001E-4</v>
      </c>
      <c r="AX184" t="s">
        <v>75</v>
      </c>
      <c r="AY184">
        <v>2.8400000000000001E-3</v>
      </c>
      <c r="AZ184" t="s">
        <v>75</v>
      </c>
      <c r="BC184">
        <v>-2.0480700000000001</v>
      </c>
      <c r="BD184" t="s">
        <v>75</v>
      </c>
      <c r="BE184">
        <v>3.2499999999999999E-3</v>
      </c>
      <c r="BF184" t="s">
        <v>75</v>
      </c>
      <c r="BG184">
        <v>8.4000000000000005E-2</v>
      </c>
      <c r="BH184" t="s">
        <v>75</v>
      </c>
      <c r="BI184">
        <v>0.10272000000000001</v>
      </c>
      <c r="BJ184" t="s">
        <v>75</v>
      </c>
      <c r="BK184">
        <v>7.5789999999999996E-2</v>
      </c>
      <c r="BL184" t="s">
        <v>75</v>
      </c>
      <c r="BM184">
        <v>-3.2100000000000002E-3</v>
      </c>
      <c r="BN184" t="s">
        <v>75</v>
      </c>
      <c r="BO184">
        <v>21.40934</v>
      </c>
      <c r="BP184" t="s">
        <v>75</v>
      </c>
      <c r="BQ184">
        <v>1.4881200000000001</v>
      </c>
      <c r="BR184" t="s">
        <v>75</v>
      </c>
      <c r="BS184">
        <v>7.2050299999999998</v>
      </c>
      <c r="BT184" t="s">
        <v>75</v>
      </c>
      <c r="BU184">
        <v>8.2132199999999997</v>
      </c>
      <c r="BV184" t="s">
        <v>75</v>
      </c>
      <c r="BW184">
        <v>4.5619699999999996</v>
      </c>
      <c r="BX184" t="s">
        <v>75</v>
      </c>
      <c r="BY184">
        <v>5.9965200000000003</v>
      </c>
      <c r="BZ184" t="s">
        <v>75</v>
      </c>
      <c r="CA184">
        <v>10.73344</v>
      </c>
      <c r="CB184" t="s">
        <v>75</v>
      </c>
      <c r="CC184">
        <v>2.298E-2</v>
      </c>
      <c r="CD184" t="s">
        <v>75</v>
      </c>
      <c r="CE184">
        <v>1.532E-2</v>
      </c>
      <c r="CF184" t="s">
        <v>75</v>
      </c>
      <c r="CG184">
        <v>4.2896099999999997</v>
      </c>
      <c r="CH184" t="s">
        <v>75</v>
      </c>
      <c r="CI184">
        <v>0.70574999999999999</v>
      </c>
      <c r="CJ184" t="s">
        <v>75</v>
      </c>
      <c r="CK184">
        <v>12.001340000000001</v>
      </c>
      <c r="CL184" t="s">
        <v>75</v>
      </c>
      <c r="CM184">
        <v>1.5910000000000001E-2</v>
      </c>
      <c r="CN184" t="s">
        <v>75</v>
      </c>
      <c r="CO184">
        <v>1.15228</v>
      </c>
      <c r="CP184" t="s">
        <v>75</v>
      </c>
      <c r="CQ184">
        <v>1.14591</v>
      </c>
      <c r="CR184" t="s">
        <v>75</v>
      </c>
      <c r="CS184">
        <v>11.2729</v>
      </c>
      <c r="CT184" t="s">
        <v>75</v>
      </c>
      <c r="CV184" t="s">
        <v>76</v>
      </c>
      <c r="CW184">
        <v>0.17277999999999999</v>
      </c>
      <c r="CX184" t="s">
        <v>75</v>
      </c>
      <c r="DA184">
        <v>10.559279999999999</v>
      </c>
      <c r="DB184" t="s">
        <v>75</v>
      </c>
      <c r="DC184">
        <v>3.6000000000000002E-4</v>
      </c>
      <c r="DD184" t="s">
        <v>75</v>
      </c>
      <c r="DE184">
        <v>0.26091999999999999</v>
      </c>
      <c r="DF184" t="s">
        <v>75</v>
      </c>
      <c r="DG184">
        <v>0.32284000000000002</v>
      </c>
      <c r="DH184" t="s">
        <v>75</v>
      </c>
      <c r="DI184">
        <v>3.0634600000000001</v>
      </c>
      <c r="DJ184" t="s">
        <v>75</v>
      </c>
      <c r="DL184" t="s">
        <v>76</v>
      </c>
      <c r="DN184" t="s">
        <v>76</v>
      </c>
      <c r="DO184">
        <v>0.20221</v>
      </c>
      <c r="DP184" t="s">
        <v>75</v>
      </c>
    </row>
    <row r="185" spans="1:121" x14ac:dyDescent="0.2">
      <c r="D185" t="s">
        <v>64</v>
      </c>
      <c r="G185">
        <v>4.2199999999999998E-3</v>
      </c>
      <c r="H185" t="s">
        <v>75</v>
      </c>
      <c r="I185">
        <v>2.2799999999999999E-3</v>
      </c>
      <c r="J185" t="s">
        <v>75</v>
      </c>
      <c r="K185">
        <v>3.5E-4</v>
      </c>
      <c r="L185" t="s">
        <v>75</v>
      </c>
      <c r="M185">
        <v>5.6999999999999998E-4</v>
      </c>
      <c r="N185" t="s">
        <v>75</v>
      </c>
      <c r="O185">
        <v>1.2999999999999999E-4</v>
      </c>
      <c r="P185" t="s">
        <v>75</v>
      </c>
      <c r="Q185">
        <v>1.98E-3</v>
      </c>
      <c r="R185" t="s">
        <v>75</v>
      </c>
      <c r="S185">
        <v>1.4999999999999999E-4</v>
      </c>
      <c r="T185" t="s">
        <v>75</v>
      </c>
      <c r="U185">
        <v>4.0000000000000002E-4</v>
      </c>
      <c r="V185" t="s">
        <v>75</v>
      </c>
      <c r="W185">
        <v>3.5100000000000001E-3</v>
      </c>
      <c r="X185" t="s">
        <v>75</v>
      </c>
      <c r="Y185">
        <v>5.9999999999999995E-4</v>
      </c>
      <c r="Z185" t="s">
        <v>75</v>
      </c>
      <c r="AC185">
        <v>1.1999999999999999E-3</v>
      </c>
      <c r="AD185" t="s">
        <v>75</v>
      </c>
      <c r="AE185">
        <v>2.8700000000000002E-3</v>
      </c>
      <c r="AF185" t="s">
        <v>75</v>
      </c>
      <c r="AG185">
        <v>2.3000000000000001E-4</v>
      </c>
      <c r="AH185" t="s">
        <v>75</v>
      </c>
      <c r="AI185">
        <v>2.6199999999999999E-3</v>
      </c>
      <c r="AJ185" t="s">
        <v>75</v>
      </c>
      <c r="AK185">
        <v>1.2999999999999999E-4</v>
      </c>
      <c r="AL185" t="s">
        <v>75</v>
      </c>
      <c r="AM185">
        <v>4.0000000000000003E-5</v>
      </c>
      <c r="AN185" t="s">
        <v>75</v>
      </c>
      <c r="AO185">
        <v>3.5E-4</v>
      </c>
      <c r="AP185" t="s">
        <v>75</v>
      </c>
      <c r="AQ185">
        <v>1E-4</v>
      </c>
      <c r="AR185" t="s">
        <v>75</v>
      </c>
      <c r="AS185">
        <v>3.0000000000000001E-5</v>
      </c>
      <c r="AT185" t="s">
        <v>75</v>
      </c>
      <c r="AU185">
        <v>1.0000000000000001E-5</v>
      </c>
      <c r="AV185" t="s">
        <v>75</v>
      </c>
      <c r="AW185">
        <v>1.8000000000000001E-4</v>
      </c>
      <c r="AX185" t="s">
        <v>75</v>
      </c>
      <c r="AY185">
        <v>2.3000000000000001E-4</v>
      </c>
      <c r="AZ185" t="s">
        <v>75</v>
      </c>
      <c r="BC185">
        <v>5.9000000000000003E-4</v>
      </c>
      <c r="BD185" t="s">
        <v>75</v>
      </c>
      <c r="BE185">
        <v>2.0000000000000002E-5</v>
      </c>
      <c r="BF185" t="s">
        <v>75</v>
      </c>
      <c r="BG185">
        <v>5.0000000000000001E-4</v>
      </c>
      <c r="BH185" t="s">
        <v>75</v>
      </c>
      <c r="BI185">
        <v>1.48E-3</v>
      </c>
      <c r="BJ185" t="s">
        <v>75</v>
      </c>
      <c r="BK185">
        <v>1.66E-3</v>
      </c>
      <c r="BL185" t="s">
        <v>75</v>
      </c>
      <c r="BM185">
        <v>1.9000000000000001E-4</v>
      </c>
      <c r="BN185" t="s">
        <v>75</v>
      </c>
      <c r="BO185">
        <v>0.3463</v>
      </c>
      <c r="BP185" t="s">
        <v>75</v>
      </c>
      <c r="BQ185">
        <v>5.3899999999999998E-3</v>
      </c>
      <c r="BR185" t="s">
        <v>75</v>
      </c>
      <c r="BS185">
        <v>0.14482999999999999</v>
      </c>
      <c r="BT185" t="s">
        <v>75</v>
      </c>
      <c r="BU185">
        <v>0.48965999999999998</v>
      </c>
      <c r="BV185" t="s">
        <v>75</v>
      </c>
      <c r="BW185">
        <v>0.20097000000000001</v>
      </c>
      <c r="BX185" t="s">
        <v>75</v>
      </c>
      <c r="BY185">
        <v>0.26950000000000002</v>
      </c>
      <c r="BZ185" t="s">
        <v>75</v>
      </c>
      <c r="CA185">
        <v>0.83787</v>
      </c>
      <c r="CB185" t="s">
        <v>75</v>
      </c>
      <c r="CC185">
        <v>3.5699999999999998E-3</v>
      </c>
      <c r="CD185" t="s">
        <v>75</v>
      </c>
      <c r="CE185">
        <v>1.1900000000000001E-3</v>
      </c>
      <c r="CF185" t="s">
        <v>75</v>
      </c>
      <c r="CG185">
        <v>0.16075</v>
      </c>
      <c r="CH185" t="s">
        <v>75</v>
      </c>
      <c r="CI185">
        <v>1.8749999999999999E-2</v>
      </c>
      <c r="CJ185" t="s">
        <v>75</v>
      </c>
      <c r="CK185">
        <v>0.43230000000000002</v>
      </c>
      <c r="CL185" t="s">
        <v>75</v>
      </c>
      <c r="CM185">
        <v>8.8000000000000003E-4</v>
      </c>
      <c r="CN185" t="s">
        <v>75</v>
      </c>
      <c r="CO185">
        <v>2.554E-2</v>
      </c>
      <c r="CP185" t="s">
        <v>75</v>
      </c>
      <c r="CQ185">
        <v>3.8850000000000003E-2</v>
      </c>
      <c r="CR185" t="s">
        <v>75</v>
      </c>
      <c r="CS185">
        <v>0.13177</v>
      </c>
      <c r="CT185" t="s">
        <v>75</v>
      </c>
      <c r="CW185">
        <v>3.3300000000000001E-3</v>
      </c>
      <c r="CX185" t="s">
        <v>75</v>
      </c>
      <c r="DA185">
        <v>0.10607999999999999</v>
      </c>
      <c r="DB185" t="s">
        <v>75</v>
      </c>
      <c r="DC185">
        <v>1.9E-3</v>
      </c>
      <c r="DD185" t="s">
        <v>75</v>
      </c>
      <c r="DE185">
        <v>4.5650000000000003E-2</v>
      </c>
      <c r="DF185" t="s">
        <v>75</v>
      </c>
      <c r="DG185">
        <v>9.9129999999999996E-2</v>
      </c>
      <c r="DH185" t="s">
        <v>75</v>
      </c>
      <c r="DI185">
        <v>0.27699000000000001</v>
      </c>
      <c r="DJ185" t="s">
        <v>75</v>
      </c>
      <c r="DO185">
        <v>6.2599999999999999E-3</v>
      </c>
      <c r="DP185" t="s">
        <v>75</v>
      </c>
    </row>
    <row r="186" spans="1:121" x14ac:dyDescent="0.2">
      <c r="D186" t="s">
        <v>65</v>
      </c>
      <c r="G186" t="s">
        <v>66</v>
      </c>
      <c r="I186" t="s">
        <v>66</v>
      </c>
      <c r="K186" t="s">
        <v>66</v>
      </c>
      <c r="M186" t="s">
        <v>66</v>
      </c>
      <c r="O186" t="s">
        <v>66</v>
      </c>
      <c r="Q186" t="s">
        <v>66</v>
      </c>
      <c r="S186" t="s">
        <v>66</v>
      </c>
      <c r="U186" t="s">
        <v>66</v>
      </c>
      <c r="W186" t="s">
        <v>66</v>
      </c>
      <c r="Y186" t="s">
        <v>66</v>
      </c>
      <c r="AA186" t="s">
        <v>66</v>
      </c>
      <c r="AC186" t="s">
        <v>66</v>
      </c>
      <c r="AE186" t="s">
        <v>66</v>
      </c>
      <c r="AG186" t="s">
        <v>66</v>
      </c>
      <c r="AI186" t="s">
        <v>66</v>
      </c>
      <c r="AK186" t="s">
        <v>66</v>
      </c>
      <c r="AM186" t="s">
        <v>66</v>
      </c>
      <c r="AO186" t="s">
        <v>66</v>
      </c>
      <c r="AQ186" t="s">
        <v>66</v>
      </c>
      <c r="AS186" t="s">
        <v>66</v>
      </c>
      <c r="AU186" t="s">
        <v>66</v>
      </c>
      <c r="AW186" t="s">
        <v>66</v>
      </c>
      <c r="AY186" t="s">
        <v>66</v>
      </c>
      <c r="BA186" t="s">
        <v>66</v>
      </c>
      <c r="BC186" t="s">
        <v>66</v>
      </c>
      <c r="BE186" t="s">
        <v>66</v>
      </c>
      <c r="BG186" t="s">
        <v>66</v>
      </c>
      <c r="BI186" t="s">
        <v>66</v>
      </c>
      <c r="BK186" t="s">
        <v>66</v>
      </c>
      <c r="BM186" t="s">
        <v>66</v>
      </c>
      <c r="BO186" t="s">
        <v>66</v>
      </c>
      <c r="BQ186" t="s">
        <v>66</v>
      </c>
      <c r="BS186" t="s">
        <v>66</v>
      </c>
      <c r="BU186" t="s">
        <v>66</v>
      </c>
      <c r="BW186" t="s">
        <v>66</v>
      </c>
      <c r="BY186" t="s">
        <v>66</v>
      </c>
      <c r="CA186" t="s">
        <v>66</v>
      </c>
      <c r="CC186" t="s">
        <v>66</v>
      </c>
      <c r="CE186" t="s">
        <v>66</v>
      </c>
      <c r="CG186" t="s">
        <v>66</v>
      </c>
      <c r="CI186" t="s">
        <v>66</v>
      </c>
      <c r="CK186" t="s">
        <v>66</v>
      </c>
      <c r="CM186" t="s">
        <v>66</v>
      </c>
      <c r="CO186" t="s">
        <v>66</v>
      </c>
      <c r="CQ186" t="s">
        <v>66</v>
      </c>
      <c r="CS186" t="s">
        <v>66</v>
      </c>
      <c r="CU186" t="s">
        <v>66</v>
      </c>
      <c r="CW186" t="s">
        <v>66</v>
      </c>
      <c r="CY186" t="s">
        <v>66</v>
      </c>
      <c r="DA186" t="s">
        <v>66</v>
      </c>
      <c r="DC186" t="s">
        <v>66</v>
      </c>
      <c r="DE186" t="s">
        <v>66</v>
      </c>
      <c r="DG186" t="s">
        <v>66</v>
      </c>
      <c r="DI186" t="s">
        <v>66</v>
      </c>
      <c r="DK186" t="s">
        <v>66</v>
      </c>
      <c r="DM186" t="s">
        <v>66</v>
      </c>
      <c r="DO186" t="s">
        <v>66</v>
      </c>
      <c r="DQ186" t="s">
        <v>66</v>
      </c>
    </row>
    <row r="187" spans="1:121" x14ac:dyDescent="0.2">
      <c r="A187" t="s">
        <v>607</v>
      </c>
      <c r="D187" t="s">
        <v>60</v>
      </c>
      <c r="E187" t="s">
        <v>61</v>
      </c>
      <c r="G187">
        <v>21051.7</v>
      </c>
      <c r="I187">
        <v>812.5</v>
      </c>
      <c r="K187">
        <v>915988.1</v>
      </c>
      <c r="M187">
        <v>118810.9</v>
      </c>
      <c r="O187">
        <v>4470.2</v>
      </c>
      <c r="Q187">
        <v>56495.8</v>
      </c>
      <c r="S187">
        <v>2289.4</v>
      </c>
      <c r="U187">
        <v>2063.1</v>
      </c>
      <c r="W187">
        <v>32938.800000000003</v>
      </c>
      <c r="Y187">
        <v>23331.599999999999</v>
      </c>
      <c r="AA187">
        <v>6320473.2999999998</v>
      </c>
      <c r="AC187">
        <v>5589736</v>
      </c>
      <c r="AE187">
        <v>21351703.199999999</v>
      </c>
      <c r="AG187">
        <v>65833.600000000006</v>
      </c>
      <c r="AI187">
        <v>184663.7</v>
      </c>
      <c r="AK187">
        <v>14607.6</v>
      </c>
      <c r="AM187">
        <v>11164.1</v>
      </c>
      <c r="AO187">
        <v>1259.0999999999999</v>
      </c>
      <c r="AQ187">
        <v>396.9</v>
      </c>
      <c r="AS187">
        <v>695.1</v>
      </c>
      <c r="AU187">
        <v>419.9</v>
      </c>
      <c r="AW187">
        <v>445.9</v>
      </c>
      <c r="AY187">
        <v>11581.5</v>
      </c>
      <c r="BA187">
        <v>673547.5</v>
      </c>
      <c r="BC187">
        <v>3828.8</v>
      </c>
      <c r="BE187">
        <v>31317.4</v>
      </c>
      <c r="BG187">
        <v>1917986</v>
      </c>
      <c r="BI187">
        <v>1608849.7</v>
      </c>
      <c r="BK187">
        <v>3689435.5</v>
      </c>
      <c r="BM187">
        <v>1884195.3</v>
      </c>
      <c r="BO187">
        <v>11445558.699999999</v>
      </c>
      <c r="BQ187">
        <v>70256.399999999994</v>
      </c>
      <c r="BS187">
        <v>720018.1</v>
      </c>
      <c r="BU187">
        <v>2647601.7999999998</v>
      </c>
      <c r="BW187">
        <v>67663.100000000006</v>
      </c>
      <c r="BY187">
        <v>602702.19999999995</v>
      </c>
      <c r="CA187">
        <v>36946.1</v>
      </c>
      <c r="CC187">
        <v>338.9</v>
      </c>
      <c r="CE187">
        <v>1826.4</v>
      </c>
      <c r="CG187">
        <v>756642.7</v>
      </c>
      <c r="CI187">
        <v>521400.3</v>
      </c>
      <c r="CK187">
        <v>3194352</v>
      </c>
      <c r="CM187">
        <v>20809.2</v>
      </c>
      <c r="CO187">
        <v>145537.79999999999</v>
      </c>
      <c r="CQ187">
        <v>426408.3</v>
      </c>
      <c r="CS187">
        <v>3741661</v>
      </c>
      <c r="CU187">
        <v>634762.9</v>
      </c>
      <c r="CW187">
        <v>606661.6</v>
      </c>
      <c r="CY187">
        <v>60657.599999999999</v>
      </c>
      <c r="DA187">
        <v>5062781.4000000004</v>
      </c>
      <c r="DC187">
        <v>281.2</v>
      </c>
      <c r="DE187">
        <v>130359.1</v>
      </c>
      <c r="DG187">
        <v>593.20000000000005</v>
      </c>
      <c r="DI187">
        <v>2719.1</v>
      </c>
      <c r="DK187">
        <v>930.4</v>
      </c>
      <c r="DM187">
        <v>181171.6</v>
      </c>
      <c r="DO187">
        <v>160086.70000000001</v>
      </c>
      <c r="DQ187">
        <v>17135</v>
      </c>
    </row>
    <row r="188" spans="1:121" x14ac:dyDescent="0.2">
      <c r="D188" t="s">
        <v>62</v>
      </c>
      <c r="E188" t="s">
        <v>61</v>
      </c>
      <c r="G188">
        <v>242.2</v>
      </c>
      <c r="I188">
        <v>53</v>
      </c>
      <c r="K188">
        <v>5901.5</v>
      </c>
      <c r="M188">
        <v>312.10000000000002</v>
      </c>
      <c r="O188">
        <v>38.5</v>
      </c>
      <c r="Q188">
        <v>412.1</v>
      </c>
      <c r="S188">
        <v>68.599999999999994</v>
      </c>
      <c r="U188">
        <v>79.8</v>
      </c>
      <c r="W188">
        <v>183.6</v>
      </c>
      <c r="Y188">
        <v>296.39999999999998</v>
      </c>
      <c r="AA188">
        <v>49737.9</v>
      </c>
      <c r="AC188">
        <v>55951.9</v>
      </c>
      <c r="AE188">
        <v>239589.1</v>
      </c>
      <c r="AG188">
        <v>1287.8</v>
      </c>
      <c r="AI188">
        <v>929.6</v>
      </c>
      <c r="AK188">
        <v>162.1</v>
      </c>
      <c r="AM188">
        <v>347.1</v>
      </c>
      <c r="AO188">
        <v>127.8</v>
      </c>
      <c r="AQ188">
        <v>39.9</v>
      </c>
      <c r="AS188">
        <v>32.1</v>
      </c>
      <c r="AU188">
        <v>93</v>
      </c>
      <c r="AW188">
        <v>43.4</v>
      </c>
      <c r="AY188">
        <v>294.3</v>
      </c>
      <c r="BA188">
        <v>6432.1</v>
      </c>
      <c r="BC188">
        <v>180.4</v>
      </c>
      <c r="BE188">
        <v>784.4</v>
      </c>
      <c r="BG188">
        <v>17106.8</v>
      </c>
      <c r="BI188">
        <v>42201</v>
      </c>
      <c r="BK188">
        <v>37748.5</v>
      </c>
      <c r="BM188">
        <v>15817.6</v>
      </c>
      <c r="BO188">
        <v>195384.7</v>
      </c>
      <c r="BQ188">
        <v>714.5</v>
      </c>
      <c r="BS188">
        <v>11286.5</v>
      </c>
      <c r="BU188">
        <v>17582.3</v>
      </c>
      <c r="BW188">
        <v>641.20000000000005</v>
      </c>
      <c r="BY188">
        <v>653.1</v>
      </c>
      <c r="CA188">
        <v>412</v>
      </c>
      <c r="CC188">
        <v>46.2</v>
      </c>
      <c r="CE188">
        <v>91.5</v>
      </c>
      <c r="CG188">
        <v>33714.1</v>
      </c>
      <c r="CI188">
        <v>18065.8</v>
      </c>
      <c r="CK188">
        <v>106889.2</v>
      </c>
      <c r="CM188">
        <v>978.1</v>
      </c>
      <c r="CO188">
        <v>3064.1</v>
      </c>
      <c r="CQ188">
        <v>8809.2999999999993</v>
      </c>
      <c r="CS188">
        <v>70611.399999999994</v>
      </c>
      <c r="CU188">
        <v>1839.5</v>
      </c>
      <c r="CW188">
        <v>5413.7</v>
      </c>
      <c r="CY188">
        <v>638.5</v>
      </c>
      <c r="DA188">
        <v>99388.5</v>
      </c>
      <c r="DC188">
        <v>6.9</v>
      </c>
      <c r="DE188">
        <v>546.70000000000005</v>
      </c>
      <c r="DG188">
        <v>32.9</v>
      </c>
      <c r="DI188">
        <v>126</v>
      </c>
      <c r="DK188">
        <v>68.7</v>
      </c>
      <c r="DM188">
        <v>2286.4</v>
      </c>
      <c r="DO188">
        <v>1272.5999999999999</v>
      </c>
      <c r="DQ188">
        <v>502.3</v>
      </c>
    </row>
    <row r="189" spans="1:121" x14ac:dyDescent="0.2">
      <c r="D189" t="s">
        <v>63</v>
      </c>
      <c r="G189">
        <v>0.13396</v>
      </c>
      <c r="H189" t="s">
        <v>75</v>
      </c>
      <c r="I189">
        <v>1.593E-2</v>
      </c>
      <c r="J189" t="s">
        <v>75</v>
      </c>
      <c r="K189">
        <v>1.1691100000000001</v>
      </c>
      <c r="L189" t="s">
        <v>75</v>
      </c>
      <c r="M189">
        <v>8.7279999999999996E-2</v>
      </c>
      <c r="N189" t="s">
        <v>75</v>
      </c>
      <c r="O189">
        <v>6.6800000000000002E-3</v>
      </c>
      <c r="P189" t="s">
        <v>75</v>
      </c>
      <c r="Q189">
        <v>0.38815</v>
      </c>
      <c r="R189" t="s">
        <v>75</v>
      </c>
      <c r="S189">
        <v>1.32E-3</v>
      </c>
      <c r="T189" t="s">
        <v>75</v>
      </c>
      <c r="U189">
        <v>1.4239999999999999E-2</v>
      </c>
      <c r="V189" t="s">
        <v>75</v>
      </c>
      <c r="W189">
        <v>7.3870000000000005E-2</v>
      </c>
      <c r="X189" t="s">
        <v>75</v>
      </c>
      <c r="Y189">
        <v>0.34871999999999997</v>
      </c>
      <c r="Z189" t="s">
        <v>75</v>
      </c>
      <c r="AB189" t="s">
        <v>76</v>
      </c>
      <c r="AC189">
        <v>20.056480000000001</v>
      </c>
      <c r="AD189" t="s">
        <v>75</v>
      </c>
      <c r="AE189">
        <v>80.530469999999994</v>
      </c>
      <c r="AF189" t="s">
        <v>75</v>
      </c>
      <c r="AG189">
        <v>3.5659999999999997E-2</v>
      </c>
      <c r="AH189" t="s">
        <v>75</v>
      </c>
      <c r="AI189">
        <v>1.1747700000000001</v>
      </c>
      <c r="AJ189" t="s">
        <v>75</v>
      </c>
      <c r="AK189">
        <v>7.9399999999999991E-3</v>
      </c>
      <c r="AL189" t="s">
        <v>75</v>
      </c>
      <c r="AM189">
        <v>2.7599999999999999E-3</v>
      </c>
      <c r="AN189" t="s">
        <v>75</v>
      </c>
      <c r="AO189">
        <v>6.0600000000000003E-3</v>
      </c>
      <c r="AP189" t="s">
        <v>75</v>
      </c>
      <c r="AQ189">
        <v>7.6000000000000004E-4</v>
      </c>
      <c r="AR189" t="s">
        <v>75</v>
      </c>
      <c r="AS189">
        <v>2.0699999999999998E-3</v>
      </c>
      <c r="AT189" t="s">
        <v>75</v>
      </c>
      <c r="AU189">
        <v>1.6299999999999999E-3</v>
      </c>
      <c r="AV189" t="s">
        <v>75</v>
      </c>
      <c r="AW189">
        <v>2.7999999999999998E-4</v>
      </c>
      <c r="AX189" t="s">
        <v>75</v>
      </c>
      <c r="AY189">
        <v>2.725E-2</v>
      </c>
      <c r="AZ189" t="s">
        <v>75</v>
      </c>
      <c r="BC189">
        <v>-2.0483799999999999</v>
      </c>
      <c r="BD189" t="s">
        <v>75</v>
      </c>
      <c r="BE189">
        <v>3.2669999999999998E-2</v>
      </c>
      <c r="BF189" t="s">
        <v>75</v>
      </c>
      <c r="BG189">
        <v>5.5113500000000002</v>
      </c>
      <c r="BH189" t="s">
        <v>75</v>
      </c>
      <c r="BI189">
        <v>5.3356500000000002</v>
      </c>
      <c r="BJ189" t="s">
        <v>75</v>
      </c>
      <c r="BK189">
        <v>5.2972200000000003</v>
      </c>
      <c r="BL189" t="s">
        <v>75</v>
      </c>
      <c r="BM189">
        <v>1.7723599999999999</v>
      </c>
      <c r="BN189" t="s">
        <v>75</v>
      </c>
      <c r="BO189">
        <v>246.65451999999999</v>
      </c>
      <c r="BP189" t="s">
        <v>75</v>
      </c>
      <c r="BQ189">
        <v>1.91781</v>
      </c>
      <c r="BR189" t="s">
        <v>75</v>
      </c>
      <c r="BS189">
        <v>15.405290000000001</v>
      </c>
      <c r="BT189" t="s">
        <v>75</v>
      </c>
      <c r="BU189">
        <v>87.175359999999998</v>
      </c>
      <c r="BV189" t="s">
        <v>75</v>
      </c>
      <c r="BW189">
        <v>27.983730000000001</v>
      </c>
      <c r="BX189" t="s">
        <v>75</v>
      </c>
      <c r="BY189">
        <v>158.30906999999999</v>
      </c>
      <c r="BZ189" t="s">
        <v>75</v>
      </c>
      <c r="CA189">
        <v>15.854139999999999</v>
      </c>
      <c r="CB189" t="s">
        <v>75</v>
      </c>
      <c r="CC189">
        <v>5.688E-2</v>
      </c>
      <c r="CD189" t="s">
        <v>75</v>
      </c>
      <c r="CE189">
        <v>2.5090000000000001E-2</v>
      </c>
      <c r="CF189" t="s">
        <v>75</v>
      </c>
      <c r="CG189">
        <v>12.65925</v>
      </c>
      <c r="CH189" t="s">
        <v>75</v>
      </c>
      <c r="CI189">
        <v>6.6582400000000002</v>
      </c>
      <c r="CJ189" t="s">
        <v>75</v>
      </c>
      <c r="CK189">
        <v>44.131019999999999</v>
      </c>
      <c r="CL189" t="s">
        <v>75</v>
      </c>
      <c r="CM189">
        <v>0.28349999999999997</v>
      </c>
      <c r="CN189" t="s">
        <v>75</v>
      </c>
      <c r="CO189">
        <v>8.1009200000000003</v>
      </c>
      <c r="CP189" t="s">
        <v>75</v>
      </c>
      <c r="CQ189">
        <v>12.65193</v>
      </c>
      <c r="CR189" t="s">
        <v>75</v>
      </c>
      <c r="CS189">
        <v>962.01188000000002</v>
      </c>
      <c r="CT189" t="s">
        <v>75</v>
      </c>
      <c r="CV189" t="s">
        <v>76</v>
      </c>
      <c r="CW189">
        <v>22.114439999999998</v>
      </c>
      <c r="CX189" t="s">
        <v>75</v>
      </c>
      <c r="DA189">
        <v>287.19740000000002</v>
      </c>
      <c r="DB189" t="s">
        <v>75</v>
      </c>
      <c r="DC189">
        <v>0.11666</v>
      </c>
      <c r="DD189" t="s">
        <v>75</v>
      </c>
      <c r="DE189">
        <v>56.1462</v>
      </c>
      <c r="DF189" t="s">
        <v>75</v>
      </c>
      <c r="DG189">
        <v>2.91046</v>
      </c>
      <c r="DH189" t="s">
        <v>75</v>
      </c>
      <c r="DI189">
        <v>4.1087199999999999</v>
      </c>
      <c r="DJ189" t="s">
        <v>75</v>
      </c>
      <c r="DL189" t="s">
        <v>76</v>
      </c>
      <c r="DN189" t="s">
        <v>76</v>
      </c>
      <c r="DO189">
        <v>22.535589999999999</v>
      </c>
      <c r="DP189" t="s">
        <v>75</v>
      </c>
    </row>
    <row r="190" spans="1:121" x14ac:dyDescent="0.2">
      <c r="D190" t="s">
        <v>64</v>
      </c>
      <c r="G190">
        <v>3.3E-3</v>
      </c>
      <c r="H190" t="s">
        <v>75</v>
      </c>
      <c r="I190">
        <v>2.0600000000000002E-3</v>
      </c>
      <c r="J190" t="s">
        <v>75</v>
      </c>
      <c r="K190">
        <v>7.6499999999999997E-3</v>
      </c>
      <c r="L190" t="s">
        <v>75</v>
      </c>
      <c r="M190">
        <v>1.3600000000000001E-3</v>
      </c>
      <c r="N190" t="s">
        <v>75</v>
      </c>
      <c r="O190">
        <v>4.0000000000000003E-5</v>
      </c>
      <c r="P190" t="s">
        <v>75</v>
      </c>
      <c r="Q190">
        <v>3.6099999999999999E-3</v>
      </c>
      <c r="R190" t="s">
        <v>75</v>
      </c>
      <c r="S190">
        <v>4.0000000000000003E-5</v>
      </c>
      <c r="T190" t="s">
        <v>75</v>
      </c>
      <c r="U190">
        <v>3.6999999999999999E-4</v>
      </c>
      <c r="V190" t="s">
        <v>75</v>
      </c>
      <c r="W190">
        <v>6.4999999999999997E-4</v>
      </c>
      <c r="X190" t="s">
        <v>75</v>
      </c>
      <c r="Y190">
        <v>6.7299999999999999E-3</v>
      </c>
      <c r="Z190" t="s">
        <v>75</v>
      </c>
      <c r="AC190">
        <v>0.25663999999999998</v>
      </c>
      <c r="AD190" t="s">
        <v>75</v>
      </c>
      <c r="AE190">
        <v>1.2715099999999999</v>
      </c>
      <c r="AF190" t="s">
        <v>75</v>
      </c>
      <c r="AG190">
        <v>1E-3</v>
      </c>
      <c r="AH190" t="s">
        <v>75</v>
      </c>
      <c r="AI190">
        <v>8.4100000000000008E-3</v>
      </c>
      <c r="AJ190" t="s">
        <v>75</v>
      </c>
      <c r="AK190">
        <v>1.4999999999999999E-4</v>
      </c>
      <c r="AL190" t="s">
        <v>75</v>
      </c>
      <c r="AM190">
        <v>3.3E-4</v>
      </c>
      <c r="AN190" t="s">
        <v>75</v>
      </c>
      <c r="AO190">
        <v>5.1000000000000004E-4</v>
      </c>
      <c r="AP190" t="s">
        <v>75</v>
      </c>
      <c r="AQ190">
        <v>1.9000000000000001E-4</v>
      </c>
      <c r="AR190" t="s">
        <v>75</v>
      </c>
      <c r="AS190">
        <v>1.2999999999999999E-4</v>
      </c>
      <c r="AT190" t="s">
        <v>75</v>
      </c>
      <c r="AU190">
        <v>6.0000000000000002E-5</v>
      </c>
      <c r="AV190" t="s">
        <v>75</v>
      </c>
      <c r="AW190">
        <v>1.1E-4</v>
      </c>
      <c r="AX190" t="s">
        <v>75</v>
      </c>
      <c r="AY190">
        <v>7.5000000000000002E-4</v>
      </c>
      <c r="AZ190" t="s">
        <v>75</v>
      </c>
      <c r="BC190">
        <v>4.8999999999999998E-4</v>
      </c>
      <c r="BD190" t="s">
        <v>75</v>
      </c>
      <c r="BE190">
        <v>7.5000000000000002E-4</v>
      </c>
      <c r="BF190" t="s">
        <v>75</v>
      </c>
      <c r="BG190">
        <v>1.9640000000000001E-2</v>
      </c>
      <c r="BH190" t="s">
        <v>75</v>
      </c>
      <c r="BI190">
        <v>0.10135</v>
      </c>
      <c r="BJ190" t="s">
        <v>75</v>
      </c>
      <c r="BK190">
        <v>1.6979999999999999E-2</v>
      </c>
      <c r="BL190" t="s">
        <v>75</v>
      </c>
      <c r="BM190">
        <v>1.0449999999999999E-2</v>
      </c>
      <c r="BN190" t="s">
        <v>75</v>
      </c>
      <c r="BO190">
        <v>3.4240200000000001</v>
      </c>
      <c r="BP190" t="s">
        <v>75</v>
      </c>
      <c r="BQ190">
        <v>4.4260000000000001E-2</v>
      </c>
      <c r="BR190" t="s">
        <v>75</v>
      </c>
      <c r="BS190">
        <v>0.38162000000000001</v>
      </c>
      <c r="BT190" t="s">
        <v>75</v>
      </c>
      <c r="BU190">
        <v>1.67719</v>
      </c>
      <c r="BV190" t="s">
        <v>75</v>
      </c>
      <c r="BW190">
        <v>0.54210999999999998</v>
      </c>
      <c r="BX190" t="s">
        <v>75</v>
      </c>
      <c r="BY190">
        <v>1.6519699999999999</v>
      </c>
      <c r="BZ190" t="s">
        <v>75</v>
      </c>
      <c r="CA190">
        <v>0.35410000000000003</v>
      </c>
      <c r="CB190" t="s">
        <v>75</v>
      </c>
      <c r="CC190">
        <v>1.0290000000000001E-2</v>
      </c>
      <c r="CD190" t="s">
        <v>75</v>
      </c>
      <c r="CE190">
        <v>1.1000000000000001E-3</v>
      </c>
      <c r="CF190" t="s">
        <v>75</v>
      </c>
      <c r="CG190">
        <v>0.55517000000000005</v>
      </c>
      <c r="CH190" t="s">
        <v>75</v>
      </c>
      <c r="CI190">
        <v>0.23129</v>
      </c>
      <c r="CJ190" t="s">
        <v>75</v>
      </c>
      <c r="CK190">
        <v>1.5412699999999999</v>
      </c>
      <c r="CL190" t="s">
        <v>75</v>
      </c>
      <c r="CM190">
        <v>1.345E-2</v>
      </c>
      <c r="CN190" t="s">
        <v>75</v>
      </c>
      <c r="CO190">
        <v>0.20982999999999999</v>
      </c>
      <c r="CP190" t="s">
        <v>75</v>
      </c>
      <c r="CQ190">
        <v>0.27981</v>
      </c>
      <c r="CR190" t="s">
        <v>75</v>
      </c>
      <c r="CS190">
        <v>13.543279999999999</v>
      </c>
      <c r="CT190" t="s">
        <v>75</v>
      </c>
      <c r="CW190">
        <v>0.42031000000000002</v>
      </c>
      <c r="CX190" t="s">
        <v>75</v>
      </c>
      <c r="DA190">
        <v>13.77848</v>
      </c>
      <c r="DB190" t="s">
        <v>75</v>
      </c>
      <c r="DC190">
        <v>5.3800000000000002E-3</v>
      </c>
      <c r="DD190" t="s">
        <v>75</v>
      </c>
      <c r="DE190">
        <v>1.6555899999999999</v>
      </c>
      <c r="DF190" t="s">
        <v>75</v>
      </c>
      <c r="DG190">
        <v>0.22061</v>
      </c>
      <c r="DH190" t="s">
        <v>75</v>
      </c>
      <c r="DI190">
        <v>0.35226000000000002</v>
      </c>
      <c r="DJ190" t="s">
        <v>75</v>
      </c>
      <c r="DO190">
        <v>0.53498999999999997</v>
      </c>
      <c r="DP190" t="s">
        <v>75</v>
      </c>
    </row>
    <row r="191" spans="1:121" x14ac:dyDescent="0.2">
      <c r="D191" t="s">
        <v>65</v>
      </c>
      <c r="G191" t="s">
        <v>66</v>
      </c>
      <c r="I191" t="s">
        <v>66</v>
      </c>
      <c r="K191" t="s">
        <v>66</v>
      </c>
      <c r="M191" t="s">
        <v>66</v>
      </c>
      <c r="O191" t="s">
        <v>66</v>
      </c>
      <c r="Q191" t="s">
        <v>66</v>
      </c>
      <c r="S191" t="s">
        <v>66</v>
      </c>
      <c r="U191" t="s">
        <v>66</v>
      </c>
      <c r="W191" t="s">
        <v>66</v>
      </c>
      <c r="Y191" t="s">
        <v>66</v>
      </c>
      <c r="AA191" t="s">
        <v>66</v>
      </c>
      <c r="AC191" t="s">
        <v>66</v>
      </c>
      <c r="AE191" t="s">
        <v>66</v>
      </c>
      <c r="AG191" t="s">
        <v>66</v>
      </c>
      <c r="AI191" t="s">
        <v>66</v>
      </c>
      <c r="AK191" t="s">
        <v>66</v>
      </c>
      <c r="AM191" t="s">
        <v>66</v>
      </c>
      <c r="AO191" t="s">
        <v>66</v>
      </c>
      <c r="AQ191" t="s">
        <v>66</v>
      </c>
      <c r="AS191" t="s">
        <v>66</v>
      </c>
      <c r="AU191" t="s">
        <v>66</v>
      </c>
      <c r="AW191" t="s">
        <v>66</v>
      </c>
      <c r="AY191" t="s">
        <v>66</v>
      </c>
      <c r="BA191" t="s">
        <v>66</v>
      </c>
      <c r="BC191" t="s">
        <v>66</v>
      </c>
      <c r="BE191" t="s">
        <v>66</v>
      </c>
      <c r="BG191" t="s">
        <v>66</v>
      </c>
      <c r="BI191" t="s">
        <v>66</v>
      </c>
      <c r="BK191" t="s">
        <v>66</v>
      </c>
      <c r="BM191" t="s">
        <v>66</v>
      </c>
      <c r="BO191" t="s">
        <v>66</v>
      </c>
      <c r="BQ191" t="s">
        <v>66</v>
      </c>
      <c r="BS191" t="s">
        <v>66</v>
      </c>
      <c r="BU191" t="s">
        <v>66</v>
      </c>
      <c r="BW191" t="s">
        <v>66</v>
      </c>
      <c r="BY191" t="s">
        <v>66</v>
      </c>
      <c r="CA191" t="s">
        <v>66</v>
      </c>
      <c r="CC191" t="s">
        <v>66</v>
      </c>
      <c r="CE191" t="s">
        <v>66</v>
      </c>
      <c r="CG191" t="s">
        <v>66</v>
      </c>
      <c r="CI191" t="s">
        <v>66</v>
      </c>
      <c r="CK191" t="s">
        <v>66</v>
      </c>
      <c r="CM191" t="s">
        <v>66</v>
      </c>
      <c r="CO191" t="s">
        <v>66</v>
      </c>
      <c r="CQ191" t="s">
        <v>66</v>
      </c>
      <c r="CS191" t="s">
        <v>66</v>
      </c>
      <c r="CU191" t="s">
        <v>66</v>
      </c>
      <c r="CW191" t="s">
        <v>66</v>
      </c>
      <c r="CY191" t="s">
        <v>66</v>
      </c>
      <c r="DA191" t="s">
        <v>66</v>
      </c>
      <c r="DC191" t="s">
        <v>66</v>
      </c>
      <c r="DE191" t="s">
        <v>66</v>
      </c>
      <c r="DG191" t="s">
        <v>66</v>
      </c>
      <c r="DI191" t="s">
        <v>66</v>
      </c>
      <c r="DK191" t="s">
        <v>66</v>
      </c>
      <c r="DM191" t="s">
        <v>66</v>
      </c>
      <c r="DO191" t="s">
        <v>66</v>
      </c>
      <c r="DQ191" t="s">
        <v>66</v>
      </c>
    </row>
    <row r="192" spans="1:121" x14ac:dyDescent="0.2">
      <c r="A192" t="s">
        <v>608</v>
      </c>
      <c r="D192" t="s">
        <v>60</v>
      </c>
      <c r="E192" t="s">
        <v>61</v>
      </c>
      <c r="G192">
        <v>14435</v>
      </c>
      <c r="I192">
        <v>833.8</v>
      </c>
      <c r="K192">
        <v>719455.6</v>
      </c>
      <c r="M192">
        <v>102980.2</v>
      </c>
      <c r="O192">
        <v>1268.5999999999999</v>
      </c>
      <c r="Q192">
        <v>23077</v>
      </c>
      <c r="S192">
        <v>1713.8</v>
      </c>
      <c r="U192">
        <v>1847.2</v>
      </c>
      <c r="W192">
        <v>281294</v>
      </c>
      <c r="Y192">
        <v>22954.9</v>
      </c>
      <c r="AA192">
        <v>3361324.3</v>
      </c>
      <c r="AC192">
        <v>1490675.7</v>
      </c>
      <c r="AE192">
        <v>1911353.3</v>
      </c>
      <c r="AG192">
        <v>46687.1</v>
      </c>
      <c r="AI192">
        <v>120874</v>
      </c>
      <c r="AK192">
        <v>2467.8000000000002</v>
      </c>
      <c r="AM192">
        <v>3610.8</v>
      </c>
      <c r="AO192">
        <v>414.7</v>
      </c>
      <c r="AQ192">
        <v>230.2</v>
      </c>
      <c r="AS192">
        <v>491.8</v>
      </c>
      <c r="AU192">
        <v>255.2</v>
      </c>
      <c r="AW192">
        <v>196.9</v>
      </c>
      <c r="AY192">
        <v>11700.4</v>
      </c>
      <c r="BA192">
        <v>687782.5</v>
      </c>
      <c r="BC192">
        <v>3659.8</v>
      </c>
      <c r="BE192">
        <v>27466.6</v>
      </c>
      <c r="BG192">
        <v>1149495.3</v>
      </c>
      <c r="BI192">
        <v>986342.2</v>
      </c>
      <c r="BK192">
        <v>2531179.2999999998</v>
      </c>
      <c r="BM192">
        <v>524693.4</v>
      </c>
      <c r="BO192">
        <v>5741266.5</v>
      </c>
      <c r="BQ192">
        <v>61257</v>
      </c>
      <c r="BS192">
        <v>293905.7</v>
      </c>
      <c r="BU192">
        <v>1449096.6</v>
      </c>
      <c r="BW192">
        <v>36611.800000000003</v>
      </c>
      <c r="BY192">
        <v>216895.6</v>
      </c>
      <c r="CA192">
        <v>28838.2</v>
      </c>
      <c r="CC192">
        <v>155.6</v>
      </c>
      <c r="CE192">
        <v>762.3</v>
      </c>
      <c r="CG192">
        <v>191115.6</v>
      </c>
      <c r="CI192">
        <v>96357.3</v>
      </c>
      <c r="CK192">
        <v>530978.4</v>
      </c>
      <c r="CM192">
        <v>4301.5</v>
      </c>
      <c r="CO192">
        <v>11291</v>
      </c>
      <c r="CQ192">
        <v>127032.6</v>
      </c>
      <c r="CS192">
        <v>2524099.6</v>
      </c>
      <c r="CU192">
        <v>295768.40000000002</v>
      </c>
      <c r="CW192">
        <v>147312.5</v>
      </c>
      <c r="CY192">
        <v>59586.5</v>
      </c>
      <c r="DA192">
        <v>5374975.5999999996</v>
      </c>
      <c r="DC192">
        <v>117.8</v>
      </c>
      <c r="DE192">
        <v>4316.5</v>
      </c>
      <c r="DG192">
        <v>65.3</v>
      </c>
      <c r="DI192">
        <v>1267.7</v>
      </c>
      <c r="DK192">
        <v>951</v>
      </c>
      <c r="DM192">
        <v>87115.6</v>
      </c>
      <c r="DO192">
        <v>39829.4</v>
      </c>
      <c r="DQ192">
        <v>17237.400000000001</v>
      </c>
    </row>
    <row r="193" spans="1:121" x14ac:dyDescent="0.2">
      <c r="D193" t="s">
        <v>62</v>
      </c>
      <c r="E193" t="s">
        <v>61</v>
      </c>
      <c r="G193">
        <v>91.1</v>
      </c>
      <c r="I193">
        <v>25.4</v>
      </c>
      <c r="K193">
        <v>6688</v>
      </c>
      <c r="M193">
        <v>603.79999999999995</v>
      </c>
      <c r="O193">
        <v>15.7</v>
      </c>
      <c r="Q193">
        <v>114.8</v>
      </c>
      <c r="S193">
        <v>30.1</v>
      </c>
      <c r="U193">
        <v>186.8</v>
      </c>
      <c r="W193">
        <v>2650.7</v>
      </c>
      <c r="Y193">
        <v>223.1</v>
      </c>
      <c r="AA193">
        <v>23320.7</v>
      </c>
      <c r="AC193">
        <v>8623.2999999999993</v>
      </c>
      <c r="AE193">
        <v>8593.7000000000007</v>
      </c>
      <c r="AG193">
        <v>192.6</v>
      </c>
      <c r="AI193">
        <v>1338.1</v>
      </c>
      <c r="AK193">
        <v>184</v>
      </c>
      <c r="AM193">
        <v>267.89999999999998</v>
      </c>
      <c r="AO193">
        <v>35.5</v>
      </c>
      <c r="AQ193">
        <v>30.8</v>
      </c>
      <c r="AS193">
        <v>62.7</v>
      </c>
      <c r="AU193">
        <v>19.100000000000001</v>
      </c>
      <c r="AW193">
        <v>30.8</v>
      </c>
      <c r="AY193">
        <v>339.4</v>
      </c>
      <c r="BA193">
        <v>6451.8</v>
      </c>
      <c r="BC193">
        <v>166.3</v>
      </c>
      <c r="BE193">
        <v>85.3</v>
      </c>
      <c r="BG193">
        <v>10985.2</v>
      </c>
      <c r="BI193">
        <v>3241.6</v>
      </c>
      <c r="BK193">
        <v>29186.6</v>
      </c>
      <c r="BM193">
        <v>7772.4</v>
      </c>
      <c r="BO193">
        <v>61795.5</v>
      </c>
      <c r="BQ193">
        <v>1022</v>
      </c>
      <c r="BS193">
        <v>4472.7</v>
      </c>
      <c r="BU193">
        <v>10398.299999999999</v>
      </c>
      <c r="BW193">
        <v>1042.5999999999999</v>
      </c>
      <c r="BY193">
        <v>3600.7</v>
      </c>
      <c r="CA193">
        <v>975.9</v>
      </c>
      <c r="CC193">
        <v>48.8</v>
      </c>
      <c r="CE193">
        <v>41.3</v>
      </c>
      <c r="CG193">
        <v>6515.9</v>
      </c>
      <c r="CI193">
        <v>2514.1999999999998</v>
      </c>
      <c r="CK193">
        <v>12546.3</v>
      </c>
      <c r="CM193">
        <v>97</v>
      </c>
      <c r="CO193">
        <v>327.10000000000002</v>
      </c>
      <c r="CQ193">
        <v>1954.9</v>
      </c>
      <c r="CS193">
        <v>42770.9</v>
      </c>
      <c r="CU193">
        <v>3332.8</v>
      </c>
      <c r="CW193">
        <v>1381.1</v>
      </c>
      <c r="CY193">
        <v>986.9</v>
      </c>
      <c r="DA193">
        <v>65741.600000000006</v>
      </c>
      <c r="DC193">
        <v>6.3</v>
      </c>
      <c r="DE193">
        <v>64.3</v>
      </c>
      <c r="DG193">
        <v>15.1</v>
      </c>
      <c r="DI193">
        <v>43.6</v>
      </c>
      <c r="DK193">
        <v>25.1</v>
      </c>
      <c r="DM193">
        <v>490.2</v>
      </c>
      <c r="DO193">
        <v>682.4</v>
      </c>
      <c r="DQ193">
        <v>412.9</v>
      </c>
    </row>
    <row r="194" spans="1:121" x14ac:dyDescent="0.2">
      <c r="D194" t="s">
        <v>63</v>
      </c>
      <c r="G194">
        <v>7.8659999999999994E-2</v>
      </c>
      <c r="H194" t="s">
        <v>75</v>
      </c>
      <c r="I194">
        <v>1.6060000000000001E-2</v>
      </c>
      <c r="J194" t="s">
        <v>75</v>
      </c>
      <c r="K194">
        <v>0.89844999999999997</v>
      </c>
      <c r="L194" t="s">
        <v>75</v>
      </c>
      <c r="M194">
        <v>6.8919999999999995E-2</v>
      </c>
      <c r="N194" t="s">
        <v>75</v>
      </c>
      <c r="O194">
        <v>3.9699999999999996E-3</v>
      </c>
      <c r="P194" t="s">
        <v>75</v>
      </c>
      <c r="Q194">
        <v>0.16786999999999999</v>
      </c>
      <c r="R194" t="s">
        <v>75</v>
      </c>
      <c r="S194">
        <v>7.9000000000000001E-4</v>
      </c>
      <c r="T194" t="s">
        <v>75</v>
      </c>
      <c r="U194">
        <v>1.3180000000000001E-2</v>
      </c>
      <c r="V194" t="s">
        <v>75</v>
      </c>
      <c r="W194">
        <v>0.59167999999999998</v>
      </c>
      <c r="X194" t="s">
        <v>75</v>
      </c>
      <c r="Y194">
        <v>0.33596999999999999</v>
      </c>
      <c r="Z194" t="s">
        <v>75</v>
      </c>
      <c r="AB194" t="s">
        <v>76</v>
      </c>
      <c r="AC194">
        <v>5.2687099999999996</v>
      </c>
      <c r="AD194" t="s">
        <v>75</v>
      </c>
      <c r="AE194">
        <v>7.0954199999999998</v>
      </c>
      <c r="AF194" t="s">
        <v>75</v>
      </c>
      <c r="AG194">
        <v>1.9769999999999999E-2</v>
      </c>
      <c r="AH194" t="s">
        <v>75</v>
      </c>
      <c r="AI194">
        <v>0.75302000000000002</v>
      </c>
      <c r="AJ194" t="s">
        <v>75</v>
      </c>
      <c r="AK194">
        <v>-4.8000000000000001E-4</v>
      </c>
      <c r="AL194" t="s">
        <v>75</v>
      </c>
      <c r="AM194">
        <v>-3.0100000000000001E-3</v>
      </c>
      <c r="AN194" t="s">
        <v>75</v>
      </c>
      <c r="AO194">
        <v>2.9199999999999999E-3</v>
      </c>
      <c r="AP194" t="s">
        <v>75</v>
      </c>
      <c r="AQ194">
        <v>1.0000000000000001E-5</v>
      </c>
      <c r="AR194" t="s">
        <v>75</v>
      </c>
      <c r="AS194">
        <v>1.1199999999999999E-3</v>
      </c>
      <c r="AT194" t="s">
        <v>75</v>
      </c>
      <c r="AU194">
        <v>1.5200000000000001E-3</v>
      </c>
      <c r="AV194" t="s">
        <v>75</v>
      </c>
      <c r="AW194">
        <v>-3.3E-4</v>
      </c>
      <c r="AX194" t="s">
        <v>75</v>
      </c>
      <c r="AY194">
        <v>2.6849999999999999E-2</v>
      </c>
      <c r="AZ194" t="s">
        <v>75</v>
      </c>
      <c r="BC194">
        <v>-2.0491100000000002</v>
      </c>
      <c r="BD194" t="s">
        <v>75</v>
      </c>
      <c r="BE194">
        <v>2.8420000000000001E-2</v>
      </c>
      <c r="BF194" t="s">
        <v>75</v>
      </c>
      <c r="BG194">
        <v>3.21902</v>
      </c>
      <c r="BH194" t="s">
        <v>75</v>
      </c>
      <c r="BI194">
        <v>3.19739</v>
      </c>
      <c r="BJ194" t="s">
        <v>75</v>
      </c>
      <c r="BK194">
        <v>3.3377699999999999</v>
      </c>
      <c r="BL194" t="s">
        <v>75</v>
      </c>
      <c r="BM194">
        <v>0.47605999999999998</v>
      </c>
      <c r="BN194" t="s">
        <v>75</v>
      </c>
      <c r="BO194">
        <v>125.14086</v>
      </c>
      <c r="BP194" t="s">
        <v>75</v>
      </c>
      <c r="BQ194">
        <v>1.65544</v>
      </c>
      <c r="BR194" t="s">
        <v>75</v>
      </c>
      <c r="BS194">
        <v>6.1338999999999997</v>
      </c>
      <c r="BT194" t="s">
        <v>75</v>
      </c>
      <c r="BU194">
        <v>39.513030000000001</v>
      </c>
      <c r="BV194" t="s">
        <v>75</v>
      </c>
      <c r="BW194">
        <v>15.305059999999999</v>
      </c>
      <c r="BX194" t="s">
        <v>75</v>
      </c>
      <c r="BY194">
        <v>52.856960000000001</v>
      </c>
      <c r="BZ194" t="s">
        <v>75</v>
      </c>
      <c r="CA194">
        <v>11.8527</v>
      </c>
      <c r="CB194" t="s">
        <v>75</v>
      </c>
      <c r="CC194">
        <v>1.8859999999999998E-2</v>
      </c>
      <c r="CD194" t="s">
        <v>75</v>
      </c>
      <c r="CE194">
        <v>9.7300000000000008E-3</v>
      </c>
      <c r="CF194" t="s">
        <v>75</v>
      </c>
      <c r="CG194">
        <v>3.2415600000000002</v>
      </c>
      <c r="CH194" t="s">
        <v>75</v>
      </c>
      <c r="CI194">
        <v>1.2291399999999999</v>
      </c>
      <c r="CJ194" t="s">
        <v>75</v>
      </c>
      <c r="CK194">
        <v>7.1926199999999998</v>
      </c>
      <c r="CL194" t="s">
        <v>75</v>
      </c>
      <c r="CM194">
        <v>5.4140000000000001E-2</v>
      </c>
      <c r="CN194" t="s">
        <v>75</v>
      </c>
      <c r="CO194">
        <v>0.64912000000000003</v>
      </c>
      <c r="CP194" t="s">
        <v>75</v>
      </c>
      <c r="CQ194">
        <v>3.8177599999999998</v>
      </c>
      <c r="CR194" t="s">
        <v>75</v>
      </c>
      <c r="CS194">
        <v>660.61032999999998</v>
      </c>
      <c r="CT194" t="s">
        <v>75</v>
      </c>
      <c r="CV194" t="s">
        <v>76</v>
      </c>
      <c r="CW194">
        <v>5.4474</v>
      </c>
      <c r="CX194" t="s">
        <v>75</v>
      </c>
      <c r="DA194">
        <v>303.00089000000003</v>
      </c>
      <c r="DB194" t="s">
        <v>75</v>
      </c>
      <c r="DC194">
        <v>4.7940000000000003E-2</v>
      </c>
      <c r="DD194" t="s">
        <v>75</v>
      </c>
      <c r="DE194">
        <v>1.8300099999999999</v>
      </c>
      <c r="DF194" t="s">
        <v>75</v>
      </c>
      <c r="DG194">
        <v>0.26194000000000001</v>
      </c>
      <c r="DH194" t="s">
        <v>75</v>
      </c>
      <c r="DI194">
        <v>1.65604</v>
      </c>
      <c r="DJ194" t="s">
        <v>75</v>
      </c>
      <c r="DL194" t="s">
        <v>76</v>
      </c>
      <c r="DN194" t="s">
        <v>76</v>
      </c>
      <c r="DO194">
        <v>5.5663200000000002</v>
      </c>
      <c r="DP194" t="s">
        <v>75</v>
      </c>
    </row>
    <row r="195" spans="1:121" x14ac:dyDescent="0.2">
      <c r="D195" t="s">
        <v>64</v>
      </c>
      <c r="G195">
        <v>1.67E-3</v>
      </c>
      <c r="H195" t="s">
        <v>75</v>
      </c>
      <c r="I195">
        <v>9.3000000000000005E-4</v>
      </c>
      <c r="J195" t="s">
        <v>75</v>
      </c>
      <c r="K195">
        <v>7.9799999999999992E-3</v>
      </c>
      <c r="L195" t="s">
        <v>75</v>
      </c>
      <c r="M195">
        <v>1.49E-3</v>
      </c>
      <c r="N195" t="s">
        <v>75</v>
      </c>
      <c r="O195">
        <v>1.0000000000000001E-5</v>
      </c>
      <c r="P195" t="s">
        <v>75</v>
      </c>
      <c r="Q195">
        <v>1.57E-3</v>
      </c>
      <c r="R195" t="s">
        <v>75</v>
      </c>
      <c r="S195">
        <v>4.0000000000000003E-5</v>
      </c>
      <c r="T195" t="s">
        <v>75</v>
      </c>
      <c r="U195">
        <v>7.3999999999999999E-4</v>
      </c>
      <c r="V195" t="s">
        <v>75</v>
      </c>
      <c r="W195">
        <v>1.025E-2</v>
      </c>
      <c r="X195" t="s">
        <v>75</v>
      </c>
      <c r="Y195">
        <v>4.1700000000000001E-3</v>
      </c>
      <c r="Z195" t="s">
        <v>75</v>
      </c>
      <c r="AC195">
        <v>3.9100000000000003E-2</v>
      </c>
      <c r="AD195" t="s">
        <v>75</v>
      </c>
      <c r="AE195">
        <v>7.7660000000000007E-2</v>
      </c>
      <c r="AF195" t="s">
        <v>75</v>
      </c>
      <c r="AG195">
        <v>2.7999999999999998E-4</v>
      </c>
      <c r="AH195" t="s">
        <v>75</v>
      </c>
      <c r="AI195">
        <v>4.2399999999999998E-3</v>
      </c>
      <c r="AJ195" t="s">
        <v>75</v>
      </c>
      <c r="AK195">
        <v>1.1E-4</v>
      </c>
      <c r="AL195" t="s">
        <v>75</v>
      </c>
      <c r="AM195">
        <v>2.1000000000000001E-4</v>
      </c>
      <c r="AN195" t="s">
        <v>75</v>
      </c>
      <c r="AO195">
        <v>1.3999999999999999E-4</v>
      </c>
      <c r="AP195" t="s">
        <v>75</v>
      </c>
      <c r="AQ195">
        <v>1.2999999999999999E-4</v>
      </c>
      <c r="AR195" t="s">
        <v>75</v>
      </c>
      <c r="AS195">
        <v>2.7999999999999998E-4</v>
      </c>
      <c r="AT195" t="s">
        <v>75</v>
      </c>
      <c r="AU195">
        <v>1.0000000000000001E-5</v>
      </c>
      <c r="AV195" t="s">
        <v>75</v>
      </c>
      <c r="AW195">
        <v>6.9999999999999994E-5</v>
      </c>
      <c r="AX195" t="s">
        <v>75</v>
      </c>
      <c r="AY195">
        <v>9.2000000000000003E-4</v>
      </c>
      <c r="AZ195" t="s">
        <v>75</v>
      </c>
      <c r="BC195">
        <v>5.6999999999999998E-4</v>
      </c>
      <c r="BD195" t="s">
        <v>75</v>
      </c>
      <c r="BE195">
        <v>2.7E-4</v>
      </c>
      <c r="BF195" t="s">
        <v>75</v>
      </c>
      <c r="BG195">
        <v>5.9389999999999998E-2</v>
      </c>
      <c r="BH195" t="s">
        <v>75</v>
      </c>
      <c r="BI195">
        <v>2.5260000000000001E-2</v>
      </c>
      <c r="BJ195" t="s">
        <v>75</v>
      </c>
      <c r="BK195">
        <v>5.5820000000000002E-2</v>
      </c>
      <c r="BL195" t="s">
        <v>75</v>
      </c>
      <c r="BM195">
        <v>6.4900000000000001E-3</v>
      </c>
      <c r="BN195" t="s">
        <v>75</v>
      </c>
      <c r="BO195">
        <v>3.4855800000000001</v>
      </c>
      <c r="BP195" t="s">
        <v>75</v>
      </c>
      <c r="BQ195">
        <v>6.3990000000000005E-2</v>
      </c>
      <c r="BR195" t="s">
        <v>75</v>
      </c>
      <c r="BS195">
        <v>0.21115999999999999</v>
      </c>
      <c r="BT195" t="s">
        <v>75</v>
      </c>
      <c r="BU195">
        <v>1.32928</v>
      </c>
      <c r="BV195" t="s">
        <v>75</v>
      </c>
      <c r="BW195">
        <v>0.65215999999999996</v>
      </c>
      <c r="BX195" t="s">
        <v>75</v>
      </c>
      <c r="BY195">
        <v>1.8204899999999999</v>
      </c>
      <c r="BZ195" t="s">
        <v>75</v>
      </c>
      <c r="CA195">
        <v>0.31864999999999999</v>
      </c>
      <c r="CB195" t="s">
        <v>75</v>
      </c>
      <c r="CC195">
        <v>9.9699999999999997E-3</v>
      </c>
      <c r="CD195" t="s">
        <v>75</v>
      </c>
      <c r="CE195">
        <v>7.5000000000000002E-4</v>
      </c>
      <c r="CF195" t="s">
        <v>75</v>
      </c>
      <c r="CG195">
        <v>6.6589999999999996E-2</v>
      </c>
      <c r="CH195" t="s">
        <v>75</v>
      </c>
      <c r="CI195">
        <v>1.5709999999999998E-2</v>
      </c>
      <c r="CJ195" t="s">
        <v>75</v>
      </c>
      <c r="CK195">
        <v>5.8590000000000003E-2</v>
      </c>
      <c r="CL195" t="s">
        <v>75</v>
      </c>
      <c r="CM195">
        <v>1.16E-3</v>
      </c>
      <c r="CN195" t="s">
        <v>75</v>
      </c>
      <c r="CO195">
        <v>9.3799999999999994E-3</v>
      </c>
      <c r="CP195" t="s">
        <v>75</v>
      </c>
      <c r="CQ195">
        <v>2.9229999999999999E-2</v>
      </c>
      <c r="CR195" t="s">
        <v>75</v>
      </c>
      <c r="CS195">
        <v>1.3427800000000001</v>
      </c>
      <c r="CT195" t="s">
        <v>75</v>
      </c>
      <c r="CW195">
        <v>0.10585</v>
      </c>
      <c r="CX195" t="s">
        <v>75</v>
      </c>
      <c r="DA195">
        <v>10.786060000000001</v>
      </c>
      <c r="DB195" t="s">
        <v>75</v>
      </c>
      <c r="DC195">
        <v>3.2000000000000002E-3</v>
      </c>
      <c r="DD195" t="s">
        <v>75</v>
      </c>
      <c r="DE195">
        <v>4.8239999999999998E-2</v>
      </c>
      <c r="DF195" t="s">
        <v>75</v>
      </c>
      <c r="DG195">
        <v>6.6570000000000004E-2</v>
      </c>
      <c r="DH195" t="s">
        <v>75</v>
      </c>
      <c r="DI195">
        <v>8.9520000000000002E-2</v>
      </c>
      <c r="DJ195" t="s">
        <v>75</v>
      </c>
      <c r="DO195">
        <v>0.12811</v>
      </c>
      <c r="DP195" t="s">
        <v>75</v>
      </c>
    </row>
    <row r="196" spans="1:121" x14ac:dyDescent="0.2">
      <c r="D196" t="s">
        <v>65</v>
      </c>
      <c r="G196" t="s">
        <v>66</v>
      </c>
      <c r="I196" t="s">
        <v>66</v>
      </c>
      <c r="K196" t="s">
        <v>66</v>
      </c>
      <c r="M196" t="s">
        <v>66</v>
      </c>
      <c r="O196" t="s">
        <v>66</v>
      </c>
      <c r="Q196" t="s">
        <v>66</v>
      </c>
      <c r="S196" t="s">
        <v>66</v>
      </c>
      <c r="U196" t="s">
        <v>66</v>
      </c>
      <c r="W196" t="s">
        <v>66</v>
      </c>
      <c r="Y196" t="s">
        <v>66</v>
      </c>
      <c r="AA196" t="s">
        <v>66</v>
      </c>
      <c r="AC196" t="s">
        <v>66</v>
      </c>
      <c r="AE196" t="s">
        <v>66</v>
      </c>
      <c r="AG196" t="s">
        <v>66</v>
      </c>
      <c r="AI196" t="s">
        <v>66</v>
      </c>
      <c r="AK196" t="s">
        <v>66</v>
      </c>
      <c r="AM196" t="s">
        <v>66</v>
      </c>
      <c r="AO196" t="s">
        <v>66</v>
      </c>
      <c r="AQ196" t="s">
        <v>66</v>
      </c>
      <c r="AS196" t="s">
        <v>66</v>
      </c>
      <c r="AU196" t="s">
        <v>66</v>
      </c>
      <c r="AW196" t="s">
        <v>66</v>
      </c>
      <c r="AY196" t="s">
        <v>66</v>
      </c>
      <c r="BA196" t="s">
        <v>66</v>
      </c>
      <c r="BC196" t="s">
        <v>66</v>
      </c>
      <c r="BE196" t="s">
        <v>66</v>
      </c>
      <c r="BG196" t="s">
        <v>66</v>
      </c>
      <c r="BI196" t="s">
        <v>66</v>
      </c>
      <c r="BK196" t="s">
        <v>66</v>
      </c>
      <c r="BM196" t="s">
        <v>66</v>
      </c>
      <c r="BO196" t="s">
        <v>66</v>
      </c>
      <c r="BQ196" t="s">
        <v>66</v>
      </c>
      <c r="BS196" t="s">
        <v>66</v>
      </c>
      <c r="BU196" t="s">
        <v>66</v>
      </c>
      <c r="BW196" t="s">
        <v>66</v>
      </c>
      <c r="BY196" t="s">
        <v>66</v>
      </c>
      <c r="CA196" t="s">
        <v>66</v>
      </c>
      <c r="CC196" t="s">
        <v>66</v>
      </c>
      <c r="CE196" t="s">
        <v>66</v>
      </c>
      <c r="CG196" t="s">
        <v>66</v>
      </c>
      <c r="CI196" t="s">
        <v>66</v>
      </c>
      <c r="CK196" t="s">
        <v>66</v>
      </c>
      <c r="CM196" t="s">
        <v>66</v>
      </c>
      <c r="CO196" t="s">
        <v>66</v>
      </c>
      <c r="CQ196" t="s">
        <v>66</v>
      </c>
      <c r="CS196" t="s">
        <v>66</v>
      </c>
      <c r="CU196" t="s">
        <v>66</v>
      </c>
      <c r="CW196" t="s">
        <v>66</v>
      </c>
      <c r="CY196" t="s">
        <v>66</v>
      </c>
      <c r="DA196" t="s">
        <v>66</v>
      </c>
      <c r="DC196" t="s">
        <v>66</v>
      </c>
      <c r="DE196" t="s">
        <v>66</v>
      </c>
      <c r="DG196" t="s">
        <v>66</v>
      </c>
      <c r="DI196" t="s">
        <v>66</v>
      </c>
      <c r="DK196" t="s">
        <v>66</v>
      </c>
      <c r="DM196" t="s">
        <v>66</v>
      </c>
      <c r="DO196" t="s">
        <v>66</v>
      </c>
      <c r="DQ196" t="s">
        <v>66</v>
      </c>
    </row>
    <row r="197" spans="1:121" x14ac:dyDescent="0.2">
      <c r="A197" t="s">
        <v>609</v>
      </c>
      <c r="D197" t="s">
        <v>60</v>
      </c>
      <c r="E197" t="s">
        <v>61</v>
      </c>
      <c r="G197">
        <v>10688</v>
      </c>
      <c r="I197">
        <v>760.1</v>
      </c>
      <c r="K197">
        <v>115367.4</v>
      </c>
      <c r="M197">
        <v>84993.600000000006</v>
      </c>
      <c r="O197">
        <v>2231.1</v>
      </c>
      <c r="Q197">
        <v>13159.2</v>
      </c>
      <c r="S197">
        <v>1557.3</v>
      </c>
      <c r="U197">
        <v>1803.4</v>
      </c>
      <c r="W197">
        <v>48230.5</v>
      </c>
      <c r="Y197">
        <v>739.9</v>
      </c>
      <c r="AA197">
        <v>3098120.3</v>
      </c>
      <c r="AC197">
        <v>120070.39999999999</v>
      </c>
      <c r="AE197">
        <v>703793.9</v>
      </c>
      <c r="AG197">
        <v>11199.7</v>
      </c>
      <c r="AI197">
        <v>48843.6</v>
      </c>
      <c r="AK197">
        <v>3476.2</v>
      </c>
      <c r="AM197">
        <v>5671.7</v>
      </c>
      <c r="AO197">
        <v>1103.8</v>
      </c>
      <c r="AQ197">
        <v>237.5</v>
      </c>
      <c r="AS197">
        <v>567.79999999999995</v>
      </c>
      <c r="AU197">
        <v>320.8</v>
      </c>
      <c r="AW197">
        <v>309.39999999999998</v>
      </c>
      <c r="AY197">
        <v>14983.3</v>
      </c>
      <c r="BA197">
        <v>680710.6</v>
      </c>
      <c r="BC197">
        <v>3775.6</v>
      </c>
      <c r="BE197">
        <v>2454.1</v>
      </c>
      <c r="BG197">
        <v>207599.6</v>
      </c>
      <c r="BI197">
        <v>173185</v>
      </c>
      <c r="BK197">
        <v>435689.6</v>
      </c>
      <c r="BM197">
        <v>380161.7</v>
      </c>
      <c r="BO197">
        <v>3494435.6</v>
      </c>
      <c r="BQ197">
        <v>55313.7</v>
      </c>
      <c r="BS197">
        <v>311115.2</v>
      </c>
      <c r="BU197">
        <v>684221.8</v>
      </c>
      <c r="BW197">
        <v>13501.3</v>
      </c>
      <c r="BY197">
        <v>97007.1</v>
      </c>
      <c r="CA197">
        <v>39953.699999999997</v>
      </c>
      <c r="CC197">
        <v>313</v>
      </c>
      <c r="CE197">
        <v>988.5</v>
      </c>
      <c r="CG197">
        <v>177713</v>
      </c>
      <c r="CI197">
        <v>69295.899999999994</v>
      </c>
      <c r="CK197">
        <v>550178.69999999995</v>
      </c>
      <c r="CM197">
        <v>1758.7</v>
      </c>
      <c r="CO197">
        <v>18809.400000000001</v>
      </c>
      <c r="CQ197">
        <v>157372.6</v>
      </c>
      <c r="CS197">
        <v>80419.600000000006</v>
      </c>
      <c r="CU197">
        <v>276128</v>
      </c>
      <c r="CW197">
        <v>12430</v>
      </c>
      <c r="CY197">
        <v>60242.9</v>
      </c>
      <c r="DA197">
        <v>940049</v>
      </c>
      <c r="DC197">
        <v>5</v>
      </c>
      <c r="DE197">
        <v>1151.5</v>
      </c>
      <c r="DG197">
        <v>61.3</v>
      </c>
      <c r="DI197">
        <v>1936.2</v>
      </c>
      <c r="DK197">
        <v>888.1</v>
      </c>
      <c r="DM197">
        <v>77574.100000000006</v>
      </c>
      <c r="DO197">
        <v>3441.7</v>
      </c>
      <c r="DQ197">
        <v>16966.7</v>
      </c>
    </row>
    <row r="198" spans="1:121" x14ac:dyDescent="0.2">
      <c r="D198" t="s">
        <v>62</v>
      </c>
      <c r="E198" t="s">
        <v>61</v>
      </c>
      <c r="G198">
        <v>520.29999999999995</v>
      </c>
      <c r="I198">
        <v>78.5</v>
      </c>
      <c r="K198">
        <v>688.7</v>
      </c>
      <c r="M198">
        <v>693.2</v>
      </c>
      <c r="O198">
        <v>165.3</v>
      </c>
      <c r="Q198">
        <v>246.4</v>
      </c>
      <c r="S198">
        <v>148.6</v>
      </c>
      <c r="U198">
        <v>107.2</v>
      </c>
      <c r="W198">
        <v>144.6</v>
      </c>
      <c r="Y198">
        <v>55.3</v>
      </c>
      <c r="AA198">
        <v>13769.6</v>
      </c>
      <c r="AC198">
        <v>1458.7</v>
      </c>
      <c r="AE198">
        <v>981.8</v>
      </c>
      <c r="AG198">
        <v>208.2</v>
      </c>
      <c r="AI198">
        <v>482.5</v>
      </c>
      <c r="AK198">
        <v>166.3</v>
      </c>
      <c r="AM198">
        <v>173.9</v>
      </c>
      <c r="AO198">
        <v>88.1</v>
      </c>
      <c r="AQ198">
        <v>29.8</v>
      </c>
      <c r="AS198">
        <v>21.3</v>
      </c>
      <c r="AU198">
        <v>21.3</v>
      </c>
      <c r="AW198">
        <v>8.3000000000000007</v>
      </c>
      <c r="AY198">
        <v>462.7</v>
      </c>
      <c r="BA198">
        <v>10431.4</v>
      </c>
      <c r="BC198">
        <v>84.2</v>
      </c>
      <c r="BE198">
        <v>16</v>
      </c>
      <c r="BG198">
        <v>4119.3</v>
      </c>
      <c r="BI198">
        <v>1341.5</v>
      </c>
      <c r="BK198">
        <v>6635.9</v>
      </c>
      <c r="BM198">
        <v>4942.7</v>
      </c>
      <c r="BO198">
        <v>63066.9</v>
      </c>
      <c r="BQ198">
        <v>1579</v>
      </c>
      <c r="BS198">
        <v>7291.6</v>
      </c>
      <c r="BU198">
        <v>17968.400000000001</v>
      </c>
      <c r="BW198">
        <v>409.3</v>
      </c>
      <c r="BY198">
        <v>2346.6</v>
      </c>
      <c r="CA198">
        <v>938.7</v>
      </c>
      <c r="CC198">
        <v>17.899999999999999</v>
      </c>
      <c r="CE198">
        <v>49.8</v>
      </c>
      <c r="CG198">
        <v>5059.3999999999996</v>
      </c>
      <c r="CI198">
        <v>492</v>
      </c>
      <c r="CK198">
        <v>7753.8</v>
      </c>
      <c r="CM198">
        <v>136.69999999999999</v>
      </c>
      <c r="CO198">
        <v>662</v>
      </c>
      <c r="CQ198">
        <v>3014</v>
      </c>
      <c r="CS198">
        <v>2251.6999999999998</v>
      </c>
      <c r="CU198">
        <v>5496.7</v>
      </c>
      <c r="CW198">
        <v>296.10000000000002</v>
      </c>
      <c r="CY198">
        <v>1219.4000000000001</v>
      </c>
      <c r="DA198">
        <v>8305</v>
      </c>
      <c r="DC198">
        <v>7.3</v>
      </c>
      <c r="DE198">
        <v>52.2</v>
      </c>
      <c r="DG198">
        <v>8.1999999999999993</v>
      </c>
      <c r="DI198">
        <v>147.1</v>
      </c>
      <c r="DK198">
        <v>125.3</v>
      </c>
      <c r="DM198">
        <v>1755.7</v>
      </c>
      <c r="DO198">
        <v>9.5</v>
      </c>
      <c r="DQ198">
        <v>171.9</v>
      </c>
    </row>
    <row r="199" spans="1:121" x14ac:dyDescent="0.2">
      <c r="D199" t="s">
        <v>63</v>
      </c>
      <c r="G199">
        <v>5.0160000000000003E-2</v>
      </c>
      <c r="H199" t="s">
        <v>75</v>
      </c>
      <c r="I199">
        <v>1.3820000000000001E-2</v>
      </c>
      <c r="J199" t="s">
        <v>75</v>
      </c>
      <c r="K199">
        <v>0.14266000000000001</v>
      </c>
      <c r="L199" t="s">
        <v>75</v>
      </c>
      <c r="M199">
        <v>5.1799999999999999E-2</v>
      </c>
      <c r="N199" t="s">
        <v>75</v>
      </c>
      <c r="O199">
        <v>4.7800000000000004E-3</v>
      </c>
      <c r="P199" t="s">
        <v>75</v>
      </c>
      <c r="Q199">
        <v>0.10561</v>
      </c>
      <c r="R199" t="s">
        <v>75</v>
      </c>
      <c r="S199">
        <v>6.7000000000000002E-4</v>
      </c>
      <c r="T199" t="s">
        <v>75</v>
      </c>
      <c r="U199">
        <v>1.308E-2</v>
      </c>
      <c r="V199" t="s">
        <v>75</v>
      </c>
      <c r="W199">
        <v>0.10544000000000001</v>
      </c>
      <c r="X199" t="s">
        <v>75</v>
      </c>
      <c r="Y199">
        <v>1.095E-2</v>
      </c>
      <c r="Z199" t="s">
        <v>75</v>
      </c>
      <c r="AB199" t="s">
        <v>76</v>
      </c>
      <c r="AC199">
        <v>0.4672</v>
      </c>
      <c r="AD199" t="s">
        <v>75</v>
      </c>
      <c r="AE199">
        <v>2.6646700000000001</v>
      </c>
      <c r="AF199" t="s">
        <v>75</v>
      </c>
      <c r="AG199">
        <v>-7.6E-3</v>
      </c>
      <c r="AH199" t="s">
        <v>75</v>
      </c>
      <c r="AI199">
        <v>0.30746000000000001</v>
      </c>
      <c r="AJ199" t="s">
        <v>75</v>
      </c>
      <c r="AK199">
        <v>2.3000000000000001E-4</v>
      </c>
      <c r="AL199" t="s">
        <v>75</v>
      </c>
      <c r="AM199">
        <v>-1.4400000000000001E-3</v>
      </c>
      <c r="AN199" t="s">
        <v>75</v>
      </c>
      <c r="AO199">
        <v>5.4400000000000004E-3</v>
      </c>
      <c r="AP199" t="s">
        <v>75</v>
      </c>
      <c r="AQ199">
        <v>6.0000000000000002E-5</v>
      </c>
      <c r="AR199" t="s">
        <v>75</v>
      </c>
      <c r="AS199">
        <v>1.48E-3</v>
      </c>
      <c r="AT199" t="s">
        <v>75</v>
      </c>
      <c r="AU199">
        <v>1.56E-3</v>
      </c>
      <c r="AV199" t="s">
        <v>75</v>
      </c>
      <c r="AW199">
        <v>-6.0000000000000002E-5</v>
      </c>
      <c r="AX199" t="s">
        <v>75</v>
      </c>
      <c r="AY199">
        <v>3.78E-2</v>
      </c>
      <c r="AZ199" t="s">
        <v>75</v>
      </c>
      <c r="BC199">
        <v>-2.0486499999999999</v>
      </c>
      <c r="BD199" t="s">
        <v>75</v>
      </c>
      <c r="BE199">
        <v>4.8999999999999998E-3</v>
      </c>
      <c r="BF199" t="s">
        <v>75</v>
      </c>
      <c r="BG199">
        <v>0.55581999999999998</v>
      </c>
      <c r="BH199" t="s">
        <v>75</v>
      </c>
      <c r="BI199">
        <v>0.55405000000000004</v>
      </c>
      <c r="BJ199" t="s">
        <v>75</v>
      </c>
      <c r="BK199">
        <v>0.55057999999999996</v>
      </c>
      <c r="BL199" t="s">
        <v>75</v>
      </c>
      <c r="BM199">
        <v>0.34592000000000001</v>
      </c>
      <c r="BN199" t="s">
        <v>75</v>
      </c>
      <c r="BO199">
        <v>74.656260000000003</v>
      </c>
      <c r="BP199" t="s">
        <v>75</v>
      </c>
      <c r="BQ199">
        <v>1.4342900000000001</v>
      </c>
      <c r="BR199" t="s">
        <v>75</v>
      </c>
      <c r="BS199">
        <v>6.4454200000000004</v>
      </c>
      <c r="BT199" t="s">
        <v>75</v>
      </c>
      <c r="BU199">
        <v>7.5530999999999997</v>
      </c>
      <c r="BV199" t="s">
        <v>75</v>
      </c>
      <c r="BW199">
        <v>5.4235100000000003</v>
      </c>
      <c r="BX199" t="s">
        <v>75</v>
      </c>
      <c r="BY199">
        <v>18.854970000000002</v>
      </c>
      <c r="BZ199" t="s">
        <v>75</v>
      </c>
      <c r="CA199">
        <v>17.591529999999999</v>
      </c>
      <c r="CB199" t="s">
        <v>75</v>
      </c>
      <c r="CC199">
        <v>5.1869999999999999E-2</v>
      </c>
      <c r="CD199" t="s">
        <v>75</v>
      </c>
      <c r="CE199">
        <v>1.2930000000000001E-2</v>
      </c>
      <c r="CF199" t="s">
        <v>75</v>
      </c>
      <c r="CG199">
        <v>2.9823200000000001</v>
      </c>
      <c r="CH199" t="s">
        <v>75</v>
      </c>
      <c r="CI199">
        <v>0.86641999999999997</v>
      </c>
      <c r="CJ199" t="s">
        <v>75</v>
      </c>
      <c r="CK199">
        <v>7.3838100000000004</v>
      </c>
      <c r="CL199" t="s">
        <v>75</v>
      </c>
      <c r="CM199">
        <v>1.7729999999999999E-2</v>
      </c>
      <c r="CN199" t="s">
        <v>75</v>
      </c>
      <c r="CO199">
        <v>1.0637700000000001</v>
      </c>
      <c r="CP199" t="s">
        <v>75</v>
      </c>
      <c r="CQ199">
        <v>4.6865300000000003</v>
      </c>
      <c r="CR199" t="s">
        <v>75</v>
      </c>
      <c r="CS199">
        <v>20.734539999999999</v>
      </c>
      <c r="CT199" t="s">
        <v>75</v>
      </c>
      <c r="CV199" t="s">
        <v>76</v>
      </c>
      <c r="CW199">
        <v>0.43124000000000001</v>
      </c>
      <c r="CX199" t="s">
        <v>75</v>
      </c>
      <c r="DA199">
        <v>53.627850000000002</v>
      </c>
      <c r="DB199" t="s">
        <v>75</v>
      </c>
      <c r="DC199">
        <v>1.0300000000000001E-3</v>
      </c>
      <c r="DD199" t="s">
        <v>75</v>
      </c>
      <c r="DE199">
        <v>0.48237999999999998</v>
      </c>
      <c r="DF199" t="s">
        <v>75</v>
      </c>
      <c r="DG199">
        <v>0.24792</v>
      </c>
      <c r="DH199" t="s">
        <v>75</v>
      </c>
      <c r="DI199">
        <v>2.8221799999999999</v>
      </c>
      <c r="DJ199" t="s">
        <v>75</v>
      </c>
      <c r="DL199" t="s">
        <v>76</v>
      </c>
      <c r="DN199" t="s">
        <v>76</v>
      </c>
      <c r="DO199">
        <v>0.48113</v>
      </c>
      <c r="DP199" t="s">
        <v>75</v>
      </c>
    </row>
    <row r="200" spans="1:121" x14ac:dyDescent="0.2">
      <c r="D200" t="s">
        <v>64</v>
      </c>
      <c r="G200">
        <v>2.82E-3</v>
      </c>
      <c r="H200" t="s">
        <v>75</v>
      </c>
      <c r="I200">
        <v>3.0799999999999998E-3</v>
      </c>
      <c r="J200" t="s">
        <v>75</v>
      </c>
      <c r="K200">
        <v>1.41E-3</v>
      </c>
      <c r="L200" t="s">
        <v>75</v>
      </c>
      <c r="M200">
        <v>1.6800000000000001E-3</v>
      </c>
      <c r="N200" t="s">
        <v>75</v>
      </c>
      <c r="O200">
        <v>1.4999999999999999E-4</v>
      </c>
      <c r="P200" t="s">
        <v>75</v>
      </c>
      <c r="Q200">
        <v>7.3999999999999999E-4</v>
      </c>
      <c r="R200" t="s">
        <v>75</v>
      </c>
      <c r="S200">
        <v>1.4999999999999999E-4</v>
      </c>
      <c r="T200" t="s">
        <v>75</v>
      </c>
      <c r="U200">
        <v>4.0000000000000002E-4</v>
      </c>
      <c r="V200" t="s">
        <v>75</v>
      </c>
      <c r="W200">
        <v>1.81E-3</v>
      </c>
      <c r="X200" t="s">
        <v>75</v>
      </c>
      <c r="Y200">
        <v>9.5E-4</v>
      </c>
      <c r="Z200" t="s">
        <v>75</v>
      </c>
      <c r="AC200">
        <v>1.145E-2</v>
      </c>
      <c r="AD200" t="s">
        <v>75</v>
      </c>
      <c r="AE200">
        <v>3.9940000000000003E-2</v>
      </c>
      <c r="AF200" t="s">
        <v>75</v>
      </c>
      <c r="AG200">
        <v>2.9E-4</v>
      </c>
      <c r="AH200" t="s">
        <v>75</v>
      </c>
      <c r="AI200">
        <v>2.1299999999999999E-3</v>
      </c>
      <c r="AJ200" t="s">
        <v>75</v>
      </c>
      <c r="AK200">
        <v>8.0000000000000007E-5</v>
      </c>
      <c r="AL200" t="s">
        <v>75</v>
      </c>
      <c r="AM200">
        <v>1E-4</v>
      </c>
      <c r="AN200" t="s">
        <v>75</v>
      </c>
      <c r="AO200">
        <v>2.7E-4</v>
      </c>
      <c r="AP200" t="s">
        <v>75</v>
      </c>
      <c r="AQ200">
        <v>1.3999999999999999E-4</v>
      </c>
      <c r="AR200" t="s">
        <v>75</v>
      </c>
      <c r="AS200">
        <v>9.0000000000000006E-5</v>
      </c>
      <c r="AT200" t="s">
        <v>75</v>
      </c>
      <c r="AU200">
        <v>1.0000000000000001E-5</v>
      </c>
      <c r="AV200" t="s">
        <v>75</v>
      </c>
      <c r="AW200">
        <v>3.0000000000000001E-5</v>
      </c>
      <c r="AX200" t="s">
        <v>75</v>
      </c>
      <c r="AY200">
        <v>1.8699999999999999E-3</v>
      </c>
      <c r="AZ200" t="s">
        <v>75</v>
      </c>
      <c r="BC200">
        <v>4.0000000000000002E-4</v>
      </c>
      <c r="BD200" t="s">
        <v>75</v>
      </c>
      <c r="BE200">
        <v>4.0000000000000003E-5</v>
      </c>
      <c r="BF200" t="s">
        <v>75</v>
      </c>
      <c r="BG200">
        <v>2.078E-2</v>
      </c>
      <c r="BH200" t="s">
        <v>75</v>
      </c>
      <c r="BI200">
        <v>1.098E-2</v>
      </c>
      <c r="BJ200" t="s">
        <v>75</v>
      </c>
      <c r="BK200">
        <v>1.6580000000000001E-2</v>
      </c>
      <c r="BL200" t="s">
        <v>75</v>
      </c>
      <c r="BM200">
        <v>9.3500000000000007E-3</v>
      </c>
      <c r="BN200" t="s">
        <v>75</v>
      </c>
      <c r="BO200">
        <v>2.56691</v>
      </c>
      <c r="BP200" t="s">
        <v>75</v>
      </c>
      <c r="BQ200">
        <v>8.8910000000000003E-2</v>
      </c>
      <c r="BR200" t="s">
        <v>75</v>
      </c>
      <c r="BS200">
        <v>0.29611999999999999</v>
      </c>
      <c r="BT200" t="s">
        <v>75</v>
      </c>
      <c r="BU200">
        <v>1.2902</v>
      </c>
      <c r="BV200" t="s">
        <v>75</v>
      </c>
      <c r="BW200">
        <v>0.26544000000000001</v>
      </c>
      <c r="BX200" t="s">
        <v>75</v>
      </c>
      <c r="BY200">
        <v>1.1171</v>
      </c>
      <c r="BZ200" t="s">
        <v>75</v>
      </c>
      <c r="CA200">
        <v>0.86309000000000002</v>
      </c>
      <c r="CB200" t="s">
        <v>75</v>
      </c>
      <c r="CC200">
        <v>4.3899999999999998E-3</v>
      </c>
      <c r="CD200" t="s">
        <v>75</v>
      </c>
      <c r="CE200">
        <v>7.6000000000000004E-4</v>
      </c>
      <c r="CF200" t="s">
        <v>75</v>
      </c>
      <c r="CG200">
        <v>0.14257</v>
      </c>
      <c r="CH200" t="s">
        <v>75</v>
      </c>
      <c r="CI200">
        <v>2.3910000000000001E-2</v>
      </c>
      <c r="CJ200" t="s">
        <v>75</v>
      </c>
      <c r="CK200">
        <v>0.26257999999999998</v>
      </c>
      <c r="CL200" t="s">
        <v>75</v>
      </c>
      <c r="CM200">
        <v>1.8E-3</v>
      </c>
      <c r="CN200" t="s">
        <v>75</v>
      </c>
      <c r="CO200">
        <v>5.7520000000000002E-2</v>
      </c>
      <c r="CP200" t="s">
        <v>75</v>
      </c>
      <c r="CQ200">
        <v>0.18373</v>
      </c>
      <c r="CR200" t="s">
        <v>75</v>
      </c>
      <c r="CS200">
        <v>0.96433999999999997</v>
      </c>
      <c r="CT200" t="s">
        <v>75</v>
      </c>
      <c r="CW200">
        <v>0.02</v>
      </c>
      <c r="CX200" t="s">
        <v>75</v>
      </c>
      <c r="DA200">
        <v>1.0147299999999999</v>
      </c>
      <c r="DB200" t="s">
        <v>75</v>
      </c>
      <c r="DC200">
        <v>3.0500000000000002E-3</v>
      </c>
      <c r="DD200" t="s">
        <v>75</v>
      </c>
      <c r="DE200">
        <v>1.772E-2</v>
      </c>
      <c r="DF200" t="s">
        <v>75</v>
      </c>
      <c r="DG200">
        <v>4.1829999999999999E-2</v>
      </c>
      <c r="DH200" t="s">
        <v>75</v>
      </c>
      <c r="DI200">
        <v>0.23032</v>
      </c>
      <c r="DJ200" t="s">
        <v>75</v>
      </c>
      <c r="DO200">
        <v>5.3899999999999998E-3</v>
      </c>
      <c r="DP200" t="s">
        <v>75</v>
      </c>
    </row>
    <row r="201" spans="1:121" x14ac:dyDescent="0.2">
      <c r="D201" t="s">
        <v>65</v>
      </c>
      <c r="G201" t="s">
        <v>66</v>
      </c>
      <c r="I201" t="s">
        <v>66</v>
      </c>
      <c r="K201" t="s">
        <v>66</v>
      </c>
      <c r="M201" t="s">
        <v>66</v>
      </c>
      <c r="O201" t="s">
        <v>66</v>
      </c>
      <c r="Q201" t="s">
        <v>66</v>
      </c>
      <c r="S201" t="s">
        <v>66</v>
      </c>
      <c r="U201" t="s">
        <v>66</v>
      </c>
      <c r="W201" t="s">
        <v>66</v>
      </c>
      <c r="Y201" t="s">
        <v>66</v>
      </c>
      <c r="AA201" t="s">
        <v>66</v>
      </c>
      <c r="AC201" t="s">
        <v>66</v>
      </c>
      <c r="AE201" t="s">
        <v>66</v>
      </c>
      <c r="AG201" t="s">
        <v>66</v>
      </c>
      <c r="AI201" t="s">
        <v>66</v>
      </c>
      <c r="AK201" t="s">
        <v>66</v>
      </c>
      <c r="AM201" t="s">
        <v>66</v>
      </c>
      <c r="AO201" t="s">
        <v>66</v>
      </c>
      <c r="AQ201" t="s">
        <v>66</v>
      </c>
      <c r="AS201" t="s">
        <v>66</v>
      </c>
      <c r="AU201" t="s">
        <v>66</v>
      </c>
      <c r="AW201" t="s">
        <v>66</v>
      </c>
      <c r="AY201" t="s">
        <v>66</v>
      </c>
      <c r="BA201" t="s">
        <v>66</v>
      </c>
      <c r="BC201" t="s">
        <v>66</v>
      </c>
      <c r="BE201" t="s">
        <v>66</v>
      </c>
      <c r="BG201" t="s">
        <v>66</v>
      </c>
      <c r="BI201" t="s">
        <v>66</v>
      </c>
      <c r="BK201" t="s">
        <v>66</v>
      </c>
      <c r="BM201" t="s">
        <v>66</v>
      </c>
      <c r="BO201" t="s">
        <v>66</v>
      </c>
      <c r="BQ201" t="s">
        <v>66</v>
      </c>
      <c r="BS201" t="s">
        <v>66</v>
      </c>
      <c r="BU201" t="s">
        <v>66</v>
      </c>
      <c r="BW201" t="s">
        <v>66</v>
      </c>
      <c r="BY201" t="s">
        <v>66</v>
      </c>
      <c r="CA201" t="s">
        <v>66</v>
      </c>
      <c r="CC201" t="s">
        <v>66</v>
      </c>
      <c r="CE201" t="s">
        <v>66</v>
      </c>
      <c r="CG201" t="s">
        <v>66</v>
      </c>
      <c r="CI201" t="s">
        <v>66</v>
      </c>
      <c r="CK201" t="s">
        <v>66</v>
      </c>
      <c r="CM201" t="s">
        <v>66</v>
      </c>
      <c r="CO201" t="s">
        <v>66</v>
      </c>
      <c r="CQ201" t="s">
        <v>66</v>
      </c>
      <c r="CS201" t="s">
        <v>66</v>
      </c>
      <c r="CU201" t="s">
        <v>66</v>
      </c>
      <c r="CW201" t="s">
        <v>66</v>
      </c>
      <c r="CY201" t="s">
        <v>66</v>
      </c>
      <c r="DA201" t="s">
        <v>66</v>
      </c>
      <c r="DC201" t="s">
        <v>66</v>
      </c>
      <c r="DE201" t="s">
        <v>66</v>
      </c>
      <c r="DG201" t="s">
        <v>66</v>
      </c>
      <c r="DI201" t="s">
        <v>66</v>
      </c>
      <c r="DK201" t="s">
        <v>66</v>
      </c>
      <c r="DM201" t="s">
        <v>66</v>
      </c>
      <c r="DO201" t="s">
        <v>66</v>
      </c>
      <c r="DQ201" t="s">
        <v>66</v>
      </c>
    </row>
    <row r="202" spans="1:121" x14ac:dyDescent="0.2">
      <c r="A202" t="s">
        <v>610</v>
      </c>
      <c r="D202" t="s">
        <v>60</v>
      </c>
      <c r="E202" t="s">
        <v>61</v>
      </c>
      <c r="G202">
        <v>31634.9</v>
      </c>
      <c r="I202">
        <v>797</v>
      </c>
      <c r="K202">
        <v>1777660.3</v>
      </c>
      <c r="M202">
        <v>348069.9</v>
      </c>
      <c r="O202">
        <v>14365.5</v>
      </c>
      <c r="Q202">
        <v>412145.1</v>
      </c>
      <c r="S202">
        <v>12751.3</v>
      </c>
      <c r="U202">
        <v>6851.5</v>
      </c>
      <c r="W202">
        <v>3748517</v>
      </c>
      <c r="Y202">
        <v>79940.2</v>
      </c>
      <c r="AA202">
        <v>7839532.9000000004</v>
      </c>
      <c r="AC202">
        <v>6718222.4000000004</v>
      </c>
      <c r="AE202">
        <v>27449945.899999999</v>
      </c>
      <c r="AG202">
        <v>117118.2</v>
      </c>
      <c r="AI202">
        <v>1972927.3</v>
      </c>
      <c r="AK202">
        <v>34302.400000000001</v>
      </c>
      <c r="AM202">
        <v>42430.8</v>
      </c>
      <c r="AO202">
        <v>4495.2</v>
      </c>
      <c r="AQ202">
        <v>1076.7</v>
      </c>
      <c r="AS202">
        <v>1234.0999999999999</v>
      </c>
      <c r="AU202">
        <v>881.7</v>
      </c>
      <c r="AW202">
        <v>1239.3</v>
      </c>
      <c r="AY202">
        <v>116499.8</v>
      </c>
      <c r="BA202">
        <v>683076.8</v>
      </c>
      <c r="BC202">
        <v>3265.6</v>
      </c>
      <c r="BE202">
        <v>45076.6</v>
      </c>
      <c r="BG202">
        <v>9629872</v>
      </c>
      <c r="BI202">
        <v>7960005.2999999998</v>
      </c>
      <c r="BK202">
        <v>19330891.399999999</v>
      </c>
      <c r="BM202">
        <v>20881175.800000001</v>
      </c>
      <c r="BO202">
        <v>26793179.699999999</v>
      </c>
      <c r="BQ202">
        <v>241027</v>
      </c>
      <c r="BS202">
        <v>2501922.4</v>
      </c>
      <c r="BU202">
        <v>7673545.2999999998</v>
      </c>
      <c r="BW202">
        <v>207663.9</v>
      </c>
      <c r="BY202">
        <v>332516</v>
      </c>
      <c r="CA202">
        <v>99069.9</v>
      </c>
      <c r="CC202">
        <v>2822.9</v>
      </c>
      <c r="CE202">
        <v>15271.2</v>
      </c>
      <c r="CG202">
        <v>5806175.0999999996</v>
      </c>
      <c r="CI202">
        <v>5014486.8</v>
      </c>
      <c r="CK202">
        <v>25363923.600000001</v>
      </c>
      <c r="CM202">
        <v>101963.7</v>
      </c>
      <c r="CO202">
        <v>1393035.9</v>
      </c>
      <c r="CQ202">
        <v>6576622.7000000002</v>
      </c>
      <c r="CS202">
        <v>8645394.8000000007</v>
      </c>
      <c r="CU202">
        <v>809521.3</v>
      </c>
      <c r="CW202">
        <v>765643.4</v>
      </c>
      <c r="CY202">
        <v>60059.6</v>
      </c>
      <c r="DA202">
        <v>12896183.9</v>
      </c>
      <c r="DC202">
        <v>127.8</v>
      </c>
      <c r="DE202">
        <v>41956.7</v>
      </c>
      <c r="DG202">
        <v>105.2</v>
      </c>
      <c r="DI202">
        <v>1291.7</v>
      </c>
      <c r="DK202">
        <v>931</v>
      </c>
      <c r="DM202">
        <v>233532.7</v>
      </c>
      <c r="DO202">
        <v>194988</v>
      </c>
      <c r="DQ202">
        <v>17394.5</v>
      </c>
    </row>
    <row r="203" spans="1:121" x14ac:dyDescent="0.2">
      <c r="D203" t="s">
        <v>62</v>
      </c>
      <c r="E203" t="s">
        <v>61</v>
      </c>
      <c r="G203">
        <v>259.2</v>
      </c>
      <c r="I203">
        <v>128.4</v>
      </c>
      <c r="K203">
        <v>26642</v>
      </c>
      <c r="M203">
        <v>2373.1999999999998</v>
      </c>
      <c r="O203">
        <v>239.8</v>
      </c>
      <c r="Q203">
        <v>1710.5</v>
      </c>
      <c r="S203">
        <v>225.5</v>
      </c>
      <c r="U203">
        <v>281.7</v>
      </c>
      <c r="W203">
        <v>34546.5</v>
      </c>
      <c r="Y203">
        <v>533</v>
      </c>
      <c r="AA203">
        <v>56477</v>
      </c>
      <c r="AC203">
        <v>52301.7</v>
      </c>
      <c r="AE203">
        <v>207801.5</v>
      </c>
      <c r="AG203">
        <v>1093.3</v>
      </c>
      <c r="AI203">
        <v>22056.799999999999</v>
      </c>
      <c r="AK203">
        <v>426.6</v>
      </c>
      <c r="AM203">
        <v>635.9</v>
      </c>
      <c r="AO203">
        <v>98.9</v>
      </c>
      <c r="AQ203">
        <v>93.6</v>
      </c>
      <c r="AS203">
        <v>80.400000000000006</v>
      </c>
      <c r="AU203">
        <v>51.2</v>
      </c>
      <c r="AW203">
        <v>29.8</v>
      </c>
      <c r="AY203">
        <v>1051.2</v>
      </c>
      <c r="BA203">
        <v>930.9</v>
      </c>
      <c r="BC203">
        <v>119.9</v>
      </c>
      <c r="BE203">
        <v>363.7</v>
      </c>
      <c r="BG203">
        <v>140211.20000000001</v>
      </c>
      <c r="BI203">
        <v>91344.7</v>
      </c>
      <c r="BK203">
        <v>229156</v>
      </c>
      <c r="BM203">
        <v>705981.3</v>
      </c>
      <c r="BO203">
        <v>198056.5</v>
      </c>
      <c r="BQ203">
        <v>3857.2</v>
      </c>
      <c r="BS203">
        <v>28605.3</v>
      </c>
      <c r="BU203">
        <v>46133.1</v>
      </c>
      <c r="BW203">
        <v>2132.8000000000002</v>
      </c>
      <c r="BY203">
        <v>2107.3000000000002</v>
      </c>
      <c r="CA203">
        <v>786.7</v>
      </c>
      <c r="CC203">
        <v>119.2</v>
      </c>
      <c r="CE203">
        <v>235.3</v>
      </c>
      <c r="CG203">
        <v>52718.1</v>
      </c>
      <c r="CI203">
        <v>56544.7</v>
      </c>
      <c r="CK203">
        <v>138771.9</v>
      </c>
      <c r="CM203">
        <v>1374.9</v>
      </c>
      <c r="CO203">
        <v>19170.8</v>
      </c>
      <c r="CQ203">
        <v>104427.2</v>
      </c>
      <c r="CS203">
        <v>93356.5</v>
      </c>
      <c r="CU203">
        <v>7441.7</v>
      </c>
      <c r="CW203">
        <v>14764.1</v>
      </c>
      <c r="CY203">
        <v>830.7</v>
      </c>
      <c r="DA203">
        <v>145018.70000000001</v>
      </c>
      <c r="DC203">
        <v>25.5</v>
      </c>
      <c r="DE203">
        <v>1165.5</v>
      </c>
      <c r="DG203">
        <v>7.8</v>
      </c>
      <c r="DI203">
        <v>120.1</v>
      </c>
      <c r="DK203">
        <v>36.1</v>
      </c>
      <c r="DM203">
        <v>1941.3</v>
      </c>
      <c r="DO203">
        <v>3907.7</v>
      </c>
      <c r="DQ203">
        <v>284.8</v>
      </c>
    </row>
    <row r="204" spans="1:121" x14ac:dyDescent="0.2">
      <c r="D204" t="s">
        <v>63</v>
      </c>
      <c r="G204">
        <v>0.21503</v>
      </c>
      <c r="H204" t="s">
        <v>75</v>
      </c>
      <c r="I204">
        <v>1.498E-2</v>
      </c>
      <c r="J204" t="s">
        <v>75</v>
      </c>
      <c r="K204">
        <v>2.2403200000000001</v>
      </c>
      <c r="L204" t="s">
        <v>75</v>
      </c>
      <c r="M204">
        <v>0.31673000000000001</v>
      </c>
      <c r="N204" t="s">
        <v>75</v>
      </c>
      <c r="O204">
        <v>1.481E-2</v>
      </c>
      <c r="P204" t="s">
        <v>75</v>
      </c>
      <c r="Q204">
        <v>2.6619000000000002</v>
      </c>
      <c r="R204" t="s">
        <v>75</v>
      </c>
      <c r="S204">
        <v>1.038E-2</v>
      </c>
      <c r="T204" t="s">
        <v>75</v>
      </c>
      <c r="U204">
        <v>3.3770000000000001E-2</v>
      </c>
      <c r="V204" t="s">
        <v>75</v>
      </c>
      <c r="W204">
        <v>7.8941999999999997</v>
      </c>
      <c r="X204" t="s">
        <v>75</v>
      </c>
      <c r="Y204">
        <v>1.1780200000000001</v>
      </c>
      <c r="Z204" t="s">
        <v>75</v>
      </c>
      <c r="AB204" t="s">
        <v>76</v>
      </c>
      <c r="AC204">
        <v>23.760249999999999</v>
      </c>
      <c r="AD204" t="s">
        <v>75</v>
      </c>
      <c r="AE204">
        <v>102.06816000000001</v>
      </c>
      <c r="AF204" t="s">
        <v>75</v>
      </c>
      <c r="AG204">
        <v>7.4889999999999998E-2</v>
      </c>
      <c r="AH204" t="s">
        <v>75</v>
      </c>
      <c r="AI204">
        <v>12.375500000000001</v>
      </c>
      <c r="AJ204" t="s">
        <v>75</v>
      </c>
      <c r="AK204">
        <v>2.121E-2</v>
      </c>
      <c r="AL204" t="s">
        <v>75</v>
      </c>
      <c r="AM204">
        <v>2.5950000000000001E-2</v>
      </c>
      <c r="AN204" t="s">
        <v>75</v>
      </c>
      <c r="AO204">
        <v>1.772E-2</v>
      </c>
      <c r="AP204" t="s">
        <v>75</v>
      </c>
      <c r="AQ204">
        <v>3.62E-3</v>
      </c>
      <c r="AR204" t="s">
        <v>75</v>
      </c>
      <c r="AS204">
        <v>4.4000000000000003E-3</v>
      </c>
      <c r="AT204" t="s">
        <v>75</v>
      </c>
      <c r="AU204">
        <v>1.9300000000000001E-3</v>
      </c>
      <c r="AV204" t="s">
        <v>75</v>
      </c>
      <c r="AW204">
        <v>2.1700000000000001E-3</v>
      </c>
      <c r="AX204" t="s">
        <v>75</v>
      </c>
      <c r="AY204">
        <v>0.36274000000000001</v>
      </c>
      <c r="AZ204" t="s">
        <v>75</v>
      </c>
      <c r="BC204">
        <v>-2.0502099999999999</v>
      </c>
      <c r="BD204" t="s">
        <v>75</v>
      </c>
      <c r="BE204">
        <v>4.5280000000000001E-2</v>
      </c>
      <c r="BF204" t="s">
        <v>75</v>
      </c>
      <c r="BG204">
        <v>27.438420000000001</v>
      </c>
      <c r="BH204" t="s">
        <v>75</v>
      </c>
      <c r="BI204">
        <v>26.09496</v>
      </c>
      <c r="BJ204" t="s">
        <v>75</v>
      </c>
      <c r="BK204">
        <v>26.918659999999999</v>
      </c>
      <c r="BL204" t="s">
        <v>75</v>
      </c>
      <c r="BM204">
        <v>19.466149999999999</v>
      </c>
      <c r="BN204" t="s">
        <v>75</v>
      </c>
      <c r="BO204">
        <v>585.54215999999997</v>
      </c>
      <c r="BP204" t="s">
        <v>75</v>
      </c>
      <c r="BQ204">
        <v>7.67828</v>
      </c>
      <c r="BR204" t="s">
        <v>75</v>
      </c>
      <c r="BS204">
        <v>55.211359999999999</v>
      </c>
      <c r="BT204" t="s">
        <v>75</v>
      </c>
      <c r="BU204">
        <v>294.62130999999999</v>
      </c>
      <c r="BV204" t="s">
        <v>75</v>
      </c>
      <c r="BW204">
        <v>87.267269999999996</v>
      </c>
      <c r="BX204" t="s">
        <v>75</v>
      </c>
      <c r="BY204">
        <v>84.616489999999999</v>
      </c>
      <c r="BZ204" t="s">
        <v>75</v>
      </c>
      <c r="CA204">
        <v>49.099400000000003</v>
      </c>
      <c r="CB204" t="s">
        <v>75</v>
      </c>
      <c r="CC204">
        <v>0.58399999999999996</v>
      </c>
      <c r="CD204" t="s">
        <v>75</v>
      </c>
      <c r="CE204">
        <v>0.22425</v>
      </c>
      <c r="CF204" t="s">
        <v>75</v>
      </c>
      <c r="CG204">
        <v>98.23997</v>
      </c>
      <c r="CH204" t="s">
        <v>75</v>
      </c>
      <c r="CI204">
        <v>64.927430000000001</v>
      </c>
      <c r="CJ204" t="s">
        <v>75</v>
      </c>
      <c r="CK204">
        <v>356.22629000000001</v>
      </c>
      <c r="CL204" t="s">
        <v>75</v>
      </c>
      <c r="CM204">
        <v>1.4307099999999999</v>
      </c>
      <c r="CN204" t="s">
        <v>75</v>
      </c>
      <c r="CO204">
        <v>78.220669999999998</v>
      </c>
      <c r="CP204" t="s">
        <v>75</v>
      </c>
      <c r="CQ204">
        <v>197.46151</v>
      </c>
      <c r="CR204" t="s">
        <v>75</v>
      </c>
      <c r="CS204">
        <v>2245.2672699999998</v>
      </c>
      <c r="CT204" t="s">
        <v>75</v>
      </c>
      <c r="CV204" t="s">
        <v>76</v>
      </c>
      <c r="CW204">
        <v>28.19594</v>
      </c>
      <c r="CX204" t="s">
        <v>75</v>
      </c>
      <c r="DA204">
        <v>720.48139000000003</v>
      </c>
      <c r="DB204" t="s">
        <v>75</v>
      </c>
      <c r="DC204">
        <v>5.1580000000000001E-2</v>
      </c>
      <c r="DD204" t="s">
        <v>75</v>
      </c>
      <c r="DE204">
        <v>17.786259999999999</v>
      </c>
      <c r="DF204" t="s">
        <v>75</v>
      </c>
      <c r="DG204">
        <v>0.4572</v>
      </c>
      <c r="DH204" t="s">
        <v>75</v>
      </c>
      <c r="DI204">
        <v>1.6753199999999999</v>
      </c>
      <c r="DJ204" t="s">
        <v>75</v>
      </c>
      <c r="DL204" t="s">
        <v>76</v>
      </c>
      <c r="DN204" t="s">
        <v>76</v>
      </c>
      <c r="DO204">
        <v>27.039020000000001</v>
      </c>
      <c r="DP204" t="s">
        <v>75</v>
      </c>
    </row>
    <row r="205" spans="1:121" x14ac:dyDescent="0.2">
      <c r="D205" t="s">
        <v>64</v>
      </c>
      <c r="G205">
        <v>2.0799999999999998E-3</v>
      </c>
      <c r="H205" t="s">
        <v>75</v>
      </c>
      <c r="I205">
        <v>4.4400000000000004E-3</v>
      </c>
      <c r="J205" t="s">
        <v>75</v>
      </c>
      <c r="K205">
        <v>3.0589999999999999E-2</v>
      </c>
      <c r="L205" t="s">
        <v>75</v>
      </c>
      <c r="M205">
        <v>2.2000000000000001E-3</v>
      </c>
      <c r="N205" t="s">
        <v>75</v>
      </c>
      <c r="O205">
        <v>2.0000000000000001E-4</v>
      </c>
      <c r="P205" t="s">
        <v>75</v>
      </c>
      <c r="Q205">
        <v>7.9600000000000001E-3</v>
      </c>
      <c r="R205" t="s">
        <v>75</v>
      </c>
      <c r="S205">
        <v>1.8000000000000001E-4</v>
      </c>
      <c r="T205" t="s">
        <v>75</v>
      </c>
      <c r="U205">
        <v>1.17E-3</v>
      </c>
      <c r="V205" t="s">
        <v>75</v>
      </c>
      <c r="W205">
        <v>7.0000000000000007E-2</v>
      </c>
      <c r="X205" t="s">
        <v>75</v>
      </c>
      <c r="Y205">
        <v>8.8299999999999993E-3</v>
      </c>
      <c r="Z205" t="s">
        <v>75</v>
      </c>
      <c r="AC205">
        <v>0.16063</v>
      </c>
      <c r="AD205" t="s">
        <v>75</v>
      </c>
      <c r="AE205">
        <v>0.67225999999999997</v>
      </c>
      <c r="AF205" t="s">
        <v>75</v>
      </c>
      <c r="AG205">
        <v>7.3999999999999999E-4</v>
      </c>
      <c r="AH205" t="s">
        <v>75</v>
      </c>
      <c r="AI205">
        <v>0.13236000000000001</v>
      </c>
      <c r="AJ205" t="s">
        <v>75</v>
      </c>
      <c r="AK205">
        <v>3.1E-4</v>
      </c>
      <c r="AL205" t="s">
        <v>75</v>
      </c>
      <c r="AM205">
        <v>4.8000000000000001E-4</v>
      </c>
      <c r="AN205" t="s">
        <v>75</v>
      </c>
      <c r="AO205">
        <v>3.8000000000000002E-4</v>
      </c>
      <c r="AP205" t="s">
        <v>75</v>
      </c>
      <c r="AQ205">
        <v>3.8999999999999999E-4</v>
      </c>
      <c r="AR205" t="s">
        <v>75</v>
      </c>
      <c r="AS205">
        <v>3.6000000000000002E-4</v>
      </c>
      <c r="AT205" t="s">
        <v>75</v>
      </c>
      <c r="AU205">
        <v>3.0000000000000001E-5</v>
      </c>
      <c r="AV205" t="s">
        <v>75</v>
      </c>
      <c r="AW205">
        <v>6.9999999999999994E-5</v>
      </c>
      <c r="AX205" t="s">
        <v>75</v>
      </c>
      <c r="AY205">
        <v>3.5999999999999999E-3</v>
      </c>
      <c r="AZ205" t="s">
        <v>75</v>
      </c>
      <c r="BC205">
        <v>3.6000000000000002E-4</v>
      </c>
      <c r="BD205" t="s">
        <v>75</v>
      </c>
      <c r="BE205">
        <v>2.9E-4</v>
      </c>
      <c r="BF205" t="s">
        <v>75</v>
      </c>
      <c r="BG205">
        <v>0.38419999999999999</v>
      </c>
      <c r="BH205" t="s">
        <v>75</v>
      </c>
      <c r="BI205">
        <v>0.27049000000000001</v>
      </c>
      <c r="BJ205" t="s">
        <v>75</v>
      </c>
      <c r="BK205">
        <v>0.28908</v>
      </c>
      <c r="BL205" t="s">
        <v>75</v>
      </c>
      <c r="BM205">
        <v>0.63400000000000001</v>
      </c>
      <c r="BN205" t="s">
        <v>75</v>
      </c>
      <c r="BO205">
        <v>3.85277</v>
      </c>
      <c r="BP205" t="s">
        <v>75</v>
      </c>
      <c r="BQ205">
        <v>8.8260000000000005E-2</v>
      </c>
      <c r="BR205" t="s">
        <v>75</v>
      </c>
      <c r="BS205">
        <v>0.38227</v>
      </c>
      <c r="BT205" t="s">
        <v>75</v>
      </c>
      <c r="BU205">
        <v>2.7928999999999999</v>
      </c>
      <c r="BV205" t="s">
        <v>75</v>
      </c>
      <c r="BW205">
        <v>1.47295</v>
      </c>
      <c r="BX205" t="s">
        <v>75</v>
      </c>
      <c r="BY205">
        <v>1.5216799999999999</v>
      </c>
      <c r="BZ205" t="s">
        <v>75</v>
      </c>
      <c r="CA205">
        <v>1.0830299999999999</v>
      </c>
      <c r="CB205" t="s">
        <v>75</v>
      </c>
      <c r="CC205">
        <v>3.245E-2</v>
      </c>
      <c r="CD205" t="s">
        <v>75</v>
      </c>
      <c r="CE205">
        <v>6.6299999999999996E-3</v>
      </c>
      <c r="CF205" t="s">
        <v>75</v>
      </c>
      <c r="CG205">
        <v>1.79216</v>
      </c>
      <c r="CH205" t="s">
        <v>75</v>
      </c>
      <c r="CI205">
        <v>1.0692200000000001</v>
      </c>
      <c r="CJ205" t="s">
        <v>75</v>
      </c>
      <c r="CK205">
        <v>4.1473699999999996</v>
      </c>
      <c r="CL205" t="s">
        <v>75</v>
      </c>
      <c r="CM205">
        <v>2.7060000000000001E-2</v>
      </c>
      <c r="CN205" t="s">
        <v>75</v>
      </c>
      <c r="CO205">
        <v>1.3402000000000001</v>
      </c>
      <c r="CP205" t="s">
        <v>75</v>
      </c>
      <c r="CQ205">
        <v>0.42580000000000001</v>
      </c>
      <c r="CR205" t="s">
        <v>75</v>
      </c>
      <c r="CS205">
        <v>26.907710000000002</v>
      </c>
      <c r="CT205" t="s">
        <v>75</v>
      </c>
      <c r="CW205">
        <v>0.74611000000000005</v>
      </c>
      <c r="CX205" t="s">
        <v>75</v>
      </c>
      <c r="DA205">
        <v>15.981009999999999</v>
      </c>
      <c r="DB205" t="s">
        <v>75</v>
      </c>
      <c r="DC205">
        <v>1.042E-2</v>
      </c>
      <c r="DD205" t="s">
        <v>75</v>
      </c>
      <c r="DE205">
        <v>0.75387000000000004</v>
      </c>
      <c r="DF205" t="s">
        <v>75</v>
      </c>
      <c r="DG205">
        <v>4.4299999999999999E-2</v>
      </c>
      <c r="DH205" t="s">
        <v>75</v>
      </c>
      <c r="DI205">
        <v>0.16814000000000001</v>
      </c>
      <c r="DJ205" t="s">
        <v>75</v>
      </c>
      <c r="DO205">
        <v>0.97199000000000002</v>
      </c>
      <c r="DP205" t="s">
        <v>75</v>
      </c>
    </row>
    <row r="206" spans="1:121" x14ac:dyDescent="0.2">
      <c r="D206" t="s">
        <v>65</v>
      </c>
      <c r="G206" t="s">
        <v>66</v>
      </c>
      <c r="I206" t="s">
        <v>66</v>
      </c>
      <c r="K206" t="s">
        <v>66</v>
      </c>
      <c r="M206" t="s">
        <v>66</v>
      </c>
      <c r="O206" t="s">
        <v>66</v>
      </c>
      <c r="Q206" t="s">
        <v>66</v>
      </c>
      <c r="S206" t="s">
        <v>66</v>
      </c>
      <c r="U206" t="s">
        <v>66</v>
      </c>
      <c r="W206" t="s">
        <v>66</v>
      </c>
      <c r="Y206" t="s">
        <v>66</v>
      </c>
      <c r="AA206" t="s">
        <v>66</v>
      </c>
      <c r="AC206" t="s">
        <v>66</v>
      </c>
      <c r="AE206" t="s">
        <v>66</v>
      </c>
      <c r="AG206" t="s">
        <v>66</v>
      </c>
      <c r="AI206" t="s">
        <v>66</v>
      </c>
      <c r="AK206" t="s">
        <v>66</v>
      </c>
      <c r="AM206" t="s">
        <v>66</v>
      </c>
      <c r="AO206" t="s">
        <v>66</v>
      </c>
      <c r="AQ206" t="s">
        <v>66</v>
      </c>
      <c r="AS206" t="s">
        <v>66</v>
      </c>
      <c r="AU206" t="s">
        <v>66</v>
      </c>
      <c r="AW206" t="s">
        <v>66</v>
      </c>
      <c r="AY206" t="s">
        <v>66</v>
      </c>
      <c r="BA206" t="s">
        <v>66</v>
      </c>
      <c r="BC206" t="s">
        <v>66</v>
      </c>
      <c r="BE206" t="s">
        <v>66</v>
      </c>
      <c r="BG206" t="s">
        <v>66</v>
      </c>
      <c r="BI206" t="s">
        <v>66</v>
      </c>
      <c r="BK206" t="s">
        <v>66</v>
      </c>
      <c r="BM206" t="s">
        <v>66</v>
      </c>
      <c r="BO206" t="s">
        <v>66</v>
      </c>
      <c r="BQ206" t="s">
        <v>66</v>
      </c>
      <c r="BS206" t="s">
        <v>66</v>
      </c>
      <c r="BU206" t="s">
        <v>66</v>
      </c>
      <c r="BW206" t="s">
        <v>66</v>
      </c>
      <c r="BY206" t="s">
        <v>66</v>
      </c>
      <c r="CA206" t="s">
        <v>66</v>
      </c>
      <c r="CC206" t="s">
        <v>66</v>
      </c>
      <c r="CE206" t="s">
        <v>66</v>
      </c>
      <c r="CG206" t="s">
        <v>66</v>
      </c>
      <c r="CI206" t="s">
        <v>66</v>
      </c>
      <c r="CK206" t="s">
        <v>66</v>
      </c>
      <c r="CM206" t="s">
        <v>66</v>
      </c>
      <c r="CO206" t="s">
        <v>66</v>
      </c>
      <c r="CQ206" t="s">
        <v>66</v>
      </c>
      <c r="CS206" t="s">
        <v>66</v>
      </c>
      <c r="CU206" t="s">
        <v>66</v>
      </c>
      <c r="CW206" t="s">
        <v>66</v>
      </c>
      <c r="CY206" t="s">
        <v>66</v>
      </c>
      <c r="DA206" t="s">
        <v>66</v>
      </c>
      <c r="DC206" t="s">
        <v>66</v>
      </c>
      <c r="DE206" t="s">
        <v>66</v>
      </c>
      <c r="DG206" t="s">
        <v>66</v>
      </c>
      <c r="DI206" t="s">
        <v>66</v>
      </c>
      <c r="DK206" t="s">
        <v>66</v>
      </c>
      <c r="DM206" t="s">
        <v>66</v>
      </c>
      <c r="DO206" t="s">
        <v>66</v>
      </c>
      <c r="DQ206" t="s">
        <v>66</v>
      </c>
    </row>
    <row r="207" spans="1:121" x14ac:dyDescent="0.2">
      <c r="A207" t="s">
        <v>611</v>
      </c>
      <c r="D207" t="s">
        <v>60</v>
      </c>
      <c r="E207" t="s">
        <v>61</v>
      </c>
      <c r="G207">
        <v>12404.7</v>
      </c>
      <c r="I207">
        <v>817.1</v>
      </c>
      <c r="K207">
        <v>305615.8</v>
      </c>
      <c r="M207">
        <v>90049.1</v>
      </c>
      <c r="O207">
        <v>3660.8</v>
      </c>
      <c r="Q207">
        <v>15464.4</v>
      </c>
      <c r="S207">
        <v>1539.6</v>
      </c>
      <c r="U207">
        <v>1754.4</v>
      </c>
      <c r="W207">
        <v>61858.3</v>
      </c>
      <c r="Y207">
        <v>9436.5</v>
      </c>
      <c r="AA207">
        <v>3096427.7</v>
      </c>
      <c r="AC207">
        <v>572713.1</v>
      </c>
      <c r="AE207">
        <v>748004.3</v>
      </c>
      <c r="AG207">
        <v>23476</v>
      </c>
      <c r="AI207">
        <v>65002</v>
      </c>
      <c r="AK207">
        <v>4413.8999999999996</v>
      </c>
      <c r="AM207">
        <v>9468.7999999999993</v>
      </c>
      <c r="AO207">
        <v>1073.5999999999999</v>
      </c>
      <c r="AQ207">
        <v>334.4</v>
      </c>
      <c r="AS207">
        <v>651.29999999999995</v>
      </c>
      <c r="AU207">
        <v>397</v>
      </c>
      <c r="AW207">
        <v>398</v>
      </c>
      <c r="AY207">
        <v>6581.3</v>
      </c>
      <c r="BA207">
        <v>675289.4</v>
      </c>
      <c r="BC207">
        <v>4025.9</v>
      </c>
      <c r="BE207">
        <v>13807.3</v>
      </c>
      <c r="BG207">
        <v>524553.5</v>
      </c>
      <c r="BI207">
        <v>450354.7</v>
      </c>
      <c r="BK207">
        <v>1143384.5</v>
      </c>
      <c r="BM207">
        <v>411861.4</v>
      </c>
      <c r="BO207">
        <v>4131051.4</v>
      </c>
      <c r="BQ207">
        <v>58977.5</v>
      </c>
      <c r="BS207">
        <v>692009.2</v>
      </c>
      <c r="BU207">
        <v>945361.8</v>
      </c>
      <c r="BW207">
        <v>20912.7</v>
      </c>
      <c r="BY207">
        <v>106238.6</v>
      </c>
      <c r="CA207">
        <v>24334.400000000001</v>
      </c>
      <c r="CC207">
        <v>113.9</v>
      </c>
      <c r="CE207">
        <v>703</v>
      </c>
      <c r="CG207">
        <v>277197.3</v>
      </c>
      <c r="CI207">
        <v>86450.2</v>
      </c>
      <c r="CK207">
        <v>675149.9</v>
      </c>
      <c r="CM207">
        <v>3603.5</v>
      </c>
      <c r="CO207">
        <v>37418.699999999997</v>
      </c>
      <c r="CQ207">
        <v>134702.70000000001</v>
      </c>
      <c r="CS207">
        <v>977683.4</v>
      </c>
      <c r="CU207">
        <v>264388.3</v>
      </c>
      <c r="CW207">
        <v>60290.6</v>
      </c>
      <c r="CY207">
        <v>57588.1</v>
      </c>
      <c r="DA207">
        <v>2158313.5</v>
      </c>
      <c r="DC207">
        <v>52.8</v>
      </c>
      <c r="DE207">
        <v>1531.3</v>
      </c>
      <c r="DG207">
        <v>219.7</v>
      </c>
      <c r="DI207">
        <v>4014.6</v>
      </c>
      <c r="DK207">
        <v>872.6</v>
      </c>
      <c r="DM207">
        <v>76821.100000000006</v>
      </c>
      <c r="DO207">
        <v>15540</v>
      </c>
      <c r="DQ207">
        <v>16784.599999999999</v>
      </c>
    </row>
    <row r="208" spans="1:121" x14ac:dyDescent="0.2">
      <c r="D208" t="s">
        <v>62</v>
      </c>
      <c r="E208" t="s">
        <v>61</v>
      </c>
      <c r="G208">
        <v>488.8</v>
      </c>
      <c r="I208">
        <v>72.400000000000006</v>
      </c>
      <c r="K208">
        <v>2033.2</v>
      </c>
      <c r="M208">
        <v>1010.2</v>
      </c>
      <c r="O208">
        <v>122.8</v>
      </c>
      <c r="Q208">
        <v>158.4</v>
      </c>
      <c r="S208">
        <v>79.400000000000006</v>
      </c>
      <c r="U208">
        <v>116.5</v>
      </c>
      <c r="W208">
        <v>533.20000000000005</v>
      </c>
      <c r="Y208">
        <v>221.2</v>
      </c>
      <c r="AA208">
        <v>20266.7</v>
      </c>
      <c r="AC208">
        <v>10476.1</v>
      </c>
      <c r="AE208">
        <v>11392.6</v>
      </c>
      <c r="AG208">
        <v>526.70000000000005</v>
      </c>
      <c r="AI208">
        <v>672.3</v>
      </c>
      <c r="AK208">
        <v>195.5</v>
      </c>
      <c r="AM208">
        <v>196.8</v>
      </c>
      <c r="AO208">
        <v>163.5</v>
      </c>
      <c r="AQ208">
        <v>24.8</v>
      </c>
      <c r="AS208">
        <v>12.6</v>
      </c>
      <c r="AU208">
        <v>30.2</v>
      </c>
      <c r="AW208">
        <v>38.6</v>
      </c>
      <c r="AY208">
        <v>224.2</v>
      </c>
      <c r="BA208">
        <v>3832.2</v>
      </c>
      <c r="BC208">
        <v>212.7</v>
      </c>
      <c r="BE208">
        <v>329.6</v>
      </c>
      <c r="BG208">
        <v>3919</v>
      </c>
      <c r="BI208">
        <v>7402.8</v>
      </c>
      <c r="BK208">
        <v>9253.9</v>
      </c>
      <c r="BM208">
        <v>4834.8</v>
      </c>
      <c r="BO208">
        <v>131796.4</v>
      </c>
      <c r="BQ208">
        <v>782.7</v>
      </c>
      <c r="BS208">
        <v>20383.2</v>
      </c>
      <c r="BU208">
        <v>7636.8</v>
      </c>
      <c r="BW208">
        <v>1069</v>
      </c>
      <c r="BY208">
        <v>2212.6999999999998</v>
      </c>
      <c r="CA208">
        <v>403.8</v>
      </c>
      <c r="CC208">
        <v>7.3</v>
      </c>
      <c r="CE208">
        <v>102.8</v>
      </c>
      <c r="CG208">
        <v>3280.7</v>
      </c>
      <c r="CI208">
        <v>1703.5</v>
      </c>
      <c r="CK208">
        <v>6943.6</v>
      </c>
      <c r="CM208">
        <v>208.4</v>
      </c>
      <c r="CO208">
        <v>305.3</v>
      </c>
      <c r="CQ208">
        <v>2000.3</v>
      </c>
      <c r="CS208">
        <v>14524.6</v>
      </c>
      <c r="CU208">
        <v>2290.6</v>
      </c>
      <c r="CW208">
        <v>1507.6</v>
      </c>
      <c r="CY208">
        <v>1791.3</v>
      </c>
      <c r="DA208">
        <v>25728.1</v>
      </c>
      <c r="DC208">
        <v>8.1999999999999993</v>
      </c>
      <c r="DE208">
        <v>88.3</v>
      </c>
      <c r="DG208">
        <v>52.7</v>
      </c>
      <c r="DI208">
        <v>479.9</v>
      </c>
      <c r="DK208">
        <v>29</v>
      </c>
      <c r="DM208">
        <v>1376.7</v>
      </c>
      <c r="DO208">
        <v>174.3</v>
      </c>
      <c r="DQ208">
        <v>271.60000000000002</v>
      </c>
    </row>
    <row r="209" spans="1:121" x14ac:dyDescent="0.2">
      <c r="D209" t="s">
        <v>63</v>
      </c>
      <c r="G209">
        <v>6.4560000000000006E-2</v>
      </c>
      <c r="H209" t="s">
        <v>75</v>
      </c>
      <c r="I209">
        <v>1.6E-2</v>
      </c>
      <c r="J209" t="s">
        <v>75</v>
      </c>
      <c r="K209">
        <v>0.38673999999999997</v>
      </c>
      <c r="L209" t="s">
        <v>75</v>
      </c>
      <c r="M209">
        <v>5.7630000000000001E-2</v>
      </c>
      <c r="N209" t="s">
        <v>75</v>
      </c>
      <c r="O209">
        <v>5.9899999999999997E-3</v>
      </c>
      <c r="P209" t="s">
        <v>75</v>
      </c>
      <c r="Q209">
        <v>0.12124</v>
      </c>
      <c r="R209" t="s">
        <v>75</v>
      </c>
      <c r="S209">
        <v>6.6E-4</v>
      </c>
      <c r="T209" t="s">
        <v>75</v>
      </c>
      <c r="U209">
        <v>1.2930000000000001E-2</v>
      </c>
      <c r="V209" t="s">
        <v>75</v>
      </c>
      <c r="W209">
        <v>0.13527</v>
      </c>
      <c r="X209" t="s">
        <v>75</v>
      </c>
      <c r="Y209">
        <v>0.14066999999999999</v>
      </c>
      <c r="Z209" t="s">
        <v>75</v>
      </c>
      <c r="AB209" t="s">
        <v>76</v>
      </c>
      <c r="AC209">
        <v>2.08717</v>
      </c>
      <c r="AD209" t="s">
        <v>75</v>
      </c>
      <c r="AE209">
        <v>2.85175</v>
      </c>
      <c r="AF209" t="s">
        <v>75</v>
      </c>
      <c r="AG209">
        <v>2.15E-3</v>
      </c>
      <c r="AH209" t="s">
        <v>75</v>
      </c>
      <c r="AI209">
        <v>0.41244999999999998</v>
      </c>
      <c r="AJ209" t="s">
        <v>75</v>
      </c>
      <c r="AK209">
        <v>8.9999999999999998E-4</v>
      </c>
      <c r="AL209" t="s">
        <v>75</v>
      </c>
      <c r="AM209">
        <v>1.4499999999999999E-3</v>
      </c>
      <c r="AN209" t="s">
        <v>75</v>
      </c>
      <c r="AO209">
        <v>5.3699999999999998E-3</v>
      </c>
      <c r="AP209" t="s">
        <v>75</v>
      </c>
      <c r="AQ209">
        <v>4.8000000000000001E-4</v>
      </c>
      <c r="AR209" t="s">
        <v>75</v>
      </c>
      <c r="AS209">
        <v>1.8699999999999999E-3</v>
      </c>
      <c r="AT209" t="s">
        <v>75</v>
      </c>
      <c r="AU209">
        <v>1.6100000000000001E-3</v>
      </c>
      <c r="AV209" t="s">
        <v>75</v>
      </c>
      <c r="AW209">
        <v>1.7000000000000001E-4</v>
      </c>
      <c r="AX209" t="s">
        <v>75</v>
      </c>
      <c r="AY209">
        <v>1.0959999999999999E-2</v>
      </c>
      <c r="AZ209" t="s">
        <v>75</v>
      </c>
      <c r="BC209">
        <v>-2.0478200000000002</v>
      </c>
      <c r="BD209" t="s">
        <v>75</v>
      </c>
      <c r="BE209">
        <v>1.5810000000000001E-2</v>
      </c>
      <c r="BF209" t="s">
        <v>75</v>
      </c>
      <c r="BG209">
        <v>1.47522</v>
      </c>
      <c r="BH209" t="s">
        <v>75</v>
      </c>
      <c r="BI209">
        <v>1.4781899999999999</v>
      </c>
      <c r="BJ209" t="s">
        <v>75</v>
      </c>
      <c r="BK209">
        <v>1.5170699999999999</v>
      </c>
      <c r="BL209" t="s">
        <v>75</v>
      </c>
      <c r="BM209">
        <v>0.37861</v>
      </c>
      <c r="BN209" t="s">
        <v>75</v>
      </c>
      <c r="BO209">
        <v>92.817939999999993</v>
      </c>
      <c r="BP209" t="s">
        <v>75</v>
      </c>
      <c r="BQ209">
        <v>1.64866</v>
      </c>
      <c r="BR209" t="s">
        <v>75</v>
      </c>
      <c r="BS209">
        <v>15.6183</v>
      </c>
      <c r="BT209" t="s">
        <v>75</v>
      </c>
      <c r="BU209">
        <v>20.03717</v>
      </c>
      <c r="BV209" t="s">
        <v>75</v>
      </c>
      <c r="BW209">
        <v>8.9544200000000007</v>
      </c>
      <c r="BX209" t="s">
        <v>75</v>
      </c>
      <c r="BY209">
        <v>22.801860000000001</v>
      </c>
      <c r="BZ209" t="s">
        <v>75</v>
      </c>
      <c r="CA209">
        <v>9.90611</v>
      </c>
      <c r="CB209" t="s">
        <v>75</v>
      </c>
      <c r="CC209">
        <v>1.093E-2</v>
      </c>
      <c r="CD209" t="s">
        <v>75</v>
      </c>
      <c r="CE209">
        <v>9.2300000000000004E-3</v>
      </c>
      <c r="CF209" t="s">
        <v>75</v>
      </c>
      <c r="CG209">
        <v>4.8778899999999998</v>
      </c>
      <c r="CH209" t="s">
        <v>75</v>
      </c>
      <c r="CI209">
        <v>1.1400399999999999</v>
      </c>
      <c r="CJ209" t="s">
        <v>75</v>
      </c>
      <c r="CK209">
        <v>9.57484</v>
      </c>
      <c r="CL209" t="s">
        <v>75</v>
      </c>
      <c r="CM209">
        <v>4.6089999999999999E-2</v>
      </c>
      <c r="CN209" t="s">
        <v>75</v>
      </c>
      <c r="CO209">
        <v>2.2028099999999999</v>
      </c>
      <c r="CP209" t="s">
        <v>75</v>
      </c>
      <c r="CQ209">
        <v>4.1938000000000004</v>
      </c>
      <c r="CR209" t="s">
        <v>75</v>
      </c>
      <c r="CS209">
        <v>264.82578000000001</v>
      </c>
      <c r="CT209" t="s">
        <v>75</v>
      </c>
      <c r="CV209" t="s">
        <v>76</v>
      </c>
      <c r="CW209">
        <v>2.2920699999999998</v>
      </c>
      <c r="CX209" t="s">
        <v>75</v>
      </c>
      <c r="DA209">
        <v>124.77161</v>
      </c>
      <c r="DB209" t="s">
        <v>75</v>
      </c>
      <c r="DC209">
        <v>2.146E-2</v>
      </c>
      <c r="DD209" t="s">
        <v>75</v>
      </c>
      <c r="DE209">
        <v>0.65515999999999996</v>
      </c>
      <c r="DF209" t="s">
        <v>75</v>
      </c>
      <c r="DG209">
        <v>1.0585100000000001</v>
      </c>
      <c r="DH209" t="s">
        <v>75</v>
      </c>
      <c r="DI209">
        <v>6.4086999999999996</v>
      </c>
      <c r="DJ209" t="s">
        <v>75</v>
      </c>
      <c r="DL209" t="s">
        <v>76</v>
      </c>
      <c r="DN209" t="s">
        <v>76</v>
      </c>
      <c r="DO209">
        <v>2.2252700000000001</v>
      </c>
      <c r="DP209" t="s">
        <v>75</v>
      </c>
    </row>
    <row r="210" spans="1:121" x14ac:dyDescent="0.2">
      <c r="D210" t="s">
        <v>64</v>
      </c>
      <c r="G210">
        <v>3.98E-3</v>
      </c>
      <c r="H210" t="s">
        <v>75</v>
      </c>
      <c r="I210">
        <v>2.4199999999999998E-3</v>
      </c>
      <c r="J210" t="s">
        <v>75</v>
      </c>
      <c r="K210">
        <v>4.2199999999999998E-3</v>
      </c>
      <c r="L210" t="s">
        <v>75</v>
      </c>
      <c r="M210">
        <v>1.23E-3</v>
      </c>
      <c r="N210" t="s">
        <v>75</v>
      </c>
      <c r="O210">
        <v>1.2E-4</v>
      </c>
      <c r="P210" t="s">
        <v>75</v>
      </c>
      <c r="Q210">
        <v>7.9000000000000001E-4</v>
      </c>
      <c r="R210" t="s">
        <v>75</v>
      </c>
      <c r="S210">
        <v>6.0000000000000002E-5</v>
      </c>
      <c r="T210" t="s">
        <v>75</v>
      </c>
      <c r="U210">
        <v>5.2999999999999998E-4</v>
      </c>
      <c r="V210" t="s">
        <v>75</v>
      </c>
      <c r="W210">
        <v>1.8600000000000001E-3</v>
      </c>
      <c r="X210" t="s">
        <v>75</v>
      </c>
      <c r="Y210">
        <v>3.8500000000000001E-3</v>
      </c>
      <c r="Z210" t="s">
        <v>75</v>
      </c>
      <c r="AC210">
        <v>4.9090000000000002E-2</v>
      </c>
      <c r="AD210" t="s">
        <v>75</v>
      </c>
      <c r="AE210">
        <v>5.672E-2</v>
      </c>
      <c r="AF210" t="s">
        <v>75</v>
      </c>
      <c r="AG210">
        <v>5.1999999999999995E-4</v>
      </c>
      <c r="AH210" t="s">
        <v>75</v>
      </c>
      <c r="AI210">
        <v>5.6899999999999997E-3</v>
      </c>
      <c r="AJ210" t="s">
        <v>75</v>
      </c>
      <c r="AK210">
        <v>1.2999999999999999E-4</v>
      </c>
      <c r="AL210" t="s">
        <v>75</v>
      </c>
      <c r="AM210">
        <v>1.1E-4</v>
      </c>
      <c r="AN210" t="s">
        <v>75</v>
      </c>
      <c r="AO210">
        <v>6.2E-4</v>
      </c>
      <c r="AP210" t="s">
        <v>75</v>
      </c>
      <c r="AQ210">
        <v>1.1E-4</v>
      </c>
      <c r="AR210" t="s">
        <v>75</v>
      </c>
      <c r="AS210">
        <v>6.9999999999999994E-5</v>
      </c>
      <c r="AT210" t="s">
        <v>75</v>
      </c>
      <c r="AU210">
        <v>2.0000000000000002E-5</v>
      </c>
      <c r="AV210" t="s">
        <v>75</v>
      </c>
      <c r="AW210">
        <v>1E-4</v>
      </c>
      <c r="AX210" t="s">
        <v>75</v>
      </c>
      <c r="AY210">
        <v>8.0000000000000004E-4</v>
      </c>
      <c r="AZ210" t="s">
        <v>75</v>
      </c>
      <c r="BC210">
        <v>5.8E-4</v>
      </c>
      <c r="BD210" t="s">
        <v>75</v>
      </c>
      <c r="BE210">
        <v>3.1E-4</v>
      </c>
      <c r="BF210" t="s">
        <v>75</v>
      </c>
      <c r="BG210">
        <v>1.345E-2</v>
      </c>
      <c r="BH210" t="s">
        <v>75</v>
      </c>
      <c r="BI210">
        <v>2.1049999999999999E-2</v>
      </c>
      <c r="BJ210" t="s">
        <v>75</v>
      </c>
      <c r="BK210">
        <v>1.2579999999999999E-2</v>
      </c>
      <c r="BL210" t="s">
        <v>75</v>
      </c>
      <c r="BM210">
        <v>6.4799999999999996E-3</v>
      </c>
      <c r="BN210" t="s">
        <v>75</v>
      </c>
      <c r="BO210">
        <v>5.8358999999999996</v>
      </c>
      <c r="BP210" t="s">
        <v>75</v>
      </c>
      <c r="BQ210">
        <v>8.6629999999999999E-2</v>
      </c>
      <c r="BR210" t="s">
        <v>75</v>
      </c>
      <c r="BS210">
        <v>0.95506999999999997</v>
      </c>
      <c r="BT210" t="s">
        <v>75</v>
      </c>
      <c r="BU210">
        <v>1.37706</v>
      </c>
      <c r="BV210" t="s">
        <v>75</v>
      </c>
      <c r="BW210">
        <v>0.74306000000000005</v>
      </c>
      <c r="BX210" t="s">
        <v>75</v>
      </c>
      <c r="BY210">
        <v>1.5626599999999999</v>
      </c>
      <c r="BZ210" t="s">
        <v>75</v>
      </c>
      <c r="CA210">
        <v>0.62904000000000004</v>
      </c>
      <c r="CB210" t="s">
        <v>75</v>
      </c>
      <c r="CC210">
        <v>2.2300000000000002E-3</v>
      </c>
      <c r="CD210" t="s">
        <v>75</v>
      </c>
      <c r="CE210">
        <v>1.8500000000000001E-3</v>
      </c>
      <c r="CF210" t="s">
        <v>75</v>
      </c>
      <c r="CG210">
        <v>0.18393000000000001</v>
      </c>
      <c r="CH210" t="s">
        <v>75</v>
      </c>
      <c r="CI210">
        <v>5.0979999999999998E-2</v>
      </c>
      <c r="CJ210" t="s">
        <v>75</v>
      </c>
      <c r="CK210">
        <v>0.35626999999999998</v>
      </c>
      <c r="CL210" t="s">
        <v>75</v>
      </c>
      <c r="CM210">
        <v>4.5799999999999999E-3</v>
      </c>
      <c r="CN210" t="s">
        <v>75</v>
      </c>
      <c r="CO210">
        <v>8.3970000000000003E-2</v>
      </c>
      <c r="CP210" t="s">
        <v>75</v>
      </c>
      <c r="CQ210">
        <v>0.13741999999999999</v>
      </c>
      <c r="CR210" t="s">
        <v>75</v>
      </c>
      <c r="CS210">
        <v>6.8694300000000004</v>
      </c>
      <c r="CT210" t="s">
        <v>75</v>
      </c>
      <c r="CW210">
        <v>4.1640000000000003E-2</v>
      </c>
      <c r="CX210" t="s">
        <v>75</v>
      </c>
      <c r="DA210">
        <v>2.6923599999999999</v>
      </c>
      <c r="DB210" t="s">
        <v>75</v>
      </c>
      <c r="DC210">
        <v>3.4399999999999999E-3</v>
      </c>
      <c r="DD210" t="s">
        <v>75</v>
      </c>
      <c r="DE210">
        <v>4.444E-2</v>
      </c>
      <c r="DF210" t="s">
        <v>75</v>
      </c>
      <c r="DG210">
        <v>0.25474999999999998</v>
      </c>
      <c r="DH210" t="s">
        <v>75</v>
      </c>
      <c r="DI210">
        <v>0.71189000000000002</v>
      </c>
      <c r="DJ210" t="s">
        <v>75</v>
      </c>
      <c r="DO210">
        <v>4.3569999999999998E-2</v>
      </c>
      <c r="DP210" t="s">
        <v>75</v>
      </c>
    </row>
    <row r="211" spans="1:121" x14ac:dyDescent="0.2">
      <c r="D211" t="s">
        <v>65</v>
      </c>
      <c r="G211" t="s">
        <v>66</v>
      </c>
      <c r="I211" t="s">
        <v>66</v>
      </c>
      <c r="K211" t="s">
        <v>66</v>
      </c>
      <c r="M211" t="s">
        <v>66</v>
      </c>
      <c r="O211" t="s">
        <v>66</v>
      </c>
      <c r="Q211" t="s">
        <v>66</v>
      </c>
      <c r="S211" t="s">
        <v>66</v>
      </c>
      <c r="U211" t="s">
        <v>66</v>
      </c>
      <c r="W211" t="s">
        <v>66</v>
      </c>
      <c r="Y211" t="s">
        <v>66</v>
      </c>
      <c r="AA211" t="s">
        <v>66</v>
      </c>
      <c r="AC211" t="s">
        <v>66</v>
      </c>
      <c r="AE211" t="s">
        <v>66</v>
      </c>
      <c r="AG211" t="s">
        <v>66</v>
      </c>
      <c r="AI211" t="s">
        <v>66</v>
      </c>
      <c r="AK211" t="s">
        <v>66</v>
      </c>
      <c r="AM211" t="s">
        <v>66</v>
      </c>
      <c r="AO211" t="s">
        <v>66</v>
      </c>
      <c r="AQ211" t="s">
        <v>66</v>
      </c>
      <c r="AS211" t="s">
        <v>66</v>
      </c>
      <c r="AU211" t="s">
        <v>66</v>
      </c>
      <c r="AW211" t="s">
        <v>66</v>
      </c>
      <c r="AY211" t="s">
        <v>66</v>
      </c>
      <c r="BA211" t="s">
        <v>66</v>
      </c>
      <c r="BC211" t="s">
        <v>66</v>
      </c>
      <c r="BE211" t="s">
        <v>66</v>
      </c>
      <c r="BG211" t="s">
        <v>66</v>
      </c>
      <c r="BI211" t="s">
        <v>66</v>
      </c>
      <c r="BK211" t="s">
        <v>66</v>
      </c>
      <c r="BM211" t="s">
        <v>66</v>
      </c>
      <c r="BO211" t="s">
        <v>66</v>
      </c>
      <c r="BQ211" t="s">
        <v>66</v>
      </c>
      <c r="BS211" t="s">
        <v>66</v>
      </c>
      <c r="BU211" t="s">
        <v>66</v>
      </c>
      <c r="BW211" t="s">
        <v>66</v>
      </c>
      <c r="BY211" t="s">
        <v>66</v>
      </c>
      <c r="CA211" t="s">
        <v>66</v>
      </c>
      <c r="CC211" t="s">
        <v>66</v>
      </c>
      <c r="CE211" t="s">
        <v>66</v>
      </c>
      <c r="CG211" t="s">
        <v>66</v>
      </c>
      <c r="CI211" t="s">
        <v>66</v>
      </c>
      <c r="CK211" t="s">
        <v>66</v>
      </c>
      <c r="CM211" t="s">
        <v>66</v>
      </c>
      <c r="CO211" t="s">
        <v>66</v>
      </c>
      <c r="CQ211" t="s">
        <v>66</v>
      </c>
      <c r="CS211" t="s">
        <v>66</v>
      </c>
      <c r="CU211" t="s">
        <v>66</v>
      </c>
      <c r="CW211" t="s">
        <v>66</v>
      </c>
      <c r="CY211" t="s">
        <v>66</v>
      </c>
      <c r="DA211" t="s">
        <v>66</v>
      </c>
      <c r="DC211" t="s">
        <v>66</v>
      </c>
      <c r="DE211" t="s">
        <v>66</v>
      </c>
      <c r="DG211" t="s">
        <v>66</v>
      </c>
      <c r="DI211" t="s">
        <v>66</v>
      </c>
      <c r="DK211" t="s">
        <v>66</v>
      </c>
      <c r="DM211" t="s">
        <v>66</v>
      </c>
      <c r="DO211" t="s">
        <v>66</v>
      </c>
      <c r="DQ211" t="s">
        <v>66</v>
      </c>
    </row>
    <row r="212" spans="1:121" x14ac:dyDescent="0.2">
      <c r="A212" t="s">
        <v>612</v>
      </c>
      <c r="D212" t="s">
        <v>60</v>
      </c>
      <c r="E212" t="s">
        <v>61</v>
      </c>
      <c r="G212">
        <v>33568.199999999997</v>
      </c>
      <c r="I212">
        <v>742.4</v>
      </c>
      <c r="K212">
        <v>2855349</v>
      </c>
      <c r="M212">
        <v>149720.6</v>
      </c>
      <c r="O212">
        <v>3327.1</v>
      </c>
      <c r="Q212">
        <v>63850</v>
      </c>
      <c r="S212">
        <v>2414.6</v>
      </c>
      <c r="U212">
        <v>2140.3000000000002</v>
      </c>
      <c r="W212">
        <v>229700.3</v>
      </c>
      <c r="Y212">
        <v>89020.5</v>
      </c>
      <c r="AA212">
        <v>8640788.1999999993</v>
      </c>
      <c r="AC212">
        <v>9713282</v>
      </c>
      <c r="AE212">
        <v>37835810.5</v>
      </c>
      <c r="AG212">
        <v>189884</v>
      </c>
      <c r="AI212">
        <v>294791.09999999998</v>
      </c>
      <c r="AK212">
        <v>19322.2</v>
      </c>
      <c r="AM212">
        <v>9029.6</v>
      </c>
      <c r="AO212">
        <v>938</v>
      </c>
      <c r="AQ212">
        <v>277.10000000000002</v>
      </c>
      <c r="AS212">
        <v>589.79999999999995</v>
      </c>
      <c r="AU212">
        <v>354.2</v>
      </c>
      <c r="AW212">
        <v>327.10000000000002</v>
      </c>
      <c r="AY212">
        <v>16609.3</v>
      </c>
      <c r="BA212">
        <v>680739.3</v>
      </c>
      <c r="BC212">
        <v>3622.3</v>
      </c>
      <c r="BE212">
        <v>55650.6</v>
      </c>
      <c r="BG212">
        <v>3708257.8</v>
      </c>
      <c r="BI212">
        <v>3481657.3</v>
      </c>
      <c r="BK212">
        <v>7424000.2000000002</v>
      </c>
      <c r="BM212">
        <v>1988283.3</v>
      </c>
      <c r="BO212">
        <v>25858451.300000001</v>
      </c>
      <c r="BQ212">
        <v>79802</v>
      </c>
      <c r="BS212">
        <v>598282.69999999995</v>
      </c>
      <c r="BU212">
        <v>7243042</v>
      </c>
      <c r="BW212">
        <v>236099</v>
      </c>
      <c r="BY212">
        <v>1174906.7</v>
      </c>
      <c r="CA212">
        <v>43120.6</v>
      </c>
      <c r="CC212">
        <v>532.5</v>
      </c>
      <c r="CE212">
        <v>2117.5</v>
      </c>
      <c r="CG212">
        <v>647015.1</v>
      </c>
      <c r="CI212">
        <v>459778.6</v>
      </c>
      <c r="CK212">
        <v>3266532.7</v>
      </c>
      <c r="CM212">
        <v>27848.799999999999</v>
      </c>
      <c r="CO212">
        <v>139415.6</v>
      </c>
      <c r="CQ212">
        <v>560530.5</v>
      </c>
      <c r="CS212">
        <v>10446397.1</v>
      </c>
      <c r="CU212">
        <v>869059.3</v>
      </c>
      <c r="CW212">
        <v>1100227</v>
      </c>
      <c r="CY212">
        <v>59966.2</v>
      </c>
      <c r="DA212">
        <v>15997957.800000001</v>
      </c>
      <c r="DC212">
        <v>434.2</v>
      </c>
      <c r="DE212">
        <v>177223.5</v>
      </c>
      <c r="DG212">
        <v>522.5</v>
      </c>
      <c r="DI212">
        <v>2195.3000000000002</v>
      </c>
      <c r="DK212">
        <v>981.6</v>
      </c>
      <c r="DM212">
        <v>253891.8</v>
      </c>
      <c r="DO212">
        <v>278670.09999999998</v>
      </c>
      <c r="DQ212">
        <v>17278.400000000001</v>
      </c>
    </row>
    <row r="213" spans="1:121" x14ac:dyDescent="0.2">
      <c r="D213" t="s">
        <v>62</v>
      </c>
      <c r="E213" t="s">
        <v>61</v>
      </c>
      <c r="G213">
        <v>357.8</v>
      </c>
      <c r="I213">
        <v>17.8</v>
      </c>
      <c r="K213">
        <v>21884</v>
      </c>
      <c r="M213">
        <v>879.2</v>
      </c>
      <c r="O213">
        <v>185.2</v>
      </c>
      <c r="Q213">
        <v>704</v>
      </c>
      <c r="S213">
        <v>99.3</v>
      </c>
      <c r="U213">
        <v>104.9</v>
      </c>
      <c r="W213">
        <v>3432.6</v>
      </c>
      <c r="Y213">
        <v>1565.9</v>
      </c>
      <c r="AA213">
        <v>132394</v>
      </c>
      <c r="AC213">
        <v>146120.5</v>
      </c>
      <c r="AE213">
        <v>527792.19999999995</v>
      </c>
      <c r="AG213">
        <v>2212.6999999999998</v>
      </c>
      <c r="AI213">
        <v>3488.8</v>
      </c>
      <c r="AK213">
        <v>71</v>
      </c>
      <c r="AM213">
        <v>303.8</v>
      </c>
      <c r="AO213">
        <v>108.8</v>
      </c>
      <c r="AQ213">
        <v>63.9</v>
      </c>
      <c r="AS213">
        <v>20.2</v>
      </c>
      <c r="AU213">
        <v>40.700000000000003</v>
      </c>
      <c r="AW213">
        <v>69.900000000000006</v>
      </c>
      <c r="AY213">
        <v>804.2</v>
      </c>
      <c r="BA213">
        <v>11043.3</v>
      </c>
      <c r="BC213">
        <v>158</v>
      </c>
      <c r="BE213">
        <v>886.1</v>
      </c>
      <c r="BG213">
        <v>18862.599999999999</v>
      </c>
      <c r="BI213">
        <v>9025.2999999999993</v>
      </c>
      <c r="BK213">
        <v>77828.600000000006</v>
      </c>
      <c r="BM213">
        <v>22451.3</v>
      </c>
      <c r="BO213">
        <v>74830.100000000006</v>
      </c>
      <c r="BQ213">
        <v>837.6</v>
      </c>
      <c r="BS213">
        <v>4646.6000000000004</v>
      </c>
      <c r="BU213">
        <v>37959.5</v>
      </c>
      <c r="BW213">
        <v>2647.5</v>
      </c>
      <c r="BY213">
        <v>5991.6</v>
      </c>
      <c r="CA213">
        <v>862.8</v>
      </c>
      <c r="CC213">
        <v>43.1</v>
      </c>
      <c r="CE213">
        <v>108.5</v>
      </c>
      <c r="CG213">
        <v>9310.9</v>
      </c>
      <c r="CI213">
        <v>4276.2</v>
      </c>
      <c r="CK213">
        <v>29852.6</v>
      </c>
      <c r="CM213">
        <v>151.19999999999999</v>
      </c>
      <c r="CO213">
        <v>1238.4000000000001</v>
      </c>
      <c r="CQ213">
        <v>4960.8</v>
      </c>
      <c r="CS213">
        <v>77860</v>
      </c>
      <c r="CU213">
        <v>1059.9000000000001</v>
      </c>
      <c r="CW213">
        <v>25474.6</v>
      </c>
      <c r="CY213">
        <v>1555.8</v>
      </c>
      <c r="DA213">
        <v>202617.5</v>
      </c>
      <c r="DC213">
        <v>38.4</v>
      </c>
      <c r="DE213">
        <v>1637.9</v>
      </c>
      <c r="DG213">
        <v>8.4</v>
      </c>
      <c r="DI213">
        <v>153.19999999999999</v>
      </c>
      <c r="DK213">
        <v>47.8</v>
      </c>
      <c r="DM213">
        <v>3333.1</v>
      </c>
      <c r="DO213">
        <v>7070</v>
      </c>
      <c r="DQ213">
        <v>186.2</v>
      </c>
    </row>
    <row r="214" spans="1:121" x14ac:dyDescent="0.2">
      <c r="D214" t="s">
        <v>63</v>
      </c>
      <c r="G214">
        <v>0.23125999999999999</v>
      </c>
      <c r="H214" t="s">
        <v>75</v>
      </c>
      <c r="I214">
        <v>1.3180000000000001E-2</v>
      </c>
      <c r="J214" t="s">
        <v>75</v>
      </c>
      <c r="K214">
        <v>3.6138499999999998</v>
      </c>
      <c r="L214" t="s">
        <v>75</v>
      </c>
      <c r="M214">
        <v>0.11729000000000001</v>
      </c>
      <c r="N214" t="s">
        <v>75</v>
      </c>
      <c r="O214">
        <v>5.6899999999999997E-3</v>
      </c>
      <c r="P214" t="s">
        <v>75</v>
      </c>
      <c r="Q214">
        <v>0.43158000000000002</v>
      </c>
      <c r="R214" t="s">
        <v>75</v>
      </c>
      <c r="S214">
        <v>1.41E-3</v>
      </c>
      <c r="T214" t="s">
        <v>75</v>
      </c>
      <c r="U214">
        <v>1.447E-2</v>
      </c>
      <c r="V214" t="s">
        <v>75</v>
      </c>
      <c r="W214">
        <v>0.48882999999999999</v>
      </c>
      <c r="X214" t="s">
        <v>75</v>
      </c>
      <c r="Y214">
        <v>1.3166500000000001</v>
      </c>
      <c r="Z214" t="s">
        <v>75</v>
      </c>
      <c r="AB214" t="s">
        <v>76</v>
      </c>
      <c r="AC214">
        <v>34.459220000000002</v>
      </c>
      <c r="AD214" t="s">
        <v>75</v>
      </c>
      <c r="AE214">
        <v>141.18771000000001</v>
      </c>
      <c r="AF214" t="s">
        <v>75</v>
      </c>
      <c r="AG214">
        <v>0.13214000000000001</v>
      </c>
      <c r="AH214" t="s">
        <v>75</v>
      </c>
      <c r="AI214">
        <v>1.8560099999999999</v>
      </c>
      <c r="AJ214" t="s">
        <v>75</v>
      </c>
      <c r="AK214">
        <v>1.106E-2</v>
      </c>
      <c r="AL214" t="s">
        <v>75</v>
      </c>
      <c r="AM214">
        <v>1.07E-3</v>
      </c>
      <c r="AN214" t="s">
        <v>75</v>
      </c>
      <c r="AO214">
        <v>4.8399999999999997E-3</v>
      </c>
      <c r="AP214" t="s">
        <v>75</v>
      </c>
      <c r="AQ214">
        <v>2.2000000000000001E-4</v>
      </c>
      <c r="AR214" t="s">
        <v>75</v>
      </c>
      <c r="AS214">
        <v>1.57E-3</v>
      </c>
      <c r="AT214" t="s">
        <v>75</v>
      </c>
      <c r="AU214">
        <v>1.58E-3</v>
      </c>
      <c r="AV214" t="s">
        <v>75</v>
      </c>
      <c r="AW214">
        <v>-1.0000000000000001E-5</v>
      </c>
      <c r="AX214" t="s">
        <v>75</v>
      </c>
      <c r="AY214">
        <v>4.3029999999999999E-2</v>
      </c>
      <c r="AZ214" t="s">
        <v>75</v>
      </c>
      <c r="BC214">
        <v>-2.0491199999999998</v>
      </c>
      <c r="BD214" t="s">
        <v>75</v>
      </c>
      <c r="BE214">
        <v>5.5489999999999998E-2</v>
      </c>
      <c r="BF214" t="s">
        <v>75</v>
      </c>
      <c r="BG214">
        <v>10.5809</v>
      </c>
      <c r="BH214" t="s">
        <v>75</v>
      </c>
      <c r="BI214">
        <v>11.445679999999999</v>
      </c>
      <c r="BJ214" t="s">
        <v>75</v>
      </c>
      <c r="BK214">
        <v>10.664540000000001</v>
      </c>
      <c r="BL214" t="s">
        <v>75</v>
      </c>
      <c r="BM214">
        <v>1.8511599999999999</v>
      </c>
      <c r="BN214" t="s">
        <v>75</v>
      </c>
      <c r="BO214">
        <v>566.13309000000004</v>
      </c>
      <c r="BP214" t="s">
        <v>75</v>
      </c>
      <c r="BQ214">
        <v>2.26674</v>
      </c>
      <c r="BR214" t="s">
        <v>75</v>
      </c>
      <c r="BS214">
        <v>12.87814</v>
      </c>
      <c r="BT214" t="s">
        <v>75</v>
      </c>
      <c r="BU214">
        <v>277.53886999999997</v>
      </c>
      <c r="BV214" t="s">
        <v>75</v>
      </c>
      <c r="BW214">
        <v>99.442530000000005</v>
      </c>
      <c r="BX214" t="s">
        <v>75</v>
      </c>
      <c r="BY214">
        <v>320.19650999999999</v>
      </c>
      <c r="BZ214" t="s">
        <v>75</v>
      </c>
      <c r="CA214">
        <v>19.382480000000001</v>
      </c>
      <c r="CB214" t="s">
        <v>75</v>
      </c>
      <c r="CC214">
        <v>9.8659999999999998E-2</v>
      </c>
      <c r="CD214" t="s">
        <v>75</v>
      </c>
      <c r="CE214">
        <v>2.9739999999999999E-2</v>
      </c>
      <c r="CF214" t="s">
        <v>75</v>
      </c>
      <c r="CG214">
        <v>10.95035</v>
      </c>
      <c r="CH214" t="s">
        <v>75</v>
      </c>
      <c r="CI214">
        <v>5.9374500000000001</v>
      </c>
      <c r="CJ214" t="s">
        <v>75</v>
      </c>
      <c r="CK214">
        <v>45.6736</v>
      </c>
      <c r="CL214" t="s">
        <v>75</v>
      </c>
      <c r="CM214">
        <v>0.38644000000000001</v>
      </c>
      <c r="CN214" t="s">
        <v>75</v>
      </c>
      <c r="CO214">
        <v>7.8531599999999999</v>
      </c>
      <c r="CP214" t="s">
        <v>75</v>
      </c>
      <c r="CQ214">
        <v>16.83663</v>
      </c>
      <c r="CR214" t="s">
        <v>75</v>
      </c>
      <c r="CS214">
        <v>2717.9350899999999</v>
      </c>
      <c r="CT214" t="s">
        <v>75</v>
      </c>
      <c r="CV214" t="s">
        <v>76</v>
      </c>
      <c r="CW214">
        <v>40.613869999999999</v>
      </c>
      <c r="CX214" t="s">
        <v>75</v>
      </c>
      <c r="DA214">
        <v>899.75013000000001</v>
      </c>
      <c r="DB214" t="s">
        <v>75</v>
      </c>
      <c r="DC214">
        <v>0.17901</v>
      </c>
      <c r="DD214" t="s">
        <v>75</v>
      </c>
      <c r="DE214">
        <v>75.670529999999999</v>
      </c>
      <c r="DF214" t="s">
        <v>75</v>
      </c>
      <c r="DG214">
        <v>2.5320800000000001</v>
      </c>
      <c r="DH214" t="s">
        <v>75</v>
      </c>
      <c r="DI214">
        <v>3.1926100000000002</v>
      </c>
      <c r="DJ214" t="s">
        <v>75</v>
      </c>
      <c r="DL214" t="s">
        <v>76</v>
      </c>
      <c r="DN214" t="s">
        <v>76</v>
      </c>
      <c r="DO214">
        <v>38.894680000000001</v>
      </c>
      <c r="DP214" t="s">
        <v>75</v>
      </c>
    </row>
    <row r="215" spans="1:121" x14ac:dyDescent="0.2">
      <c r="D215" t="s">
        <v>64</v>
      </c>
      <c r="G215">
        <v>7.0099999999999997E-3</v>
      </c>
      <c r="H215" t="s">
        <v>75</v>
      </c>
      <c r="I215">
        <v>9.1E-4</v>
      </c>
      <c r="J215" t="s">
        <v>75</v>
      </c>
      <c r="K215">
        <v>7.8490000000000004E-2</v>
      </c>
      <c r="L215" t="s">
        <v>75</v>
      </c>
      <c r="M215">
        <v>2.6099999999999999E-3</v>
      </c>
      <c r="N215" t="s">
        <v>75</v>
      </c>
      <c r="O215">
        <v>2.0000000000000001E-4</v>
      </c>
      <c r="P215" t="s">
        <v>75</v>
      </c>
      <c r="Q215">
        <v>5.6100000000000004E-3</v>
      </c>
      <c r="R215" t="s">
        <v>75</v>
      </c>
      <c r="S215">
        <v>1.2E-4</v>
      </c>
      <c r="T215" t="s">
        <v>75</v>
      </c>
      <c r="U215">
        <v>4.8000000000000001E-4</v>
      </c>
      <c r="V215" t="s">
        <v>75</v>
      </c>
      <c r="W215">
        <v>1.1440000000000001E-2</v>
      </c>
      <c r="X215" t="s">
        <v>75</v>
      </c>
      <c r="Y215">
        <v>3.6600000000000001E-2</v>
      </c>
      <c r="Z215" t="s">
        <v>75</v>
      </c>
      <c r="AC215">
        <v>0.82682999999999995</v>
      </c>
      <c r="AD215" t="s">
        <v>75</v>
      </c>
      <c r="AE215">
        <v>3.5261499999999999</v>
      </c>
      <c r="AF215" t="s">
        <v>75</v>
      </c>
      <c r="AG215">
        <v>4.1099999999999999E-3</v>
      </c>
      <c r="AH215" t="s">
        <v>75</v>
      </c>
      <c r="AI215">
        <v>5.0169999999999999E-2</v>
      </c>
      <c r="AJ215" t="s">
        <v>75</v>
      </c>
      <c r="AK215">
        <v>2.5999999999999998E-4</v>
      </c>
      <c r="AL215" t="s">
        <v>75</v>
      </c>
      <c r="AM215">
        <v>2.7999999999999998E-4</v>
      </c>
      <c r="AN215" t="s">
        <v>75</v>
      </c>
      <c r="AO215">
        <v>4.4000000000000002E-4</v>
      </c>
      <c r="AP215" t="s">
        <v>75</v>
      </c>
      <c r="AQ215">
        <v>2.7999999999999998E-4</v>
      </c>
      <c r="AR215" t="s">
        <v>75</v>
      </c>
      <c r="AS215">
        <v>5.0000000000000002E-5</v>
      </c>
      <c r="AT215" t="s">
        <v>75</v>
      </c>
      <c r="AU215">
        <v>3.0000000000000001E-5</v>
      </c>
      <c r="AV215" t="s">
        <v>75</v>
      </c>
      <c r="AW215">
        <v>1.8000000000000001E-4</v>
      </c>
      <c r="AX215" t="s">
        <v>75</v>
      </c>
      <c r="AY215">
        <v>3.1099999999999999E-3</v>
      </c>
      <c r="AZ215" t="s">
        <v>75</v>
      </c>
      <c r="BC215">
        <v>2.9999999999999997E-4</v>
      </c>
      <c r="BD215" t="s">
        <v>75</v>
      </c>
      <c r="BE215">
        <v>4.0999999999999999E-4</v>
      </c>
      <c r="BF215" t="s">
        <v>75</v>
      </c>
      <c r="BG215">
        <v>0.22478000000000001</v>
      </c>
      <c r="BH215" t="s">
        <v>75</v>
      </c>
      <c r="BI215">
        <v>0.15526000000000001</v>
      </c>
      <c r="BJ215" t="s">
        <v>75</v>
      </c>
      <c r="BK215">
        <v>0.187</v>
      </c>
      <c r="BL215" t="s">
        <v>75</v>
      </c>
      <c r="BM215">
        <v>2.9069999999999999E-2</v>
      </c>
      <c r="BN215" t="s">
        <v>75</v>
      </c>
      <c r="BO215">
        <v>13.36239</v>
      </c>
      <c r="BP215" t="s">
        <v>75</v>
      </c>
      <c r="BQ215">
        <v>6.794E-2</v>
      </c>
      <c r="BR215" t="s">
        <v>75</v>
      </c>
      <c r="BS215">
        <v>0.31579000000000002</v>
      </c>
      <c r="BT215" t="s">
        <v>75</v>
      </c>
      <c r="BU215">
        <v>9.0119699999999998</v>
      </c>
      <c r="BV215" t="s">
        <v>75</v>
      </c>
      <c r="BW215">
        <v>3.0339100000000001</v>
      </c>
      <c r="BX215" t="s">
        <v>75</v>
      </c>
      <c r="BY215">
        <v>8.9703199999999992</v>
      </c>
      <c r="BZ215" t="s">
        <v>75</v>
      </c>
      <c r="CA215">
        <v>1.0058400000000001</v>
      </c>
      <c r="CB215" t="s">
        <v>75</v>
      </c>
      <c r="CC215">
        <v>7.4200000000000004E-3</v>
      </c>
      <c r="CD215" t="s">
        <v>75</v>
      </c>
      <c r="CE215">
        <v>2.0200000000000001E-3</v>
      </c>
      <c r="CF215" t="s">
        <v>75</v>
      </c>
      <c r="CG215">
        <v>0.20047999999999999</v>
      </c>
      <c r="CH215" t="s">
        <v>75</v>
      </c>
      <c r="CI215">
        <v>0.10011</v>
      </c>
      <c r="CJ215" t="s">
        <v>75</v>
      </c>
      <c r="CK215">
        <v>1.02478</v>
      </c>
      <c r="CL215" t="s">
        <v>75</v>
      </c>
      <c r="CM215">
        <v>1.123E-2</v>
      </c>
      <c r="CN215" t="s">
        <v>75</v>
      </c>
      <c r="CO215">
        <v>0.24534</v>
      </c>
      <c r="CP215" t="s">
        <v>75</v>
      </c>
      <c r="CQ215">
        <v>0.31978000000000001</v>
      </c>
      <c r="CR215" t="s">
        <v>75</v>
      </c>
      <c r="CS215">
        <v>51.888820000000003</v>
      </c>
      <c r="CT215" t="s">
        <v>75</v>
      </c>
      <c r="CW215">
        <v>1.82917</v>
      </c>
      <c r="CX215" t="s">
        <v>75</v>
      </c>
      <c r="DA215">
        <v>18.057369999999999</v>
      </c>
      <c r="DB215" t="s">
        <v>75</v>
      </c>
      <c r="DC215">
        <v>1.504E-2</v>
      </c>
      <c r="DD215" t="s">
        <v>75</v>
      </c>
      <c r="DE215">
        <v>1.45173</v>
      </c>
      <c r="DF215" t="s">
        <v>75</v>
      </c>
      <c r="DG215">
        <v>5.491E-2</v>
      </c>
      <c r="DH215" t="s">
        <v>75</v>
      </c>
      <c r="DI215">
        <v>0.28527999999999998</v>
      </c>
      <c r="DJ215" t="s">
        <v>75</v>
      </c>
      <c r="DO215">
        <v>1.09334</v>
      </c>
      <c r="DP215" t="s">
        <v>75</v>
      </c>
    </row>
    <row r="216" spans="1:121" x14ac:dyDescent="0.2">
      <c r="D216" t="s">
        <v>65</v>
      </c>
      <c r="G216" t="s">
        <v>66</v>
      </c>
      <c r="I216" t="s">
        <v>66</v>
      </c>
      <c r="K216" t="s">
        <v>66</v>
      </c>
      <c r="M216" t="s">
        <v>66</v>
      </c>
      <c r="O216" t="s">
        <v>66</v>
      </c>
      <c r="Q216" t="s">
        <v>66</v>
      </c>
      <c r="S216" t="s">
        <v>66</v>
      </c>
      <c r="U216" t="s">
        <v>66</v>
      </c>
      <c r="W216" t="s">
        <v>66</v>
      </c>
      <c r="Y216" t="s">
        <v>66</v>
      </c>
      <c r="AA216" t="s">
        <v>66</v>
      </c>
      <c r="AC216" t="s">
        <v>66</v>
      </c>
      <c r="AE216" t="s">
        <v>66</v>
      </c>
      <c r="AG216" t="s">
        <v>66</v>
      </c>
      <c r="AI216" t="s">
        <v>66</v>
      </c>
      <c r="AK216" t="s">
        <v>66</v>
      </c>
      <c r="AM216" t="s">
        <v>66</v>
      </c>
      <c r="AO216" t="s">
        <v>66</v>
      </c>
      <c r="AQ216" t="s">
        <v>66</v>
      </c>
      <c r="AS216" t="s">
        <v>66</v>
      </c>
      <c r="AU216" t="s">
        <v>66</v>
      </c>
      <c r="AW216" t="s">
        <v>66</v>
      </c>
      <c r="AY216" t="s">
        <v>66</v>
      </c>
      <c r="BA216" t="s">
        <v>66</v>
      </c>
      <c r="BC216" t="s">
        <v>66</v>
      </c>
      <c r="BE216" t="s">
        <v>66</v>
      </c>
      <c r="BG216" t="s">
        <v>66</v>
      </c>
      <c r="BI216" t="s">
        <v>66</v>
      </c>
      <c r="BK216" t="s">
        <v>66</v>
      </c>
      <c r="BM216" t="s">
        <v>66</v>
      </c>
      <c r="BO216" t="s">
        <v>66</v>
      </c>
      <c r="BQ216" t="s">
        <v>66</v>
      </c>
      <c r="BS216" t="s">
        <v>66</v>
      </c>
      <c r="BU216" t="s">
        <v>66</v>
      </c>
      <c r="BW216" t="s">
        <v>66</v>
      </c>
      <c r="BY216" t="s">
        <v>66</v>
      </c>
      <c r="CA216" t="s">
        <v>66</v>
      </c>
      <c r="CC216" t="s">
        <v>66</v>
      </c>
      <c r="CE216" t="s">
        <v>66</v>
      </c>
      <c r="CG216" t="s">
        <v>66</v>
      </c>
      <c r="CI216" t="s">
        <v>66</v>
      </c>
      <c r="CK216" t="s">
        <v>66</v>
      </c>
      <c r="CM216" t="s">
        <v>66</v>
      </c>
      <c r="CO216" t="s">
        <v>66</v>
      </c>
      <c r="CQ216" t="s">
        <v>66</v>
      </c>
      <c r="CS216" t="s">
        <v>66</v>
      </c>
      <c r="CU216" t="s">
        <v>66</v>
      </c>
      <c r="CW216" t="s">
        <v>66</v>
      </c>
      <c r="CY216" t="s">
        <v>66</v>
      </c>
      <c r="DA216" t="s">
        <v>66</v>
      </c>
      <c r="DC216" t="s">
        <v>66</v>
      </c>
      <c r="DE216" t="s">
        <v>66</v>
      </c>
      <c r="DG216" t="s">
        <v>66</v>
      </c>
      <c r="DI216" t="s">
        <v>66</v>
      </c>
      <c r="DK216" t="s">
        <v>66</v>
      </c>
      <c r="DM216" t="s">
        <v>66</v>
      </c>
      <c r="DO216" t="s">
        <v>66</v>
      </c>
      <c r="DQ216" t="s">
        <v>66</v>
      </c>
    </row>
    <row r="217" spans="1:121" x14ac:dyDescent="0.2">
      <c r="A217" t="s">
        <v>613</v>
      </c>
      <c r="D217" t="s">
        <v>60</v>
      </c>
      <c r="E217" t="s">
        <v>61</v>
      </c>
      <c r="G217">
        <v>13138.3</v>
      </c>
      <c r="I217">
        <v>728.1</v>
      </c>
      <c r="K217">
        <v>619021</v>
      </c>
      <c r="M217">
        <v>89410.8</v>
      </c>
      <c r="O217">
        <v>1685.6</v>
      </c>
      <c r="Q217">
        <v>12370.4</v>
      </c>
      <c r="S217">
        <v>1452.1</v>
      </c>
      <c r="U217">
        <v>1592.9</v>
      </c>
      <c r="W217">
        <v>48771.3</v>
      </c>
      <c r="Y217">
        <v>16447.5</v>
      </c>
      <c r="AA217">
        <v>3240062</v>
      </c>
      <c r="AC217">
        <v>1259882.7</v>
      </c>
      <c r="AE217">
        <v>1050104.8</v>
      </c>
      <c r="AG217">
        <v>44122.8</v>
      </c>
      <c r="AI217">
        <v>61219.199999999997</v>
      </c>
      <c r="AK217">
        <v>2369.6999999999998</v>
      </c>
      <c r="AM217">
        <v>3908</v>
      </c>
      <c r="AO217">
        <v>433.4</v>
      </c>
      <c r="AQ217">
        <v>226.1</v>
      </c>
      <c r="AS217">
        <v>401.1</v>
      </c>
      <c r="AU217">
        <v>260.39999999999998</v>
      </c>
      <c r="AW217">
        <v>187.5</v>
      </c>
      <c r="AY217">
        <v>6205.7</v>
      </c>
      <c r="BA217">
        <v>677699.1</v>
      </c>
      <c r="BC217">
        <v>3715.1</v>
      </c>
      <c r="BE217">
        <v>24671.1</v>
      </c>
      <c r="BG217">
        <v>717850.1</v>
      </c>
      <c r="BI217">
        <v>603478.4</v>
      </c>
      <c r="BK217">
        <v>1543355.2</v>
      </c>
      <c r="BM217">
        <v>765341.7</v>
      </c>
      <c r="BO217">
        <v>3915773</v>
      </c>
      <c r="BQ217">
        <v>47063.3</v>
      </c>
      <c r="BS217">
        <v>275674.3</v>
      </c>
      <c r="BU217">
        <v>985567.3</v>
      </c>
      <c r="BW217">
        <v>51082.1</v>
      </c>
      <c r="BY217">
        <v>393154.9</v>
      </c>
      <c r="CA217">
        <v>27652.7</v>
      </c>
      <c r="CC217">
        <v>183.3</v>
      </c>
      <c r="CE217">
        <v>513.1</v>
      </c>
      <c r="CG217">
        <v>223780</v>
      </c>
      <c r="CI217">
        <v>62381.9</v>
      </c>
      <c r="CK217">
        <v>423008.2</v>
      </c>
      <c r="CM217">
        <v>2206.5</v>
      </c>
      <c r="CO217">
        <v>16513.099999999999</v>
      </c>
      <c r="CQ217">
        <v>88217</v>
      </c>
      <c r="CS217">
        <v>896889.2</v>
      </c>
      <c r="CU217">
        <v>280474.5</v>
      </c>
      <c r="CW217">
        <v>124436.4</v>
      </c>
      <c r="CY217">
        <v>60498.6</v>
      </c>
      <c r="DA217">
        <v>4133942.1</v>
      </c>
      <c r="DC217">
        <v>63.9</v>
      </c>
      <c r="DE217">
        <v>2784</v>
      </c>
      <c r="DG217">
        <v>78.400000000000006</v>
      </c>
      <c r="DI217">
        <v>967</v>
      </c>
      <c r="DK217">
        <v>978.9</v>
      </c>
      <c r="DM217">
        <v>82874.7</v>
      </c>
      <c r="DO217">
        <v>33004.300000000003</v>
      </c>
      <c r="DQ217">
        <v>16650.8</v>
      </c>
    </row>
    <row r="218" spans="1:121" x14ac:dyDescent="0.2">
      <c r="D218" t="s">
        <v>62</v>
      </c>
      <c r="E218" t="s">
        <v>61</v>
      </c>
      <c r="G218">
        <v>244.3</v>
      </c>
      <c r="I218">
        <v>113.2</v>
      </c>
      <c r="K218">
        <v>4368.6000000000004</v>
      </c>
      <c r="M218">
        <v>1979.6</v>
      </c>
      <c r="O218">
        <v>141.30000000000001</v>
      </c>
      <c r="Q218">
        <v>137.9</v>
      </c>
      <c r="S218">
        <v>93.9</v>
      </c>
      <c r="U218">
        <v>122.2</v>
      </c>
      <c r="W218">
        <v>160.69999999999999</v>
      </c>
      <c r="Y218">
        <v>273.89999999999998</v>
      </c>
      <c r="AA218">
        <v>20731.8</v>
      </c>
      <c r="AC218">
        <v>3680.5</v>
      </c>
      <c r="AE218">
        <v>6762.4</v>
      </c>
      <c r="AG218">
        <v>676</v>
      </c>
      <c r="AI218">
        <v>724.1</v>
      </c>
      <c r="AK218">
        <v>215.6</v>
      </c>
      <c r="AM218">
        <v>156.5</v>
      </c>
      <c r="AO218">
        <v>38.799999999999997</v>
      </c>
      <c r="AQ218">
        <v>56.4</v>
      </c>
      <c r="AS218">
        <v>42</v>
      </c>
      <c r="AU218">
        <v>64.400000000000006</v>
      </c>
      <c r="AW218">
        <v>15.6</v>
      </c>
      <c r="AY218">
        <v>13</v>
      </c>
      <c r="BA218">
        <v>12076.1</v>
      </c>
      <c r="BC218">
        <v>187</v>
      </c>
      <c r="BE218">
        <v>418.8</v>
      </c>
      <c r="BG218">
        <v>5286.6</v>
      </c>
      <c r="BI218">
        <v>3876.1</v>
      </c>
      <c r="BK218">
        <v>25447.9</v>
      </c>
      <c r="BM218">
        <v>11120.4</v>
      </c>
      <c r="BO218">
        <v>81718.100000000006</v>
      </c>
      <c r="BQ218">
        <v>1355.2</v>
      </c>
      <c r="BS218">
        <v>12126.3</v>
      </c>
      <c r="BU218">
        <v>18208</v>
      </c>
      <c r="BW218">
        <v>2154.5</v>
      </c>
      <c r="BY218">
        <v>8015.8</v>
      </c>
      <c r="CA218">
        <v>782</v>
      </c>
      <c r="CC218">
        <v>19.399999999999999</v>
      </c>
      <c r="CE218">
        <v>76.7</v>
      </c>
      <c r="CG218">
        <v>5101.3999999999996</v>
      </c>
      <c r="CI218">
        <v>210.9</v>
      </c>
      <c r="CK218">
        <v>1003.9</v>
      </c>
      <c r="CM218">
        <v>121</v>
      </c>
      <c r="CO218">
        <v>337.5</v>
      </c>
      <c r="CQ218">
        <v>662</v>
      </c>
      <c r="CS218">
        <v>6571.1</v>
      </c>
      <c r="CU218">
        <v>2123.4</v>
      </c>
      <c r="CW218">
        <v>3230.9</v>
      </c>
      <c r="CY218">
        <v>800.4</v>
      </c>
      <c r="DA218">
        <v>67670.3</v>
      </c>
      <c r="DC218">
        <v>17.7</v>
      </c>
      <c r="DE218">
        <v>132.80000000000001</v>
      </c>
      <c r="DG218">
        <v>8.1999999999999993</v>
      </c>
      <c r="DI218">
        <v>64.8</v>
      </c>
      <c r="DK218">
        <v>21.2</v>
      </c>
      <c r="DM218">
        <v>1656.3</v>
      </c>
      <c r="DO218">
        <v>1496.4</v>
      </c>
      <c r="DQ218">
        <v>310.60000000000002</v>
      </c>
    </row>
    <row r="219" spans="1:121" x14ac:dyDescent="0.2">
      <c r="D219" t="s">
        <v>63</v>
      </c>
      <c r="G219">
        <v>7.0040000000000005E-2</v>
      </c>
      <c r="H219" t="s">
        <v>75</v>
      </c>
      <c r="I219">
        <v>1.2789999999999999E-2</v>
      </c>
      <c r="J219" t="s">
        <v>75</v>
      </c>
      <c r="K219">
        <v>0.78417999999999999</v>
      </c>
      <c r="L219" t="s">
        <v>75</v>
      </c>
      <c r="M219">
        <v>5.6649999999999999E-2</v>
      </c>
      <c r="N219" t="s">
        <v>75</v>
      </c>
      <c r="O219">
        <v>4.3400000000000001E-3</v>
      </c>
      <c r="P219" t="s">
        <v>75</v>
      </c>
      <c r="Q219">
        <v>0.10091</v>
      </c>
      <c r="R219" t="s">
        <v>75</v>
      </c>
      <c r="S219">
        <v>5.8E-4</v>
      </c>
      <c r="T219" t="s">
        <v>75</v>
      </c>
      <c r="U219">
        <v>1.2239999999999999E-2</v>
      </c>
      <c r="V219" t="s">
        <v>75</v>
      </c>
      <c r="W219">
        <v>0.10705000000000001</v>
      </c>
      <c r="X219" t="s">
        <v>75</v>
      </c>
      <c r="Y219">
        <v>0.24437999999999999</v>
      </c>
      <c r="Z219" t="s">
        <v>75</v>
      </c>
      <c r="AB219" t="s">
        <v>76</v>
      </c>
      <c r="AC219">
        <v>4.5260499999999997</v>
      </c>
      <c r="AD219" t="s">
        <v>75</v>
      </c>
      <c r="AE219">
        <v>3.9738899999999999</v>
      </c>
      <c r="AF219" t="s">
        <v>75</v>
      </c>
      <c r="AG219">
        <v>1.83E-2</v>
      </c>
      <c r="AH219" t="s">
        <v>75</v>
      </c>
      <c r="AI219">
        <v>0.38708999999999999</v>
      </c>
      <c r="AJ219" t="s">
        <v>75</v>
      </c>
      <c r="AK219">
        <v>-5.1999999999999995E-4</v>
      </c>
      <c r="AL219" t="s">
        <v>75</v>
      </c>
      <c r="AM219">
        <v>-2.7499999999999998E-3</v>
      </c>
      <c r="AN219" t="s">
        <v>75</v>
      </c>
      <c r="AO219">
        <v>3.0100000000000001E-3</v>
      </c>
      <c r="AP219" t="s">
        <v>75</v>
      </c>
      <c r="AQ219">
        <v>1.0000000000000001E-5</v>
      </c>
      <c r="AR219" t="s">
        <v>75</v>
      </c>
      <c r="AS219">
        <v>7.3999999999999999E-4</v>
      </c>
      <c r="AT219" t="s">
        <v>75</v>
      </c>
      <c r="AU219">
        <v>1.5200000000000001E-3</v>
      </c>
      <c r="AV219" t="s">
        <v>75</v>
      </c>
      <c r="AW219">
        <v>-3.5E-4</v>
      </c>
      <c r="AX219" t="s">
        <v>75</v>
      </c>
      <c r="AY219">
        <v>9.6699999999999998E-3</v>
      </c>
      <c r="AZ219" t="s">
        <v>75</v>
      </c>
      <c r="BC219">
        <v>-2.0487899999999999</v>
      </c>
      <c r="BD219" t="s">
        <v>75</v>
      </c>
      <c r="BE219">
        <v>2.614E-2</v>
      </c>
      <c r="BF219" t="s">
        <v>75</v>
      </c>
      <c r="BG219">
        <v>2.0263200000000001</v>
      </c>
      <c r="BH219" t="s">
        <v>75</v>
      </c>
      <c r="BI219">
        <v>1.9794499999999999</v>
      </c>
      <c r="BJ219" t="s">
        <v>75</v>
      </c>
      <c r="BK219">
        <v>2.0611899999999999</v>
      </c>
      <c r="BL219" t="s">
        <v>75</v>
      </c>
      <c r="BM219">
        <v>0.70965999999999996</v>
      </c>
      <c r="BN219" t="s">
        <v>75</v>
      </c>
      <c r="BO219">
        <v>83.480860000000007</v>
      </c>
      <c r="BP219" t="s">
        <v>75</v>
      </c>
      <c r="BQ219">
        <v>1.1502600000000001</v>
      </c>
      <c r="BR219" t="s">
        <v>75</v>
      </c>
      <c r="BS219">
        <v>5.6297699999999997</v>
      </c>
      <c r="BT219" t="s">
        <v>75</v>
      </c>
      <c r="BU219">
        <v>19.704440000000002</v>
      </c>
      <c r="BV219" t="s">
        <v>75</v>
      </c>
      <c r="BW219">
        <v>21.119039999999998</v>
      </c>
      <c r="BX219" t="s">
        <v>75</v>
      </c>
      <c r="BY219">
        <v>100.7366</v>
      </c>
      <c r="BZ219" t="s">
        <v>75</v>
      </c>
      <c r="CA219">
        <v>10.99578</v>
      </c>
      <c r="CB219" t="s">
        <v>75</v>
      </c>
      <c r="CC219">
        <v>2.4330000000000001E-2</v>
      </c>
      <c r="CD219" t="s">
        <v>75</v>
      </c>
      <c r="CE219">
        <v>5.8999999999999999E-3</v>
      </c>
      <c r="CF219" t="s">
        <v>75</v>
      </c>
      <c r="CG219">
        <v>3.7424300000000001</v>
      </c>
      <c r="CH219" t="s">
        <v>75</v>
      </c>
      <c r="CI219">
        <v>0.77351999999999999</v>
      </c>
      <c r="CJ219" t="s">
        <v>75</v>
      </c>
      <c r="CK219">
        <v>5.5738799999999999</v>
      </c>
      <c r="CL219" t="s">
        <v>75</v>
      </c>
      <c r="CM219">
        <v>2.3879999999999998E-2</v>
      </c>
      <c r="CN219" t="s">
        <v>75</v>
      </c>
      <c r="CO219">
        <v>0.93052999999999997</v>
      </c>
      <c r="CP219" t="s">
        <v>75</v>
      </c>
      <c r="CQ219">
        <v>2.6027200000000001</v>
      </c>
      <c r="CR219" t="s">
        <v>75</v>
      </c>
      <c r="CS219">
        <v>231.16585000000001</v>
      </c>
      <c r="CT219" t="s">
        <v>75</v>
      </c>
      <c r="CV219" t="s">
        <v>76</v>
      </c>
      <c r="CW219">
        <v>4.5280500000000004</v>
      </c>
      <c r="CX219" t="s">
        <v>75</v>
      </c>
      <c r="DA219">
        <v>241.08482000000001</v>
      </c>
      <c r="DB219" t="s">
        <v>75</v>
      </c>
      <c r="DC219">
        <v>2.6530000000000001E-2</v>
      </c>
      <c r="DD219" t="s">
        <v>75</v>
      </c>
      <c r="DE219">
        <v>1.2153700000000001</v>
      </c>
      <c r="DF219" t="s">
        <v>75</v>
      </c>
      <c r="DG219">
        <v>0.34179999999999999</v>
      </c>
      <c r="DH219" t="s">
        <v>75</v>
      </c>
      <c r="DI219">
        <v>1.20682</v>
      </c>
      <c r="DJ219" t="s">
        <v>75</v>
      </c>
      <c r="DL219" t="s">
        <v>76</v>
      </c>
      <c r="DN219" t="s">
        <v>76</v>
      </c>
      <c r="DO219">
        <v>4.7714100000000004</v>
      </c>
      <c r="DP219" t="s">
        <v>75</v>
      </c>
    </row>
    <row r="220" spans="1:121" x14ac:dyDescent="0.2">
      <c r="D220" t="s">
        <v>64</v>
      </c>
      <c r="G220">
        <v>1.73E-3</v>
      </c>
      <c r="H220" t="s">
        <v>75</v>
      </c>
      <c r="I220">
        <v>3.9300000000000003E-3</v>
      </c>
      <c r="J220" t="s">
        <v>75</v>
      </c>
      <c r="K220">
        <v>1.021E-2</v>
      </c>
      <c r="L220" t="s">
        <v>75</v>
      </c>
      <c r="M220">
        <v>1.16E-3</v>
      </c>
      <c r="N220" t="s">
        <v>75</v>
      </c>
      <c r="O220">
        <v>1.2999999999999999E-4</v>
      </c>
      <c r="P220" t="s">
        <v>75</v>
      </c>
      <c r="Q220">
        <v>1.1800000000000001E-3</v>
      </c>
      <c r="R220" t="s">
        <v>75</v>
      </c>
      <c r="S220">
        <v>1E-4</v>
      </c>
      <c r="T220" t="s">
        <v>75</v>
      </c>
      <c r="U220">
        <v>4.6999999999999999E-4</v>
      </c>
      <c r="V220" t="s">
        <v>75</v>
      </c>
      <c r="W220">
        <v>1.9599999999999999E-3</v>
      </c>
      <c r="X220" t="s">
        <v>75</v>
      </c>
      <c r="Y220">
        <v>7.5399999999999998E-3</v>
      </c>
      <c r="Z220" t="s">
        <v>75</v>
      </c>
      <c r="AC220">
        <v>8.8349999999999998E-2</v>
      </c>
      <c r="AD220" t="s">
        <v>75</v>
      </c>
      <c r="AE220">
        <v>4.4970000000000003E-2</v>
      </c>
      <c r="AF220" t="s">
        <v>75</v>
      </c>
      <c r="AG220">
        <v>4.6000000000000001E-4</v>
      </c>
      <c r="AH220" t="s">
        <v>75</v>
      </c>
      <c r="AI220">
        <v>3.31E-3</v>
      </c>
      <c r="AJ220" t="s">
        <v>75</v>
      </c>
      <c r="AK220">
        <v>1.2E-4</v>
      </c>
      <c r="AL220" t="s">
        <v>75</v>
      </c>
      <c r="AM220">
        <v>1.3999999999999999E-4</v>
      </c>
      <c r="AN220" t="s">
        <v>75</v>
      </c>
      <c r="AO220">
        <v>1.7000000000000001E-4</v>
      </c>
      <c r="AP220" t="s">
        <v>75</v>
      </c>
      <c r="AQ220">
        <v>2.3000000000000001E-4</v>
      </c>
      <c r="AR220" t="s">
        <v>75</v>
      </c>
      <c r="AS220">
        <v>1.6000000000000001E-4</v>
      </c>
      <c r="AT220" t="s">
        <v>75</v>
      </c>
      <c r="AU220">
        <v>4.0000000000000003E-5</v>
      </c>
      <c r="AV220" t="s">
        <v>75</v>
      </c>
      <c r="AW220">
        <v>4.0000000000000003E-5</v>
      </c>
      <c r="AX220" t="s">
        <v>75</v>
      </c>
      <c r="AY220">
        <v>3.2000000000000003E-4</v>
      </c>
      <c r="AZ220" t="s">
        <v>75</v>
      </c>
      <c r="BC220">
        <v>4.2999999999999999E-4</v>
      </c>
      <c r="BD220" t="s">
        <v>75</v>
      </c>
      <c r="BE220">
        <v>2.5999999999999998E-4</v>
      </c>
      <c r="BF220" t="s">
        <v>75</v>
      </c>
      <c r="BG220">
        <v>5.0560000000000001E-2</v>
      </c>
      <c r="BH220" t="s">
        <v>75</v>
      </c>
      <c r="BI220">
        <v>2.3439999999999999E-2</v>
      </c>
      <c r="BJ220" t="s">
        <v>75</v>
      </c>
      <c r="BK220">
        <v>1.9709999999999998E-2</v>
      </c>
      <c r="BL220" t="s">
        <v>75</v>
      </c>
      <c r="BM220">
        <v>1.481E-2</v>
      </c>
      <c r="BN220" t="s">
        <v>75</v>
      </c>
      <c r="BO220">
        <v>2.1452599999999999</v>
      </c>
      <c r="BP220" t="s">
        <v>75</v>
      </c>
      <c r="BQ220">
        <v>4.8329999999999998E-2</v>
      </c>
      <c r="BR220" t="s">
        <v>75</v>
      </c>
      <c r="BS220">
        <v>0.26682</v>
      </c>
      <c r="BT220" t="s">
        <v>75</v>
      </c>
      <c r="BU220">
        <v>0.85658000000000001</v>
      </c>
      <c r="BV220" t="s">
        <v>75</v>
      </c>
      <c r="BW220">
        <v>0.90383999999999998</v>
      </c>
      <c r="BX220" t="s">
        <v>75</v>
      </c>
      <c r="BY220">
        <v>2.9375399999999998</v>
      </c>
      <c r="BZ220" t="s">
        <v>75</v>
      </c>
      <c r="CA220">
        <v>0.35782000000000003</v>
      </c>
      <c r="CB220" t="s">
        <v>75</v>
      </c>
      <c r="CC220">
        <v>4.5900000000000003E-3</v>
      </c>
      <c r="CD220" t="s">
        <v>75</v>
      </c>
      <c r="CE220">
        <v>1.2199999999999999E-3</v>
      </c>
      <c r="CF220" t="s">
        <v>75</v>
      </c>
      <c r="CG220">
        <v>0.11944</v>
      </c>
      <c r="CH220" t="s">
        <v>75</v>
      </c>
      <c r="CI220">
        <v>1.206E-2</v>
      </c>
      <c r="CJ220" t="s">
        <v>75</v>
      </c>
      <c r="CK220">
        <v>8.6550000000000002E-2</v>
      </c>
      <c r="CL220" t="s">
        <v>75</v>
      </c>
      <c r="CM220">
        <v>1.2899999999999999E-3</v>
      </c>
      <c r="CN220" t="s">
        <v>75</v>
      </c>
      <c r="CO220">
        <v>7.5500000000000003E-3</v>
      </c>
      <c r="CP220" t="s">
        <v>75</v>
      </c>
      <c r="CQ220">
        <v>2.819E-2</v>
      </c>
      <c r="CR220" t="s">
        <v>75</v>
      </c>
      <c r="CS220">
        <v>4.1176399999999997</v>
      </c>
      <c r="CT220" t="s">
        <v>75</v>
      </c>
      <c r="CW220">
        <v>0.16067000000000001</v>
      </c>
      <c r="CX220" t="s">
        <v>75</v>
      </c>
      <c r="DA220">
        <v>2.6238000000000001</v>
      </c>
      <c r="DB220" t="s">
        <v>75</v>
      </c>
      <c r="DC220">
        <v>8.0800000000000004E-3</v>
      </c>
      <c r="DD220" t="s">
        <v>75</v>
      </c>
      <c r="DE220">
        <v>5.2659999999999998E-2</v>
      </c>
      <c r="DF220" t="s">
        <v>75</v>
      </c>
      <c r="DG220">
        <v>4.224E-2</v>
      </c>
      <c r="DH220" t="s">
        <v>75</v>
      </c>
      <c r="DI220">
        <v>8.677E-2</v>
      </c>
      <c r="DJ220" t="s">
        <v>75</v>
      </c>
      <c r="DO220">
        <v>0.15123</v>
      </c>
      <c r="DP220" t="s">
        <v>75</v>
      </c>
    </row>
    <row r="221" spans="1:121" x14ac:dyDescent="0.2">
      <c r="D221" t="s">
        <v>65</v>
      </c>
      <c r="G221" t="s">
        <v>66</v>
      </c>
      <c r="I221" t="s">
        <v>66</v>
      </c>
      <c r="K221" t="s">
        <v>66</v>
      </c>
      <c r="M221" t="s">
        <v>66</v>
      </c>
      <c r="O221" t="s">
        <v>66</v>
      </c>
      <c r="Q221" t="s">
        <v>66</v>
      </c>
      <c r="S221" t="s">
        <v>66</v>
      </c>
      <c r="U221" t="s">
        <v>66</v>
      </c>
      <c r="W221" t="s">
        <v>66</v>
      </c>
      <c r="Y221" t="s">
        <v>66</v>
      </c>
      <c r="AA221" t="s">
        <v>66</v>
      </c>
      <c r="AC221" t="s">
        <v>66</v>
      </c>
      <c r="AE221" t="s">
        <v>66</v>
      </c>
      <c r="AG221" t="s">
        <v>66</v>
      </c>
      <c r="AI221" t="s">
        <v>66</v>
      </c>
      <c r="AK221" t="s">
        <v>66</v>
      </c>
      <c r="AM221" t="s">
        <v>66</v>
      </c>
      <c r="AO221" t="s">
        <v>66</v>
      </c>
      <c r="AQ221" t="s">
        <v>66</v>
      </c>
      <c r="AS221" t="s">
        <v>66</v>
      </c>
      <c r="AU221" t="s">
        <v>66</v>
      </c>
      <c r="AW221" t="s">
        <v>66</v>
      </c>
      <c r="AY221" t="s">
        <v>66</v>
      </c>
      <c r="BA221" t="s">
        <v>66</v>
      </c>
      <c r="BC221" t="s">
        <v>66</v>
      </c>
      <c r="BE221" t="s">
        <v>66</v>
      </c>
      <c r="BG221" t="s">
        <v>66</v>
      </c>
      <c r="BI221" t="s">
        <v>66</v>
      </c>
      <c r="BK221" t="s">
        <v>66</v>
      </c>
      <c r="BM221" t="s">
        <v>66</v>
      </c>
      <c r="BO221" t="s">
        <v>66</v>
      </c>
      <c r="BQ221" t="s">
        <v>66</v>
      </c>
      <c r="BS221" t="s">
        <v>66</v>
      </c>
      <c r="BU221" t="s">
        <v>66</v>
      </c>
      <c r="BW221" t="s">
        <v>66</v>
      </c>
      <c r="BY221" t="s">
        <v>66</v>
      </c>
      <c r="CA221" t="s">
        <v>66</v>
      </c>
      <c r="CC221" t="s">
        <v>66</v>
      </c>
      <c r="CE221" t="s">
        <v>66</v>
      </c>
      <c r="CG221" t="s">
        <v>66</v>
      </c>
      <c r="CI221" t="s">
        <v>66</v>
      </c>
      <c r="CK221" t="s">
        <v>66</v>
      </c>
      <c r="CM221" t="s">
        <v>66</v>
      </c>
      <c r="CO221" t="s">
        <v>66</v>
      </c>
      <c r="CQ221" t="s">
        <v>66</v>
      </c>
      <c r="CS221" t="s">
        <v>66</v>
      </c>
      <c r="CU221" t="s">
        <v>66</v>
      </c>
      <c r="CW221" t="s">
        <v>66</v>
      </c>
      <c r="CY221" t="s">
        <v>66</v>
      </c>
      <c r="DA221" t="s">
        <v>66</v>
      </c>
      <c r="DC221" t="s">
        <v>66</v>
      </c>
      <c r="DE221" t="s">
        <v>66</v>
      </c>
      <c r="DG221" t="s">
        <v>66</v>
      </c>
      <c r="DI221" t="s">
        <v>66</v>
      </c>
      <c r="DK221" t="s">
        <v>66</v>
      </c>
      <c r="DM221" t="s">
        <v>66</v>
      </c>
      <c r="DO221" t="s">
        <v>66</v>
      </c>
      <c r="DQ221" t="s">
        <v>66</v>
      </c>
    </row>
    <row r="222" spans="1:121" x14ac:dyDescent="0.2">
      <c r="A222" t="s">
        <v>614</v>
      </c>
      <c r="D222" t="s">
        <v>60</v>
      </c>
      <c r="E222" t="s">
        <v>61</v>
      </c>
      <c r="G222">
        <v>155236.1</v>
      </c>
      <c r="I222">
        <v>35500.5</v>
      </c>
      <c r="K222">
        <v>949633.4</v>
      </c>
      <c r="M222">
        <v>1267048.8</v>
      </c>
      <c r="O222">
        <v>1456944.8</v>
      </c>
      <c r="Q222">
        <v>179802</v>
      </c>
      <c r="S222">
        <v>1388540</v>
      </c>
      <c r="U222">
        <v>281858.90000000002</v>
      </c>
      <c r="W222">
        <v>556708.30000000005</v>
      </c>
      <c r="Y222">
        <v>80757.600000000006</v>
      </c>
      <c r="AA222">
        <v>3040185.7</v>
      </c>
      <c r="AC222">
        <v>317666.8</v>
      </c>
      <c r="AE222">
        <v>304310.3</v>
      </c>
      <c r="AG222">
        <v>1579456.8</v>
      </c>
      <c r="AI222">
        <v>663094.69999999995</v>
      </c>
      <c r="AK222">
        <v>1761009.8</v>
      </c>
      <c r="AM222">
        <v>1617927.8</v>
      </c>
      <c r="AO222">
        <v>334019.90000000002</v>
      </c>
      <c r="AQ222">
        <v>285790.7</v>
      </c>
      <c r="AS222">
        <v>271783.5</v>
      </c>
      <c r="AU222">
        <v>1922364.7</v>
      </c>
      <c r="AW222">
        <v>511867.2</v>
      </c>
      <c r="AY222">
        <v>386848.5</v>
      </c>
      <c r="BA222">
        <v>683141.5</v>
      </c>
      <c r="BC222">
        <v>308274.59999999998</v>
      </c>
      <c r="BE222">
        <v>1267123.8</v>
      </c>
      <c r="BG222">
        <v>418094.5</v>
      </c>
      <c r="BI222">
        <v>361371</v>
      </c>
      <c r="BK222">
        <v>897798.7</v>
      </c>
      <c r="BM222">
        <v>1376128.5</v>
      </c>
      <c r="BO222">
        <v>412945.9</v>
      </c>
      <c r="BQ222">
        <v>255234.6</v>
      </c>
      <c r="BS222">
        <v>197263.3</v>
      </c>
      <c r="BU222">
        <v>738289</v>
      </c>
      <c r="BW222">
        <v>3591.4</v>
      </c>
      <c r="BY222">
        <v>111015.8</v>
      </c>
      <c r="CA222">
        <v>23214.3</v>
      </c>
      <c r="CC222">
        <v>5511.4</v>
      </c>
      <c r="CE222">
        <v>79142.899999999994</v>
      </c>
      <c r="CG222">
        <v>70345.2</v>
      </c>
      <c r="CI222">
        <v>90522.7</v>
      </c>
      <c r="CK222">
        <v>287049.5</v>
      </c>
      <c r="CM222">
        <v>81385.5</v>
      </c>
      <c r="CO222">
        <v>18894.599999999999</v>
      </c>
      <c r="CQ222">
        <v>39352.699999999997</v>
      </c>
      <c r="CS222">
        <v>18493.900000000001</v>
      </c>
      <c r="CU222">
        <v>257850.8</v>
      </c>
      <c r="CW222">
        <v>32336.5</v>
      </c>
      <c r="CY222">
        <v>58412.5</v>
      </c>
      <c r="DA222">
        <v>197463.5</v>
      </c>
      <c r="DC222">
        <v>3316.3</v>
      </c>
      <c r="DE222">
        <v>3051.9</v>
      </c>
      <c r="DG222">
        <v>325.5</v>
      </c>
      <c r="DI222">
        <v>3041</v>
      </c>
      <c r="DK222">
        <v>930.4</v>
      </c>
      <c r="DM222">
        <v>73211.8</v>
      </c>
      <c r="DO222">
        <v>8630.9</v>
      </c>
      <c r="DQ222">
        <v>16082.1</v>
      </c>
    </row>
    <row r="223" spans="1:121" x14ac:dyDescent="0.2">
      <c r="D223" t="s">
        <v>62</v>
      </c>
      <c r="E223" t="s">
        <v>61</v>
      </c>
      <c r="G223">
        <v>672</v>
      </c>
      <c r="I223">
        <v>204.1</v>
      </c>
      <c r="K223">
        <v>9459.6</v>
      </c>
      <c r="M223">
        <v>7347.9</v>
      </c>
      <c r="O223">
        <v>10391</v>
      </c>
      <c r="Q223">
        <v>3827.3</v>
      </c>
      <c r="S223">
        <v>6101.2</v>
      </c>
      <c r="U223">
        <v>1861.3</v>
      </c>
      <c r="W223">
        <v>5028.8999999999996</v>
      </c>
      <c r="Y223">
        <v>344.3</v>
      </c>
      <c r="AA223">
        <v>19649.8</v>
      </c>
      <c r="AC223">
        <v>2904.2</v>
      </c>
      <c r="AE223">
        <v>1919.4</v>
      </c>
      <c r="AG223">
        <v>12615.7</v>
      </c>
      <c r="AI223">
        <v>4291</v>
      </c>
      <c r="AK223">
        <v>20418.599999999999</v>
      </c>
      <c r="AM223">
        <v>38512.699999999997</v>
      </c>
      <c r="AO223">
        <v>4582.3</v>
      </c>
      <c r="AQ223">
        <v>3181.3</v>
      </c>
      <c r="AS223">
        <v>3675.7</v>
      </c>
      <c r="AU223">
        <v>12371.8</v>
      </c>
      <c r="AW223">
        <v>4754.3</v>
      </c>
      <c r="AY223">
        <v>1946.7</v>
      </c>
      <c r="BA223">
        <v>6179.5</v>
      </c>
      <c r="BC223">
        <v>3719.4</v>
      </c>
      <c r="BE223">
        <v>17995</v>
      </c>
      <c r="BG223">
        <v>6319.5</v>
      </c>
      <c r="BI223">
        <v>2001.2</v>
      </c>
      <c r="BK223">
        <v>9556.7999999999993</v>
      </c>
      <c r="BM223">
        <v>9692.5</v>
      </c>
      <c r="BO223">
        <v>4816.3</v>
      </c>
      <c r="BQ223">
        <v>7992.6</v>
      </c>
      <c r="BS223">
        <v>7983.5</v>
      </c>
      <c r="BU223">
        <v>10051.9</v>
      </c>
      <c r="BW223">
        <v>167.2</v>
      </c>
      <c r="BY223">
        <v>1235.0999999999999</v>
      </c>
      <c r="CA223">
        <v>351.5</v>
      </c>
      <c r="CC223">
        <v>148.6</v>
      </c>
      <c r="CE223">
        <v>1178.9000000000001</v>
      </c>
      <c r="CG223">
        <v>1149.5</v>
      </c>
      <c r="CI223">
        <v>2096.6999999999998</v>
      </c>
      <c r="CK223">
        <v>5999.5</v>
      </c>
      <c r="CM223">
        <v>902</v>
      </c>
      <c r="CO223">
        <v>642.9</v>
      </c>
      <c r="CQ223">
        <v>641</v>
      </c>
      <c r="CS223">
        <v>1369.2</v>
      </c>
      <c r="CU223">
        <v>2076.4</v>
      </c>
      <c r="CW223">
        <v>850.7</v>
      </c>
      <c r="CY223">
        <v>1702.7</v>
      </c>
      <c r="DA223">
        <v>254.9</v>
      </c>
      <c r="DC223">
        <v>75.5</v>
      </c>
      <c r="DE223">
        <v>76.400000000000006</v>
      </c>
      <c r="DG223">
        <v>35.299999999999997</v>
      </c>
      <c r="DI223">
        <v>23.3</v>
      </c>
      <c r="DK223">
        <v>22.2</v>
      </c>
      <c r="DM223">
        <v>1183.9000000000001</v>
      </c>
      <c r="DO223">
        <v>126</v>
      </c>
      <c r="DQ223">
        <v>215.6</v>
      </c>
    </row>
    <row r="224" spans="1:121" x14ac:dyDescent="0.2">
      <c r="D224" t="s">
        <v>63</v>
      </c>
      <c r="G224">
        <v>1.1893800000000001</v>
      </c>
      <c r="H224" t="s">
        <v>75</v>
      </c>
      <c r="I224">
        <v>1.21855</v>
      </c>
      <c r="J224" t="s">
        <v>75</v>
      </c>
      <c r="K224">
        <v>1.19519</v>
      </c>
      <c r="L224" t="s">
        <v>75</v>
      </c>
      <c r="M224">
        <v>1.2432799999999999</v>
      </c>
      <c r="N224" t="s">
        <v>75</v>
      </c>
      <c r="O224">
        <v>1.2080500000000001</v>
      </c>
      <c r="P224" t="s">
        <v>75</v>
      </c>
      <c r="Q224">
        <v>1.173</v>
      </c>
      <c r="R224" t="s">
        <v>75</v>
      </c>
      <c r="S224">
        <v>1.2045399999999999</v>
      </c>
      <c r="T224" t="s">
        <v>75</v>
      </c>
      <c r="U224">
        <v>1.16275</v>
      </c>
      <c r="V224" t="s">
        <v>75</v>
      </c>
      <c r="W224">
        <v>1.17544</v>
      </c>
      <c r="X224" t="s">
        <v>75</v>
      </c>
      <c r="Y224">
        <v>1.1899900000000001</v>
      </c>
      <c r="Z224" t="s">
        <v>75</v>
      </c>
      <c r="AB224" t="s">
        <v>76</v>
      </c>
      <c r="AC224">
        <v>1.1632199999999999</v>
      </c>
      <c r="AD224" t="s">
        <v>75</v>
      </c>
      <c r="AE224">
        <v>1.1702600000000001</v>
      </c>
      <c r="AF224" t="s">
        <v>75</v>
      </c>
      <c r="AG224">
        <v>1.2142900000000001</v>
      </c>
      <c r="AH224" t="s">
        <v>75</v>
      </c>
      <c r="AI224">
        <v>4.15937</v>
      </c>
      <c r="AJ224" t="s">
        <v>75</v>
      </c>
      <c r="AK224">
        <v>1.1970099999999999</v>
      </c>
      <c r="AL224" t="s">
        <v>75</v>
      </c>
      <c r="AM224">
        <v>1.20078</v>
      </c>
      <c r="AN224" t="s">
        <v>75</v>
      </c>
      <c r="AO224">
        <v>1.2118899999999999</v>
      </c>
      <c r="AP224" t="s">
        <v>75</v>
      </c>
      <c r="AQ224">
        <v>1.2153</v>
      </c>
      <c r="AR224" t="s">
        <v>75</v>
      </c>
      <c r="AS224">
        <v>1.19645</v>
      </c>
      <c r="AT224" t="s">
        <v>75</v>
      </c>
      <c r="AU224">
        <v>1.2567699999999999</v>
      </c>
      <c r="AV224" t="s">
        <v>75</v>
      </c>
      <c r="AW224">
        <v>1.2235199999999999</v>
      </c>
      <c r="AX224" t="s">
        <v>75</v>
      </c>
      <c r="AY224">
        <v>1.2285299999999999</v>
      </c>
      <c r="AZ224" t="s">
        <v>75</v>
      </c>
      <c r="BC224">
        <v>-1.14435</v>
      </c>
      <c r="BD224" t="s">
        <v>75</v>
      </c>
      <c r="BE224">
        <v>1.2031499999999999</v>
      </c>
      <c r="BF224" t="s">
        <v>75</v>
      </c>
      <c r="BG224">
        <v>1.15404</v>
      </c>
      <c r="BH224" t="s">
        <v>75</v>
      </c>
      <c r="BI224">
        <v>1.16926</v>
      </c>
      <c r="BJ224" t="s">
        <v>75</v>
      </c>
      <c r="BK224">
        <v>1.177</v>
      </c>
      <c r="BL224" t="s">
        <v>75</v>
      </c>
      <c r="BM224">
        <v>1.2735700000000001</v>
      </c>
      <c r="BN224" t="s">
        <v>75</v>
      </c>
      <c r="BO224">
        <v>7.5827600000000004</v>
      </c>
      <c r="BP224" t="s">
        <v>75</v>
      </c>
      <c r="BQ224">
        <v>8.4063199999999991</v>
      </c>
      <c r="BR224" t="s">
        <v>75</v>
      </c>
      <c r="BS224">
        <v>4.05877</v>
      </c>
      <c r="BT224" t="s">
        <v>75</v>
      </c>
      <c r="BU224">
        <v>10.712289999999999</v>
      </c>
      <c r="BV224" t="s">
        <v>75</v>
      </c>
      <c r="BW224">
        <v>1.3065599999999999</v>
      </c>
      <c r="BX224" t="s">
        <v>75</v>
      </c>
      <c r="BY224">
        <v>23.72682</v>
      </c>
      <c r="BZ224" t="s">
        <v>75</v>
      </c>
      <c r="CA224">
        <v>9.0955399999999997</v>
      </c>
      <c r="CB224" t="s">
        <v>75</v>
      </c>
      <c r="CC224">
        <v>1.1867000000000001</v>
      </c>
      <c r="CD224" t="s">
        <v>75</v>
      </c>
      <c r="CE224">
        <v>1.20211</v>
      </c>
      <c r="CF224" t="s">
        <v>75</v>
      </c>
      <c r="CG224">
        <v>1.2069000000000001</v>
      </c>
      <c r="CH224" t="s">
        <v>75</v>
      </c>
      <c r="CI224">
        <v>1.1769700000000001</v>
      </c>
      <c r="CJ224" t="s">
        <v>75</v>
      </c>
      <c r="CK224">
        <v>3.81995</v>
      </c>
      <c r="CL224" t="s">
        <v>75</v>
      </c>
      <c r="CM224">
        <v>1.17319</v>
      </c>
      <c r="CN224" t="s">
        <v>75</v>
      </c>
      <c r="CO224">
        <v>1.101</v>
      </c>
      <c r="CP224" t="s">
        <v>75</v>
      </c>
      <c r="CQ224">
        <v>1.1880200000000001</v>
      </c>
      <c r="CR224" t="s">
        <v>75</v>
      </c>
      <c r="CS224">
        <v>4.84049</v>
      </c>
      <c r="CT224" t="s">
        <v>75</v>
      </c>
      <c r="CV224" t="s">
        <v>76</v>
      </c>
      <c r="CW224">
        <v>1.20089</v>
      </c>
      <c r="CX224" t="s">
        <v>75</v>
      </c>
      <c r="DA224">
        <v>11.707470000000001</v>
      </c>
      <c r="DB224" t="s">
        <v>75</v>
      </c>
      <c r="DC224">
        <v>1.4775799999999999</v>
      </c>
      <c r="DD224" t="s">
        <v>75</v>
      </c>
      <c r="DE224">
        <v>1.38182</v>
      </c>
      <c r="DF224" t="s">
        <v>75</v>
      </c>
      <c r="DG224">
        <v>1.67578</v>
      </c>
      <c r="DH224" t="s">
        <v>75</v>
      </c>
      <c r="DI224">
        <v>4.97234</v>
      </c>
      <c r="DJ224" t="s">
        <v>75</v>
      </c>
      <c r="DL224" t="s">
        <v>76</v>
      </c>
      <c r="DN224" t="s">
        <v>76</v>
      </c>
      <c r="DO224">
        <v>1.2865</v>
      </c>
      <c r="DP224" t="s">
        <v>75</v>
      </c>
    </row>
    <row r="225" spans="1:121" x14ac:dyDescent="0.2">
      <c r="D225" t="s">
        <v>64</v>
      </c>
      <c r="G225">
        <v>6.1700000000000001E-3</v>
      </c>
      <c r="H225" t="s">
        <v>75</v>
      </c>
      <c r="I225">
        <v>4.45E-3</v>
      </c>
      <c r="J225" t="s">
        <v>75</v>
      </c>
      <c r="K225">
        <v>2.1739999999999999E-2</v>
      </c>
      <c r="L225" t="s">
        <v>75</v>
      </c>
      <c r="M225">
        <v>1.8839999999999999E-2</v>
      </c>
      <c r="N225" t="s">
        <v>75</v>
      </c>
      <c r="O225">
        <v>1.115E-2</v>
      </c>
      <c r="P225" t="s">
        <v>75</v>
      </c>
      <c r="Q225">
        <v>2.1399999999999999E-2</v>
      </c>
      <c r="R225" t="s">
        <v>75</v>
      </c>
      <c r="S225">
        <v>1.389E-2</v>
      </c>
      <c r="T225" t="s">
        <v>75</v>
      </c>
      <c r="U225">
        <v>1.636E-2</v>
      </c>
      <c r="V225" t="s">
        <v>75</v>
      </c>
      <c r="W225">
        <v>2.1000000000000001E-2</v>
      </c>
      <c r="X225" t="s">
        <v>75</v>
      </c>
      <c r="Y225">
        <v>6.8599999999999998E-3</v>
      </c>
      <c r="Z225" t="s">
        <v>75</v>
      </c>
      <c r="AC225">
        <v>1.8259999999999998E-2</v>
      </c>
      <c r="AD225" t="s">
        <v>75</v>
      </c>
      <c r="AE225">
        <v>9.4299999999999991E-3</v>
      </c>
      <c r="AF225" t="s">
        <v>75</v>
      </c>
      <c r="AG225">
        <v>2.1010000000000001E-2</v>
      </c>
      <c r="AH225" t="s">
        <v>75</v>
      </c>
      <c r="AI225">
        <v>6.4070000000000002E-2</v>
      </c>
      <c r="AJ225" t="s">
        <v>75</v>
      </c>
      <c r="AK225">
        <v>1.8689999999999998E-2</v>
      </c>
      <c r="AL225" t="s">
        <v>75</v>
      </c>
      <c r="AM225">
        <v>3.9829999999999997E-2</v>
      </c>
      <c r="AN225" t="s">
        <v>75</v>
      </c>
      <c r="AO225">
        <v>2.647E-2</v>
      </c>
      <c r="AP225" t="s">
        <v>75</v>
      </c>
      <c r="AQ225">
        <v>0.02</v>
      </c>
      <c r="AR225" t="s">
        <v>75</v>
      </c>
      <c r="AS225">
        <v>2.6009999999999998E-2</v>
      </c>
      <c r="AT225" t="s">
        <v>75</v>
      </c>
      <c r="AU225">
        <v>1.3559999999999999E-2</v>
      </c>
      <c r="AV225" t="s">
        <v>75</v>
      </c>
      <c r="AW225">
        <v>1.9550000000000001E-2</v>
      </c>
      <c r="AX225" t="s">
        <v>75</v>
      </c>
      <c r="AY225">
        <v>1.6490000000000001E-2</v>
      </c>
      <c r="AZ225" t="s">
        <v>75</v>
      </c>
      <c r="BC225">
        <v>1.6389999999999998E-2</v>
      </c>
      <c r="BD225" t="s">
        <v>75</v>
      </c>
      <c r="BE225">
        <v>6.3499999999999997E-3</v>
      </c>
      <c r="BF225" t="s">
        <v>75</v>
      </c>
      <c r="BG225">
        <v>1.3050000000000001E-2</v>
      </c>
      <c r="BH225" t="s">
        <v>75</v>
      </c>
      <c r="BI225">
        <v>1.6070000000000001E-2</v>
      </c>
      <c r="BJ225" t="s">
        <v>75</v>
      </c>
      <c r="BK225">
        <v>9.9299999999999996E-3</v>
      </c>
      <c r="BL225" t="s">
        <v>75</v>
      </c>
      <c r="BM225">
        <v>2.044E-2</v>
      </c>
      <c r="BN225" t="s">
        <v>75</v>
      </c>
      <c r="BO225">
        <v>0.37334000000000001</v>
      </c>
      <c r="BP225" t="s">
        <v>75</v>
      </c>
      <c r="BQ225">
        <v>0.497</v>
      </c>
      <c r="BR225" t="s">
        <v>75</v>
      </c>
      <c r="BS225">
        <v>0.30307000000000001</v>
      </c>
      <c r="BT225" t="s">
        <v>75</v>
      </c>
      <c r="BU225">
        <v>0.94020000000000004</v>
      </c>
      <c r="BV225" t="s">
        <v>75</v>
      </c>
      <c r="BW225">
        <v>0.11387</v>
      </c>
      <c r="BX225" t="s">
        <v>75</v>
      </c>
      <c r="BY225">
        <v>1.2198500000000001</v>
      </c>
      <c r="BZ225" t="s">
        <v>75</v>
      </c>
      <c r="CA225">
        <v>0.33771000000000001</v>
      </c>
      <c r="CB225" t="s">
        <v>75</v>
      </c>
      <c r="CC225">
        <v>4.0219999999999999E-2</v>
      </c>
      <c r="CD225" t="s">
        <v>75</v>
      </c>
      <c r="CE225">
        <v>1.925E-2</v>
      </c>
      <c r="CF225" t="s">
        <v>75</v>
      </c>
      <c r="CG225">
        <v>2.6679999999999999E-2</v>
      </c>
      <c r="CH225" t="s">
        <v>75</v>
      </c>
      <c r="CI225">
        <v>9.4900000000000002E-3</v>
      </c>
      <c r="CJ225" t="s">
        <v>75</v>
      </c>
      <c r="CK225">
        <v>7.1879999999999999E-2</v>
      </c>
      <c r="CL225" t="s">
        <v>75</v>
      </c>
      <c r="CM225">
        <v>2.155E-2</v>
      </c>
      <c r="CN225" t="s">
        <v>75</v>
      </c>
      <c r="CO225">
        <v>2.5669999999999998E-2</v>
      </c>
      <c r="CP225" t="s">
        <v>75</v>
      </c>
      <c r="CQ225">
        <v>1.9259999999999999E-2</v>
      </c>
      <c r="CR225" t="s">
        <v>75</v>
      </c>
      <c r="CS225">
        <v>0.36847999999999997</v>
      </c>
      <c r="CT225" t="s">
        <v>75</v>
      </c>
      <c r="CW225">
        <v>6.6549999999999998E-2</v>
      </c>
      <c r="CX225" t="s">
        <v>75</v>
      </c>
      <c r="DA225">
        <v>0.17177000000000001</v>
      </c>
      <c r="DB225" t="s">
        <v>75</v>
      </c>
      <c r="DC225">
        <v>5.382E-2</v>
      </c>
      <c r="DD225" t="s">
        <v>75</v>
      </c>
      <c r="DE225">
        <v>2.0809999999999999E-2</v>
      </c>
      <c r="DF225" t="s">
        <v>75</v>
      </c>
      <c r="DG225">
        <v>0.21306</v>
      </c>
      <c r="DH225" t="s">
        <v>75</v>
      </c>
      <c r="DI225">
        <v>3.9829999999999997E-2</v>
      </c>
      <c r="DJ225" t="s">
        <v>75</v>
      </c>
      <c r="DO225">
        <v>3.218E-2</v>
      </c>
      <c r="DP225" t="s">
        <v>75</v>
      </c>
    </row>
    <row r="226" spans="1:121" x14ac:dyDescent="0.2">
      <c r="D226" t="s">
        <v>65</v>
      </c>
      <c r="G226" t="s">
        <v>66</v>
      </c>
      <c r="I226" t="s">
        <v>66</v>
      </c>
      <c r="K226" t="s">
        <v>66</v>
      </c>
      <c r="M226" t="s">
        <v>66</v>
      </c>
      <c r="O226" t="s">
        <v>66</v>
      </c>
      <c r="Q226" t="s">
        <v>66</v>
      </c>
      <c r="S226" t="s">
        <v>66</v>
      </c>
      <c r="U226" t="s">
        <v>66</v>
      </c>
      <c r="W226" t="s">
        <v>66</v>
      </c>
      <c r="Y226" t="s">
        <v>66</v>
      </c>
      <c r="AA226" t="s">
        <v>66</v>
      </c>
      <c r="AC226" t="s">
        <v>66</v>
      </c>
      <c r="AE226" t="s">
        <v>66</v>
      </c>
      <c r="AG226" t="s">
        <v>66</v>
      </c>
      <c r="AI226" t="s">
        <v>66</v>
      </c>
      <c r="AK226" t="s">
        <v>66</v>
      </c>
      <c r="AM226" t="s">
        <v>66</v>
      </c>
      <c r="AO226" t="s">
        <v>66</v>
      </c>
      <c r="AQ226" t="s">
        <v>66</v>
      </c>
      <c r="AS226" t="s">
        <v>66</v>
      </c>
      <c r="AU226" t="s">
        <v>66</v>
      </c>
      <c r="AW226" t="s">
        <v>66</v>
      </c>
      <c r="AY226" t="s">
        <v>66</v>
      </c>
      <c r="BA226" t="s">
        <v>66</v>
      </c>
      <c r="BC226" t="s">
        <v>66</v>
      </c>
      <c r="BE226" t="s">
        <v>66</v>
      </c>
      <c r="BG226" t="s">
        <v>66</v>
      </c>
      <c r="BI226" t="s">
        <v>66</v>
      </c>
      <c r="BK226" t="s">
        <v>66</v>
      </c>
      <c r="BM226" t="s">
        <v>66</v>
      </c>
      <c r="BO226" t="s">
        <v>66</v>
      </c>
      <c r="BQ226" t="s">
        <v>66</v>
      </c>
      <c r="BS226" t="s">
        <v>66</v>
      </c>
      <c r="BU226" t="s">
        <v>66</v>
      </c>
      <c r="BW226" t="s">
        <v>66</v>
      </c>
      <c r="BY226" t="s">
        <v>66</v>
      </c>
      <c r="CA226" t="s">
        <v>66</v>
      </c>
      <c r="CC226" t="s">
        <v>66</v>
      </c>
      <c r="CE226" t="s">
        <v>66</v>
      </c>
      <c r="CG226" t="s">
        <v>66</v>
      </c>
      <c r="CI226" t="s">
        <v>66</v>
      </c>
      <c r="CK226" t="s">
        <v>66</v>
      </c>
      <c r="CM226" t="s">
        <v>66</v>
      </c>
      <c r="CO226" t="s">
        <v>66</v>
      </c>
      <c r="CQ226" t="s">
        <v>66</v>
      </c>
      <c r="CS226" t="s">
        <v>66</v>
      </c>
      <c r="CU226" t="s">
        <v>66</v>
      </c>
      <c r="CW226" t="s">
        <v>66</v>
      </c>
      <c r="CY226" t="s">
        <v>66</v>
      </c>
      <c r="DA226" t="s">
        <v>66</v>
      </c>
      <c r="DC226" t="s">
        <v>66</v>
      </c>
      <c r="DE226" t="s">
        <v>66</v>
      </c>
      <c r="DG226" t="s">
        <v>66</v>
      </c>
      <c r="DI226" t="s">
        <v>66</v>
      </c>
      <c r="DK226" t="s">
        <v>66</v>
      </c>
      <c r="DM226" t="s">
        <v>66</v>
      </c>
      <c r="DO226" t="s">
        <v>66</v>
      </c>
      <c r="DQ226" t="s">
        <v>66</v>
      </c>
    </row>
    <row r="227" spans="1:121" x14ac:dyDescent="0.2">
      <c r="A227" t="s">
        <v>615</v>
      </c>
      <c r="D227" t="s">
        <v>60</v>
      </c>
      <c r="E227" t="s">
        <v>61</v>
      </c>
      <c r="G227">
        <v>10331.6</v>
      </c>
      <c r="I227">
        <v>771.3</v>
      </c>
      <c r="K227">
        <v>9706.7000000000007</v>
      </c>
      <c r="M227">
        <v>43397.2</v>
      </c>
      <c r="O227">
        <v>192.7</v>
      </c>
      <c r="Q227">
        <v>579.29999999999995</v>
      </c>
      <c r="S227">
        <v>1652.2</v>
      </c>
      <c r="U227">
        <v>1616.8</v>
      </c>
      <c r="W227">
        <v>1493.8</v>
      </c>
      <c r="Y227">
        <v>54.2</v>
      </c>
      <c r="AA227">
        <v>2907780.3</v>
      </c>
      <c r="AC227">
        <v>1515.6</v>
      </c>
      <c r="AE227">
        <v>2432.3000000000002</v>
      </c>
      <c r="AG227">
        <v>2758.7</v>
      </c>
      <c r="AI227">
        <v>7921.7</v>
      </c>
      <c r="AK227">
        <v>324</v>
      </c>
      <c r="AM227">
        <v>200</v>
      </c>
      <c r="AO227">
        <v>108.3</v>
      </c>
      <c r="AQ227">
        <v>158.30000000000001</v>
      </c>
      <c r="AS227">
        <v>329.2</v>
      </c>
      <c r="AU227">
        <v>338.6</v>
      </c>
      <c r="AW227">
        <v>155.19999999999999</v>
      </c>
      <c r="AY227">
        <v>2091.3000000000002</v>
      </c>
      <c r="BA227">
        <v>663887.1</v>
      </c>
      <c r="BC227">
        <v>4421.1000000000004</v>
      </c>
      <c r="BE227">
        <v>392.8</v>
      </c>
      <c r="BG227">
        <v>433.4</v>
      </c>
      <c r="BI227">
        <v>532.4</v>
      </c>
      <c r="BK227">
        <v>1440.6</v>
      </c>
      <c r="BM227">
        <v>1067.3</v>
      </c>
      <c r="BO227">
        <v>46824.5</v>
      </c>
      <c r="BQ227">
        <v>10784.7</v>
      </c>
      <c r="BS227">
        <v>14464.1</v>
      </c>
      <c r="BU227">
        <v>517738.1</v>
      </c>
      <c r="BW227">
        <v>491.7</v>
      </c>
      <c r="BY227">
        <v>26283.9</v>
      </c>
      <c r="CA227">
        <v>8225.2999999999993</v>
      </c>
      <c r="CC227">
        <v>18.5</v>
      </c>
      <c r="CE227">
        <v>188</v>
      </c>
      <c r="CG227">
        <v>830</v>
      </c>
      <c r="CI227">
        <v>184.3</v>
      </c>
      <c r="CK227">
        <v>2744.1</v>
      </c>
      <c r="CM227">
        <v>57.4</v>
      </c>
      <c r="CO227">
        <v>180.6</v>
      </c>
      <c r="CQ227">
        <v>319.5</v>
      </c>
      <c r="CS227">
        <v>295.39999999999998</v>
      </c>
      <c r="CU227">
        <v>255853.9</v>
      </c>
      <c r="CW227">
        <v>142.6</v>
      </c>
      <c r="CY227">
        <v>58548</v>
      </c>
      <c r="DA227">
        <v>24008</v>
      </c>
      <c r="DC227">
        <v>0.6</v>
      </c>
      <c r="DE227">
        <v>51.3</v>
      </c>
      <c r="DG227">
        <v>103.7</v>
      </c>
      <c r="DI227">
        <v>2299.4</v>
      </c>
      <c r="DK227">
        <v>883.7</v>
      </c>
      <c r="DM227">
        <v>74164.800000000003</v>
      </c>
      <c r="DO227">
        <v>37.200000000000003</v>
      </c>
      <c r="DQ227">
        <v>16274.6</v>
      </c>
    </row>
    <row r="228" spans="1:121" x14ac:dyDescent="0.2">
      <c r="D228" t="s">
        <v>62</v>
      </c>
      <c r="E228" t="s">
        <v>61</v>
      </c>
      <c r="G228">
        <v>530.4</v>
      </c>
      <c r="I228">
        <v>68.7</v>
      </c>
      <c r="K228">
        <v>245.2</v>
      </c>
      <c r="M228">
        <v>1234.4000000000001</v>
      </c>
      <c r="O228">
        <v>56.7</v>
      </c>
      <c r="Q228">
        <v>66.8</v>
      </c>
      <c r="S228">
        <v>123.7</v>
      </c>
      <c r="U228">
        <v>212.5</v>
      </c>
      <c r="W228">
        <v>24.4</v>
      </c>
      <c r="Y228">
        <v>17.2</v>
      </c>
      <c r="AA228">
        <v>25689.9</v>
      </c>
      <c r="AC228">
        <v>98.8</v>
      </c>
      <c r="AE228">
        <v>200.4</v>
      </c>
      <c r="AG228">
        <v>96.3</v>
      </c>
      <c r="AI228">
        <v>245.8</v>
      </c>
      <c r="AK228">
        <v>16</v>
      </c>
      <c r="AM228">
        <v>49.6</v>
      </c>
      <c r="AO228">
        <v>26.9</v>
      </c>
      <c r="AQ228">
        <v>1.8</v>
      </c>
      <c r="AS228">
        <v>25.2</v>
      </c>
      <c r="AU228">
        <v>43.8</v>
      </c>
      <c r="AW228">
        <v>20.8</v>
      </c>
      <c r="AY228">
        <v>109.9</v>
      </c>
      <c r="BA228">
        <v>1889.1</v>
      </c>
      <c r="BC228">
        <v>231.8</v>
      </c>
      <c r="BE228">
        <v>50.1</v>
      </c>
      <c r="BG228">
        <v>45.6</v>
      </c>
      <c r="BI228">
        <v>48.6</v>
      </c>
      <c r="BK228">
        <v>15.5</v>
      </c>
      <c r="BM228">
        <v>183.7</v>
      </c>
      <c r="BO228">
        <v>607.6</v>
      </c>
      <c r="BQ228">
        <v>464</v>
      </c>
      <c r="BS228">
        <v>186.6</v>
      </c>
      <c r="BU228">
        <v>5630.9</v>
      </c>
      <c r="BW228">
        <v>78.8</v>
      </c>
      <c r="BY228">
        <v>71.8</v>
      </c>
      <c r="CA228">
        <v>53.6</v>
      </c>
      <c r="CC228">
        <v>9.8000000000000007</v>
      </c>
      <c r="CE228">
        <v>39.5</v>
      </c>
      <c r="CG228">
        <v>89</v>
      </c>
      <c r="CI228">
        <v>5.8</v>
      </c>
      <c r="CK228">
        <v>42</v>
      </c>
      <c r="CM228">
        <v>14.3</v>
      </c>
      <c r="CO228">
        <v>41.5</v>
      </c>
      <c r="CQ228">
        <v>2.8</v>
      </c>
      <c r="CS228">
        <v>42.4</v>
      </c>
      <c r="CU228">
        <v>2731.2</v>
      </c>
      <c r="CW228">
        <v>28.3</v>
      </c>
      <c r="CY228">
        <v>245.3</v>
      </c>
      <c r="DA228">
        <v>370</v>
      </c>
      <c r="DC228">
        <v>1</v>
      </c>
      <c r="DE228">
        <v>23.4</v>
      </c>
      <c r="DG228">
        <v>4.3</v>
      </c>
      <c r="DI228">
        <v>126.9</v>
      </c>
      <c r="DK228">
        <v>27.1</v>
      </c>
      <c r="DM228">
        <v>2072</v>
      </c>
      <c r="DO228">
        <v>2.5</v>
      </c>
      <c r="DQ228">
        <v>447.8</v>
      </c>
    </row>
    <row r="229" spans="1:121" x14ac:dyDescent="0.2">
      <c r="D229" t="s">
        <v>63</v>
      </c>
      <c r="G229">
        <v>4.9430000000000002E-2</v>
      </c>
      <c r="H229" t="s">
        <v>75</v>
      </c>
      <c r="I229">
        <v>1.487E-2</v>
      </c>
      <c r="J229" t="s">
        <v>75</v>
      </c>
      <c r="K229">
        <v>9.1199999999999996E-3</v>
      </c>
      <c r="L229" t="s">
        <v>75</v>
      </c>
      <c r="M229">
        <v>1.081E-2</v>
      </c>
      <c r="N229" t="s">
        <v>75</v>
      </c>
      <c r="O229">
        <v>3.0899999999999999E-3</v>
      </c>
      <c r="P229" t="s">
        <v>75</v>
      </c>
      <c r="Q229">
        <v>2.4819999999999998E-2</v>
      </c>
      <c r="R229" t="s">
        <v>75</v>
      </c>
      <c r="S229">
        <v>7.7999999999999999E-4</v>
      </c>
      <c r="T229" t="s">
        <v>75</v>
      </c>
      <c r="U229">
        <v>1.248E-2</v>
      </c>
      <c r="V229" t="s">
        <v>75</v>
      </c>
      <c r="W229">
        <v>6.7799999999999996E-3</v>
      </c>
      <c r="X229" t="s">
        <v>75</v>
      </c>
      <c r="Y229">
        <v>8.1999999999999998E-4</v>
      </c>
      <c r="Z229" t="s">
        <v>75</v>
      </c>
      <c r="AB229" t="s">
        <v>76</v>
      </c>
      <c r="AC229">
        <v>4.7210000000000002E-2</v>
      </c>
      <c r="AD229" t="s">
        <v>75</v>
      </c>
      <c r="AE229">
        <v>4.8520000000000001E-2</v>
      </c>
      <c r="AF229" t="s">
        <v>75</v>
      </c>
      <c r="AG229">
        <v>-1.4149999999999999E-2</v>
      </c>
      <c r="AH229" t="s">
        <v>75</v>
      </c>
      <c r="AI229">
        <v>5.1119999999999999E-2</v>
      </c>
      <c r="AJ229" t="s">
        <v>75</v>
      </c>
      <c r="AK229">
        <v>-1.92E-3</v>
      </c>
      <c r="AL229" t="s">
        <v>75</v>
      </c>
      <c r="AM229">
        <v>-5.5300000000000002E-3</v>
      </c>
      <c r="AN229" t="s">
        <v>75</v>
      </c>
      <c r="AO229">
        <v>1.83E-3</v>
      </c>
      <c r="AP229" t="s">
        <v>75</v>
      </c>
      <c r="AQ229">
        <v>-2.7E-4</v>
      </c>
      <c r="AR229" t="s">
        <v>75</v>
      </c>
      <c r="AS229">
        <v>4.6000000000000001E-4</v>
      </c>
      <c r="AT229" t="s">
        <v>75</v>
      </c>
      <c r="AU229">
        <v>1.58E-3</v>
      </c>
      <c r="AV229" t="s">
        <v>75</v>
      </c>
      <c r="AW229">
        <v>-4.2000000000000002E-4</v>
      </c>
      <c r="AX229" t="s">
        <v>75</v>
      </c>
      <c r="AY229">
        <v>-3.47E-3</v>
      </c>
      <c r="AZ229" t="s">
        <v>75</v>
      </c>
      <c r="BC229">
        <v>-2.0464000000000002</v>
      </c>
      <c r="BD229" t="s">
        <v>75</v>
      </c>
      <c r="BE229">
        <v>2.9499999999999999E-3</v>
      </c>
      <c r="BF229" t="s">
        <v>75</v>
      </c>
      <c r="BG229">
        <v>-3.7530000000000001E-2</v>
      </c>
      <c r="BH229" t="s">
        <v>75</v>
      </c>
      <c r="BI229">
        <v>-1.4330000000000001E-2</v>
      </c>
      <c r="BJ229" t="s">
        <v>75</v>
      </c>
      <c r="BK229">
        <v>-4.6199999999999998E-2</v>
      </c>
      <c r="BL229" t="s">
        <v>75</v>
      </c>
      <c r="BM229">
        <v>-8.9700000000000005E-3</v>
      </c>
      <c r="BN229" t="s">
        <v>75</v>
      </c>
      <c r="BO229">
        <v>-0.67766000000000004</v>
      </c>
      <c r="BP229" t="s">
        <v>75</v>
      </c>
      <c r="BQ229">
        <v>-4.786E-2</v>
      </c>
      <c r="BR229" t="s">
        <v>75</v>
      </c>
      <c r="BS229">
        <v>-0.12978000000000001</v>
      </c>
      <c r="BT229" t="s">
        <v>75</v>
      </c>
      <c r="BU229">
        <v>1.3351999999999999</v>
      </c>
      <c r="BV229" t="s">
        <v>75</v>
      </c>
      <c r="BW229">
        <v>-3.9100000000000003E-2</v>
      </c>
      <c r="BX229" t="s">
        <v>75</v>
      </c>
      <c r="BY229">
        <v>-0.61084000000000005</v>
      </c>
      <c r="BZ229" t="s">
        <v>75</v>
      </c>
      <c r="CA229">
        <v>0.88204000000000005</v>
      </c>
      <c r="CB229" t="s">
        <v>75</v>
      </c>
      <c r="CC229">
        <v>-1.025E-2</v>
      </c>
      <c r="CD229" t="s">
        <v>75</v>
      </c>
      <c r="CE229">
        <v>1.2099999999999999E-3</v>
      </c>
      <c r="CF229" t="s">
        <v>75</v>
      </c>
      <c r="CG229">
        <v>-2.9499999999999999E-3</v>
      </c>
      <c r="CH229" t="s">
        <v>75</v>
      </c>
      <c r="CI229">
        <v>-2.6259999999999999E-2</v>
      </c>
      <c r="CJ229" t="s">
        <v>75</v>
      </c>
      <c r="CK229">
        <v>-0.29005999999999998</v>
      </c>
      <c r="CL229" t="s">
        <v>75</v>
      </c>
      <c r="CM229">
        <v>-6.1599999999999997E-3</v>
      </c>
      <c r="CN229" t="s">
        <v>75</v>
      </c>
      <c r="CO229">
        <v>2.069E-2</v>
      </c>
      <c r="CP229" t="s">
        <v>75</v>
      </c>
      <c r="CQ229">
        <v>-1.754E-2</v>
      </c>
      <c r="CR229" t="s">
        <v>75</v>
      </c>
      <c r="CS229">
        <v>-2.0379999999999999E-2</v>
      </c>
      <c r="CT229" t="s">
        <v>75</v>
      </c>
      <c r="CV229" t="s">
        <v>76</v>
      </c>
      <c r="CW229">
        <v>-2.0330000000000001E-2</v>
      </c>
      <c r="CX229" t="s">
        <v>75</v>
      </c>
      <c r="DA229">
        <v>1.2065999999999999</v>
      </c>
      <c r="DB229" t="s">
        <v>75</v>
      </c>
      <c r="DC229">
        <v>-8.1999999999999998E-4</v>
      </c>
      <c r="DD229" t="s">
        <v>75</v>
      </c>
      <c r="DE229">
        <v>4.9699999999999996E-3</v>
      </c>
      <c r="DF229" t="s">
        <v>75</v>
      </c>
      <c r="DG229">
        <v>0.48476999999999998</v>
      </c>
      <c r="DH229" t="s">
        <v>75</v>
      </c>
      <c r="DI229">
        <v>3.60758</v>
      </c>
      <c r="DJ229" t="s">
        <v>75</v>
      </c>
      <c r="DL229" t="s">
        <v>76</v>
      </c>
      <c r="DN229" t="s">
        <v>76</v>
      </c>
      <c r="DO229">
        <v>-2.65E-3</v>
      </c>
      <c r="DP229" t="s">
        <v>75</v>
      </c>
    </row>
    <row r="230" spans="1:121" x14ac:dyDescent="0.2">
      <c r="D230" t="s">
        <v>64</v>
      </c>
      <c r="G230">
        <v>4.0699999999999998E-3</v>
      </c>
      <c r="H230" t="s">
        <v>75</v>
      </c>
      <c r="I230">
        <v>2.5000000000000001E-3</v>
      </c>
      <c r="J230" t="s">
        <v>75</v>
      </c>
      <c r="K230">
        <v>2.9999999999999997E-4</v>
      </c>
      <c r="L230" t="s">
        <v>75</v>
      </c>
      <c r="M230">
        <v>1.4E-3</v>
      </c>
      <c r="N230" t="s">
        <v>75</v>
      </c>
      <c r="O230">
        <v>5.0000000000000002E-5</v>
      </c>
      <c r="P230" t="s">
        <v>75</v>
      </c>
      <c r="Q230">
        <v>4.4999999999999999E-4</v>
      </c>
      <c r="R230" t="s">
        <v>75</v>
      </c>
      <c r="S230">
        <v>1.1E-4</v>
      </c>
      <c r="T230" t="s">
        <v>75</v>
      </c>
      <c r="U230">
        <v>9.1E-4</v>
      </c>
      <c r="V230" t="s">
        <v>75</v>
      </c>
      <c r="W230">
        <v>6.0000000000000002E-5</v>
      </c>
      <c r="X230" t="s">
        <v>75</v>
      </c>
      <c r="Y230">
        <v>2.5999999999999998E-4</v>
      </c>
      <c r="Z230" t="s">
        <v>75</v>
      </c>
      <c r="AC230">
        <v>3.6999999999999999E-4</v>
      </c>
      <c r="AD230" t="s">
        <v>75</v>
      </c>
      <c r="AE230">
        <v>7.5000000000000002E-4</v>
      </c>
      <c r="AF230" t="s">
        <v>75</v>
      </c>
      <c r="AG230">
        <v>8.0000000000000007E-5</v>
      </c>
      <c r="AH230" t="s">
        <v>75</v>
      </c>
      <c r="AI230">
        <v>1.4599999999999999E-3</v>
      </c>
      <c r="AJ230" t="s">
        <v>75</v>
      </c>
      <c r="AK230">
        <v>1.0000000000000001E-5</v>
      </c>
      <c r="AL230" t="s">
        <v>75</v>
      </c>
      <c r="AM230">
        <v>4.0000000000000003E-5</v>
      </c>
      <c r="AN230" t="s">
        <v>75</v>
      </c>
      <c r="AO230">
        <v>1E-4</v>
      </c>
      <c r="AP230" t="s">
        <v>75</v>
      </c>
      <c r="AQ230">
        <v>1.0000000000000001E-5</v>
      </c>
      <c r="AR230" t="s">
        <v>75</v>
      </c>
      <c r="AS230">
        <v>1.2E-4</v>
      </c>
      <c r="AT230" t="s">
        <v>75</v>
      </c>
      <c r="AU230">
        <v>3.0000000000000001E-5</v>
      </c>
      <c r="AV230" t="s">
        <v>75</v>
      </c>
      <c r="AW230">
        <v>5.0000000000000002E-5</v>
      </c>
      <c r="AX230" t="s">
        <v>75</v>
      </c>
      <c r="AY230">
        <v>3.6999999999999999E-4</v>
      </c>
      <c r="AZ230" t="s">
        <v>75</v>
      </c>
      <c r="BC230">
        <v>7.3999999999999999E-4</v>
      </c>
      <c r="BD230" t="s">
        <v>75</v>
      </c>
      <c r="BE230">
        <v>5.0000000000000002E-5</v>
      </c>
      <c r="BF230" t="s">
        <v>75</v>
      </c>
      <c r="BG230">
        <v>1.3999999999999999E-4</v>
      </c>
      <c r="BH230" t="s">
        <v>75</v>
      </c>
      <c r="BI230">
        <v>1.7000000000000001E-4</v>
      </c>
      <c r="BJ230" t="s">
        <v>75</v>
      </c>
      <c r="BK230">
        <v>6.0000000000000002E-5</v>
      </c>
      <c r="BL230" t="s">
        <v>75</v>
      </c>
      <c r="BM230">
        <v>1.8000000000000001E-4</v>
      </c>
      <c r="BN230" t="s">
        <v>75</v>
      </c>
      <c r="BO230">
        <v>1.0070000000000001E-2</v>
      </c>
      <c r="BP230" t="s">
        <v>75</v>
      </c>
      <c r="BQ230">
        <v>1.745E-2</v>
      </c>
      <c r="BR230" t="s">
        <v>75</v>
      </c>
      <c r="BS230">
        <v>4.8599999999999997E-3</v>
      </c>
      <c r="BT230" t="s">
        <v>75</v>
      </c>
      <c r="BU230">
        <v>0.30631999999999998</v>
      </c>
      <c r="BV230" t="s">
        <v>75</v>
      </c>
      <c r="BW230">
        <v>3.4099999999999998E-2</v>
      </c>
      <c r="BX230" t="s">
        <v>75</v>
      </c>
      <c r="BY230">
        <v>1.103E-2</v>
      </c>
      <c r="BZ230" t="s">
        <v>75</v>
      </c>
      <c r="CA230">
        <v>1.54E-2</v>
      </c>
      <c r="CB230" t="s">
        <v>75</v>
      </c>
      <c r="CC230">
        <v>2.1199999999999999E-3</v>
      </c>
      <c r="CD230" t="s">
        <v>75</v>
      </c>
      <c r="CE230">
        <v>6.0999999999999997E-4</v>
      </c>
      <c r="CF230" t="s">
        <v>75</v>
      </c>
      <c r="CG230">
        <v>1.6000000000000001E-3</v>
      </c>
      <c r="CH230" t="s">
        <v>75</v>
      </c>
      <c r="CI230">
        <v>9.0000000000000006E-5</v>
      </c>
      <c r="CJ230" t="s">
        <v>75</v>
      </c>
      <c r="CK230">
        <v>6.6E-4</v>
      </c>
      <c r="CL230" t="s">
        <v>75</v>
      </c>
      <c r="CM230">
        <v>2.1000000000000001E-4</v>
      </c>
      <c r="CN230" t="s">
        <v>75</v>
      </c>
      <c r="CO230">
        <v>2.3400000000000001E-3</v>
      </c>
      <c r="CP230" t="s">
        <v>75</v>
      </c>
      <c r="CQ230">
        <v>6.9999999999999994E-5</v>
      </c>
      <c r="CR230" t="s">
        <v>75</v>
      </c>
      <c r="CS230">
        <v>1.102E-2</v>
      </c>
      <c r="CT230" t="s">
        <v>75</v>
      </c>
      <c r="CW230">
        <v>1.09E-3</v>
      </c>
      <c r="CX230" t="s">
        <v>75</v>
      </c>
      <c r="DA230">
        <v>1.7860000000000001E-2</v>
      </c>
      <c r="DB230" t="s">
        <v>75</v>
      </c>
      <c r="DC230">
        <v>4.2999999999999999E-4</v>
      </c>
      <c r="DD230" t="s">
        <v>75</v>
      </c>
      <c r="DE230">
        <v>1.072E-2</v>
      </c>
      <c r="DF230" t="s">
        <v>75</v>
      </c>
      <c r="DG230">
        <v>2.632E-2</v>
      </c>
      <c r="DH230" t="s">
        <v>75</v>
      </c>
      <c r="DI230">
        <v>0.32735999999999998</v>
      </c>
      <c r="DJ230" t="s">
        <v>75</v>
      </c>
      <c r="DO230">
        <v>3.2000000000000003E-4</v>
      </c>
      <c r="DP230" t="s">
        <v>75</v>
      </c>
    </row>
    <row r="231" spans="1:121" x14ac:dyDescent="0.2">
      <c r="D231" t="s">
        <v>65</v>
      </c>
      <c r="G231" t="s">
        <v>66</v>
      </c>
      <c r="I231" t="s">
        <v>66</v>
      </c>
      <c r="K231" t="s">
        <v>66</v>
      </c>
      <c r="M231" t="s">
        <v>66</v>
      </c>
      <c r="O231" t="s">
        <v>66</v>
      </c>
      <c r="Q231" t="s">
        <v>66</v>
      </c>
      <c r="S231" t="s">
        <v>66</v>
      </c>
      <c r="U231" t="s">
        <v>66</v>
      </c>
      <c r="W231" t="s">
        <v>66</v>
      </c>
      <c r="Y231" t="s">
        <v>66</v>
      </c>
      <c r="AA231" t="s">
        <v>66</v>
      </c>
      <c r="AC231" t="s">
        <v>66</v>
      </c>
      <c r="AE231" t="s">
        <v>66</v>
      </c>
      <c r="AG231" t="s">
        <v>66</v>
      </c>
      <c r="AI231" t="s">
        <v>66</v>
      </c>
      <c r="AK231" t="s">
        <v>66</v>
      </c>
      <c r="AM231" t="s">
        <v>66</v>
      </c>
      <c r="AO231" t="s">
        <v>66</v>
      </c>
      <c r="AQ231" t="s">
        <v>66</v>
      </c>
      <c r="AS231" t="s">
        <v>66</v>
      </c>
      <c r="AU231" t="s">
        <v>66</v>
      </c>
      <c r="AW231" t="s">
        <v>66</v>
      </c>
      <c r="AY231" t="s">
        <v>66</v>
      </c>
      <c r="BA231" t="s">
        <v>66</v>
      </c>
      <c r="BC231" t="s">
        <v>66</v>
      </c>
      <c r="BE231" t="s">
        <v>66</v>
      </c>
      <c r="BG231" t="s">
        <v>66</v>
      </c>
      <c r="BI231" t="s">
        <v>66</v>
      </c>
      <c r="BK231" t="s">
        <v>66</v>
      </c>
      <c r="BM231" t="s">
        <v>66</v>
      </c>
      <c r="BO231" t="s">
        <v>66</v>
      </c>
      <c r="BQ231" t="s">
        <v>66</v>
      </c>
      <c r="BS231" t="s">
        <v>66</v>
      </c>
      <c r="BU231" t="s">
        <v>66</v>
      </c>
      <c r="BW231" t="s">
        <v>66</v>
      </c>
      <c r="BY231" t="s">
        <v>66</v>
      </c>
      <c r="CA231" t="s">
        <v>66</v>
      </c>
      <c r="CC231" t="s">
        <v>66</v>
      </c>
      <c r="CE231" t="s">
        <v>66</v>
      </c>
      <c r="CG231" t="s">
        <v>66</v>
      </c>
      <c r="CI231" t="s">
        <v>66</v>
      </c>
      <c r="CK231" t="s">
        <v>66</v>
      </c>
      <c r="CM231" t="s">
        <v>66</v>
      </c>
      <c r="CO231" t="s">
        <v>66</v>
      </c>
      <c r="CQ231" t="s">
        <v>66</v>
      </c>
      <c r="CS231" t="s">
        <v>66</v>
      </c>
      <c r="CU231" t="s">
        <v>66</v>
      </c>
      <c r="CW231" t="s">
        <v>66</v>
      </c>
      <c r="CY231" t="s">
        <v>66</v>
      </c>
      <c r="DA231" t="s">
        <v>66</v>
      </c>
      <c r="DC231" t="s">
        <v>66</v>
      </c>
      <c r="DE231" t="s">
        <v>66</v>
      </c>
      <c r="DG231" t="s">
        <v>66</v>
      </c>
      <c r="DI231" t="s">
        <v>66</v>
      </c>
      <c r="DK231" t="s">
        <v>66</v>
      </c>
      <c r="DM231" t="s">
        <v>66</v>
      </c>
      <c r="DO231" t="s">
        <v>66</v>
      </c>
      <c r="DQ231" t="s">
        <v>66</v>
      </c>
    </row>
    <row r="232" spans="1:121" x14ac:dyDescent="0.2">
      <c r="A232" t="s">
        <v>616</v>
      </c>
      <c r="D232" t="s">
        <v>60</v>
      </c>
      <c r="E232" t="s">
        <v>61</v>
      </c>
      <c r="G232">
        <v>11108.7</v>
      </c>
      <c r="I232">
        <v>754.6</v>
      </c>
      <c r="K232">
        <v>79137.2</v>
      </c>
      <c r="M232">
        <v>83258.3</v>
      </c>
      <c r="O232">
        <v>2468.8000000000002</v>
      </c>
      <c r="Q232">
        <v>13840.6</v>
      </c>
      <c r="S232">
        <v>1708.6</v>
      </c>
      <c r="U232">
        <v>1743</v>
      </c>
      <c r="W232">
        <v>65248.6</v>
      </c>
      <c r="Y232">
        <v>2169.4</v>
      </c>
      <c r="AA232">
        <v>2969259</v>
      </c>
      <c r="AC232">
        <v>501671</v>
      </c>
      <c r="AE232">
        <v>227225.9</v>
      </c>
      <c r="AG232">
        <v>10635.2</v>
      </c>
      <c r="AI232">
        <v>56312.1</v>
      </c>
      <c r="AK232">
        <v>3771.4</v>
      </c>
      <c r="AM232">
        <v>7152.9</v>
      </c>
      <c r="AO232">
        <v>805.6</v>
      </c>
      <c r="AQ232">
        <v>269.8</v>
      </c>
      <c r="AS232">
        <v>551.20000000000005</v>
      </c>
      <c r="AU232">
        <v>375</v>
      </c>
      <c r="AW232">
        <v>301.10000000000002</v>
      </c>
      <c r="AY232">
        <v>4289.8</v>
      </c>
      <c r="BA232">
        <v>675961.8</v>
      </c>
      <c r="BC232">
        <v>4009.2</v>
      </c>
      <c r="BE232">
        <v>6675.2</v>
      </c>
      <c r="BG232">
        <v>258810</v>
      </c>
      <c r="BI232">
        <v>216284</v>
      </c>
      <c r="BK232">
        <v>540097.5</v>
      </c>
      <c r="BM232">
        <v>278371.09999999998</v>
      </c>
      <c r="BO232">
        <v>1589823.4</v>
      </c>
      <c r="BQ232">
        <v>50609.8</v>
      </c>
      <c r="BS232">
        <v>580557.30000000005</v>
      </c>
      <c r="BU232">
        <v>805333.9</v>
      </c>
      <c r="BW232">
        <v>11866.1</v>
      </c>
      <c r="BY232">
        <v>106140.4</v>
      </c>
      <c r="CA232">
        <v>24422.799999999999</v>
      </c>
      <c r="CC232">
        <v>294.39999999999998</v>
      </c>
      <c r="CE232">
        <v>781.8</v>
      </c>
      <c r="CG232">
        <v>260149.2</v>
      </c>
      <c r="CI232">
        <v>94209.4</v>
      </c>
      <c r="CK232">
        <v>759025.8</v>
      </c>
      <c r="CM232">
        <v>2331.6</v>
      </c>
      <c r="CO232">
        <v>29660.2</v>
      </c>
      <c r="CQ232">
        <v>121763.2</v>
      </c>
      <c r="CS232">
        <v>56593.4</v>
      </c>
      <c r="CU232">
        <v>257166.9</v>
      </c>
      <c r="CW232">
        <v>50948.7</v>
      </c>
      <c r="CY232">
        <v>58299.8</v>
      </c>
      <c r="DA232">
        <v>527318.30000000005</v>
      </c>
      <c r="DC232">
        <v>2.2999999999999998</v>
      </c>
      <c r="DE232">
        <v>3486.9</v>
      </c>
      <c r="DG232">
        <v>91.9</v>
      </c>
      <c r="DI232">
        <v>1385.9</v>
      </c>
      <c r="DK232">
        <v>889.2</v>
      </c>
      <c r="DM232">
        <v>76176.600000000006</v>
      </c>
      <c r="DO232">
        <v>13256.7</v>
      </c>
      <c r="DQ232">
        <v>16419.599999999999</v>
      </c>
    </row>
    <row r="233" spans="1:121" x14ac:dyDescent="0.2">
      <c r="D233" t="s">
        <v>62</v>
      </c>
      <c r="E233" t="s">
        <v>61</v>
      </c>
      <c r="G233">
        <v>582.6</v>
      </c>
      <c r="I233">
        <v>27.3</v>
      </c>
      <c r="K233">
        <v>546.1</v>
      </c>
      <c r="M233">
        <v>336.9</v>
      </c>
      <c r="O233">
        <v>134.80000000000001</v>
      </c>
      <c r="Q233">
        <v>581.70000000000005</v>
      </c>
      <c r="S233">
        <v>35.1</v>
      </c>
      <c r="U233">
        <v>102.3</v>
      </c>
      <c r="W233">
        <v>130.19999999999999</v>
      </c>
      <c r="Y233">
        <v>81.900000000000006</v>
      </c>
      <c r="AA233">
        <v>51627.6</v>
      </c>
      <c r="AC233">
        <v>8189</v>
      </c>
      <c r="AE233">
        <v>5846.7</v>
      </c>
      <c r="AG233">
        <v>357.8</v>
      </c>
      <c r="AI233">
        <v>607.20000000000005</v>
      </c>
      <c r="AK233">
        <v>131.69999999999999</v>
      </c>
      <c r="AM233">
        <v>70.400000000000006</v>
      </c>
      <c r="AO233">
        <v>33.200000000000003</v>
      </c>
      <c r="AQ233">
        <v>45.3</v>
      </c>
      <c r="AS233">
        <v>12.7</v>
      </c>
      <c r="AU233">
        <v>32.700000000000003</v>
      </c>
      <c r="AW233">
        <v>87.6</v>
      </c>
      <c r="AY233">
        <v>98.6</v>
      </c>
      <c r="BA233">
        <v>5190.2</v>
      </c>
      <c r="BC233">
        <v>143.1</v>
      </c>
      <c r="BE233">
        <v>16.100000000000001</v>
      </c>
      <c r="BG233">
        <v>4940.3</v>
      </c>
      <c r="BI233">
        <v>4127.8999999999996</v>
      </c>
      <c r="BK233">
        <v>5873.9</v>
      </c>
      <c r="BM233">
        <v>2714</v>
      </c>
      <c r="BO233">
        <v>10920.6</v>
      </c>
      <c r="BQ233">
        <v>511.7</v>
      </c>
      <c r="BS233">
        <v>10881.1</v>
      </c>
      <c r="BU233">
        <v>11814.4</v>
      </c>
      <c r="BW233">
        <v>301</v>
      </c>
      <c r="BY233">
        <v>877.9</v>
      </c>
      <c r="CA233">
        <v>853.4</v>
      </c>
      <c r="CC233">
        <v>34.1</v>
      </c>
      <c r="CE233">
        <v>82.6</v>
      </c>
      <c r="CG233">
        <v>6877.3</v>
      </c>
      <c r="CI233">
        <v>1962.8</v>
      </c>
      <c r="CK233">
        <v>22201.9</v>
      </c>
      <c r="CM233">
        <v>117.3</v>
      </c>
      <c r="CO233">
        <v>306.7</v>
      </c>
      <c r="CQ233">
        <v>1889.8</v>
      </c>
      <c r="CS233">
        <v>1280.4000000000001</v>
      </c>
      <c r="CU233">
        <v>5398.6</v>
      </c>
      <c r="CW233">
        <v>766.3</v>
      </c>
      <c r="CY233">
        <v>2285.4</v>
      </c>
      <c r="DA233">
        <v>6123.9</v>
      </c>
      <c r="DC233">
        <v>1.2</v>
      </c>
      <c r="DE233">
        <v>69.7</v>
      </c>
      <c r="DG233">
        <v>16.899999999999999</v>
      </c>
      <c r="DI233">
        <v>55</v>
      </c>
      <c r="DK233">
        <v>40.799999999999997</v>
      </c>
      <c r="DM233">
        <v>3067</v>
      </c>
      <c r="DO233">
        <v>795.6</v>
      </c>
      <c r="DQ233">
        <v>429.3</v>
      </c>
    </row>
    <row r="234" spans="1:121" x14ac:dyDescent="0.2">
      <c r="D234" t="s">
        <v>63</v>
      </c>
      <c r="G234">
        <v>5.4140000000000001E-2</v>
      </c>
      <c r="H234" t="s">
        <v>75</v>
      </c>
      <c r="I234">
        <v>1.379E-2</v>
      </c>
      <c r="J234" t="s">
        <v>75</v>
      </c>
      <c r="K234">
        <v>9.7460000000000005E-2</v>
      </c>
      <c r="L234" t="s">
        <v>75</v>
      </c>
      <c r="M234">
        <v>5.0619999999999998E-2</v>
      </c>
      <c r="N234" t="s">
        <v>75</v>
      </c>
      <c r="O234">
        <v>4.9899999999999996E-3</v>
      </c>
      <c r="P234" t="s">
        <v>75</v>
      </c>
      <c r="Q234">
        <v>0.11064</v>
      </c>
      <c r="R234" t="s">
        <v>75</v>
      </c>
      <c r="S234">
        <v>8.0999999999999996E-4</v>
      </c>
      <c r="T234" t="s">
        <v>75</v>
      </c>
      <c r="U234">
        <v>1.2880000000000001E-2</v>
      </c>
      <c r="V234" t="s">
        <v>75</v>
      </c>
      <c r="W234">
        <v>0.14235</v>
      </c>
      <c r="X234" t="s">
        <v>75</v>
      </c>
      <c r="Y234">
        <v>3.2300000000000002E-2</v>
      </c>
      <c r="Z234" t="s">
        <v>75</v>
      </c>
      <c r="AB234" t="s">
        <v>76</v>
      </c>
      <c r="AC234">
        <v>1.8314299999999999</v>
      </c>
      <c r="AD234" t="s">
        <v>75</v>
      </c>
      <c r="AE234">
        <v>0.89268000000000003</v>
      </c>
      <c r="AF234" t="s">
        <v>75</v>
      </c>
      <c r="AG234">
        <v>-7.9799999999999992E-3</v>
      </c>
      <c r="AH234" t="s">
        <v>75</v>
      </c>
      <c r="AI234">
        <v>0.35696</v>
      </c>
      <c r="AJ234" t="s">
        <v>75</v>
      </c>
      <c r="AK234">
        <v>4.4999999999999999E-4</v>
      </c>
      <c r="AL234" t="s">
        <v>75</v>
      </c>
      <c r="AM234">
        <v>-2.9999999999999997E-4</v>
      </c>
      <c r="AN234" t="s">
        <v>75</v>
      </c>
      <c r="AO234">
        <v>4.3800000000000002E-3</v>
      </c>
      <c r="AP234" t="s">
        <v>75</v>
      </c>
      <c r="AQ234">
        <v>2.0000000000000001E-4</v>
      </c>
      <c r="AR234" t="s">
        <v>75</v>
      </c>
      <c r="AS234">
        <v>1.42E-3</v>
      </c>
      <c r="AT234" t="s">
        <v>75</v>
      </c>
      <c r="AU234">
        <v>1.6000000000000001E-3</v>
      </c>
      <c r="AV234" t="s">
        <v>75</v>
      </c>
      <c r="AW234">
        <v>-6.9999999999999994E-5</v>
      </c>
      <c r="AX234" t="s">
        <v>75</v>
      </c>
      <c r="AY234">
        <v>3.5200000000000001E-3</v>
      </c>
      <c r="AZ234" t="s">
        <v>75</v>
      </c>
      <c r="BC234">
        <v>-2.0478800000000001</v>
      </c>
      <c r="BD234" t="s">
        <v>75</v>
      </c>
      <c r="BE234">
        <v>8.9599999999999992E-3</v>
      </c>
      <c r="BF234" t="s">
        <v>75</v>
      </c>
      <c r="BG234">
        <v>0.70743999999999996</v>
      </c>
      <c r="BH234" t="s">
        <v>75</v>
      </c>
      <c r="BI234">
        <v>0.70079000000000002</v>
      </c>
      <c r="BJ234" t="s">
        <v>75</v>
      </c>
      <c r="BK234">
        <v>0.70128999999999997</v>
      </c>
      <c r="BL234" t="s">
        <v>75</v>
      </c>
      <c r="BM234">
        <v>0.25239</v>
      </c>
      <c r="BN234" t="s">
        <v>75</v>
      </c>
      <c r="BO234">
        <v>34.207239999999999</v>
      </c>
      <c r="BP234" t="s">
        <v>75</v>
      </c>
      <c r="BQ234">
        <v>1.33365</v>
      </c>
      <c r="BR234" t="s">
        <v>75</v>
      </c>
      <c r="BS234">
        <v>12.86566</v>
      </c>
      <c r="BT234" t="s">
        <v>75</v>
      </c>
      <c r="BU234">
        <v>13.61403</v>
      </c>
      <c r="BV234" t="s">
        <v>75</v>
      </c>
      <c r="BW234">
        <v>4.9080500000000002</v>
      </c>
      <c r="BX234" t="s">
        <v>75</v>
      </c>
      <c r="BY234">
        <v>22.397849999999998</v>
      </c>
      <c r="BZ234" t="s">
        <v>75</v>
      </c>
      <c r="CA234">
        <v>9.7943300000000004</v>
      </c>
      <c r="CB234" t="s">
        <v>75</v>
      </c>
      <c r="CC234">
        <v>5.0220000000000001E-2</v>
      </c>
      <c r="CD234" t="s">
        <v>75</v>
      </c>
      <c r="CE234">
        <v>1.027E-2</v>
      </c>
      <c r="CF234" t="s">
        <v>75</v>
      </c>
      <c r="CG234">
        <v>4.5239399999999996</v>
      </c>
      <c r="CH234" t="s">
        <v>75</v>
      </c>
      <c r="CI234">
        <v>1.2295700000000001</v>
      </c>
      <c r="CJ234" t="s">
        <v>75</v>
      </c>
      <c r="CK234">
        <v>10.67742</v>
      </c>
      <c r="CL234" t="s">
        <v>75</v>
      </c>
      <c r="CM234">
        <v>2.6880000000000001E-2</v>
      </c>
      <c r="CN234" t="s">
        <v>75</v>
      </c>
      <c r="CO234">
        <v>1.7275</v>
      </c>
      <c r="CP234" t="s">
        <v>75</v>
      </c>
      <c r="CQ234">
        <v>3.7448000000000001</v>
      </c>
      <c r="CR234" t="s">
        <v>75</v>
      </c>
      <c r="CS234">
        <v>15.063140000000001</v>
      </c>
      <c r="CT234" t="s">
        <v>75</v>
      </c>
      <c r="CV234" t="s">
        <v>76</v>
      </c>
      <c r="CW234">
        <v>1.9112199999999999</v>
      </c>
      <c r="CX234" t="s">
        <v>75</v>
      </c>
      <c r="DA234">
        <v>31.004259999999999</v>
      </c>
      <c r="DB234" t="s">
        <v>75</v>
      </c>
      <c r="DC234">
        <v>-4.0000000000000003E-5</v>
      </c>
      <c r="DD234" t="s">
        <v>75</v>
      </c>
      <c r="DE234">
        <v>1.54983</v>
      </c>
      <c r="DF234" t="s">
        <v>75</v>
      </c>
      <c r="DG234">
        <v>0.41936000000000001</v>
      </c>
      <c r="DH234" t="s">
        <v>75</v>
      </c>
      <c r="DI234">
        <v>1.96824</v>
      </c>
      <c r="DJ234" t="s">
        <v>75</v>
      </c>
      <c r="DL234" t="s">
        <v>76</v>
      </c>
      <c r="DN234" t="s">
        <v>76</v>
      </c>
      <c r="DO234">
        <v>1.9419299999999999</v>
      </c>
      <c r="DP234" t="s">
        <v>75</v>
      </c>
    </row>
    <row r="235" spans="1:121" x14ac:dyDescent="0.2">
      <c r="D235" t="s">
        <v>64</v>
      </c>
      <c r="G235">
        <v>4.7400000000000003E-3</v>
      </c>
      <c r="H235" t="s">
        <v>75</v>
      </c>
      <c r="I235">
        <v>8.8999999999999995E-4</v>
      </c>
      <c r="J235" t="s">
        <v>75</v>
      </c>
      <c r="K235">
        <v>4.8000000000000001E-4</v>
      </c>
      <c r="L235" t="s">
        <v>75</v>
      </c>
      <c r="M235">
        <v>8.4000000000000003E-4</v>
      </c>
      <c r="N235" t="s">
        <v>75</v>
      </c>
      <c r="O235">
        <v>1.2E-4</v>
      </c>
      <c r="P235" t="s">
        <v>75</v>
      </c>
      <c r="Q235">
        <v>4.3899999999999998E-3</v>
      </c>
      <c r="R235" t="s">
        <v>75</v>
      </c>
      <c r="S235">
        <v>4.0000000000000003E-5</v>
      </c>
      <c r="T235" t="s">
        <v>75</v>
      </c>
      <c r="U235">
        <v>3.6999999999999999E-4</v>
      </c>
      <c r="V235" t="s">
        <v>75</v>
      </c>
      <c r="W235">
        <v>8.0999999999999996E-4</v>
      </c>
      <c r="X235" t="s">
        <v>75</v>
      </c>
      <c r="Y235">
        <v>1.0499999999999999E-3</v>
      </c>
      <c r="Z235" t="s">
        <v>75</v>
      </c>
      <c r="AC235">
        <v>1.7930000000000001E-2</v>
      </c>
      <c r="AD235" t="s">
        <v>75</v>
      </c>
      <c r="AE235">
        <v>2.002E-2</v>
      </c>
      <c r="AF235" t="s">
        <v>75</v>
      </c>
      <c r="AG235">
        <v>2.4000000000000001E-4</v>
      </c>
      <c r="AH235" t="s">
        <v>75</v>
      </c>
      <c r="AI235">
        <v>4.6800000000000001E-3</v>
      </c>
      <c r="AJ235" t="s">
        <v>75</v>
      </c>
      <c r="AK235">
        <v>8.0000000000000007E-5</v>
      </c>
      <c r="AL235" t="s">
        <v>75</v>
      </c>
      <c r="AM235">
        <v>1.0000000000000001E-5</v>
      </c>
      <c r="AN235" t="s">
        <v>75</v>
      </c>
      <c r="AO235">
        <v>1.1E-4</v>
      </c>
      <c r="AP235" t="s">
        <v>75</v>
      </c>
      <c r="AQ235">
        <v>2.0000000000000001E-4</v>
      </c>
      <c r="AR235" t="s">
        <v>75</v>
      </c>
      <c r="AS235">
        <v>4.0000000000000003E-5</v>
      </c>
      <c r="AT235" t="s">
        <v>75</v>
      </c>
      <c r="AU235">
        <v>2.0000000000000002E-5</v>
      </c>
      <c r="AV235" t="s">
        <v>75</v>
      </c>
      <c r="AW235">
        <v>2.1000000000000001E-4</v>
      </c>
      <c r="AX235" t="s">
        <v>75</v>
      </c>
      <c r="AY235">
        <v>3.5E-4</v>
      </c>
      <c r="AZ235" t="s">
        <v>75</v>
      </c>
      <c r="BC235">
        <v>4.8000000000000001E-4</v>
      </c>
      <c r="BD235" t="s">
        <v>75</v>
      </c>
      <c r="BE235">
        <v>6.0000000000000002E-5</v>
      </c>
      <c r="BF235" t="s">
        <v>75</v>
      </c>
      <c r="BG235">
        <v>1.256E-2</v>
      </c>
      <c r="BH235" t="s">
        <v>75</v>
      </c>
      <c r="BI235">
        <v>9.9799999999999993E-3</v>
      </c>
      <c r="BJ235" t="s">
        <v>75</v>
      </c>
      <c r="BK235">
        <v>5.2199999999999998E-3</v>
      </c>
      <c r="BL235" t="s">
        <v>75</v>
      </c>
      <c r="BM235">
        <v>2.8500000000000001E-3</v>
      </c>
      <c r="BN235" t="s">
        <v>75</v>
      </c>
      <c r="BO235">
        <v>1.57531</v>
      </c>
      <c r="BP235" t="s">
        <v>75</v>
      </c>
      <c r="BQ235">
        <v>6.3030000000000003E-2</v>
      </c>
      <c r="BR235" t="s">
        <v>75</v>
      </c>
      <c r="BS235">
        <v>0.70555999999999996</v>
      </c>
      <c r="BT235" t="s">
        <v>75</v>
      </c>
      <c r="BU235">
        <v>0.84238999999999997</v>
      </c>
      <c r="BV235" t="s">
        <v>75</v>
      </c>
      <c r="BW235">
        <v>0.32727000000000001</v>
      </c>
      <c r="BX235" t="s">
        <v>75</v>
      </c>
      <c r="BY235">
        <v>1.31233</v>
      </c>
      <c r="BZ235" t="s">
        <v>75</v>
      </c>
      <c r="CA235">
        <v>0.81672</v>
      </c>
      <c r="CB235" t="s">
        <v>75</v>
      </c>
      <c r="CC235">
        <v>9.5499999999999995E-3</v>
      </c>
      <c r="CD235" t="s">
        <v>75</v>
      </c>
      <c r="CE235">
        <v>1.2700000000000001E-3</v>
      </c>
      <c r="CF235" t="s">
        <v>75</v>
      </c>
      <c r="CG235">
        <v>0.27117000000000002</v>
      </c>
      <c r="CH235" t="s">
        <v>75</v>
      </c>
      <c r="CI235">
        <v>5.4260000000000003E-2</v>
      </c>
      <c r="CJ235" t="s">
        <v>75</v>
      </c>
      <c r="CK235">
        <v>0.67181999999999997</v>
      </c>
      <c r="CL235" t="s">
        <v>75</v>
      </c>
      <c r="CM235">
        <v>1.2199999999999999E-3</v>
      </c>
      <c r="CN235" t="s">
        <v>75</v>
      </c>
      <c r="CO235">
        <v>7.3859999999999995E-2</v>
      </c>
      <c r="CP235" t="s">
        <v>75</v>
      </c>
      <c r="CQ235">
        <v>0.20330000000000001</v>
      </c>
      <c r="CR235" t="s">
        <v>75</v>
      </c>
      <c r="CS235">
        <v>0.85965000000000003</v>
      </c>
      <c r="CT235" t="s">
        <v>75</v>
      </c>
      <c r="CW235">
        <v>0.10101</v>
      </c>
      <c r="CX235" t="s">
        <v>75</v>
      </c>
      <c r="DA235">
        <v>1.1145400000000001</v>
      </c>
      <c r="DB235" t="s">
        <v>75</v>
      </c>
      <c r="DC235">
        <v>5.2999999999999998E-4</v>
      </c>
      <c r="DD235" t="s">
        <v>75</v>
      </c>
      <c r="DE235">
        <v>7.0999999999999994E-2</v>
      </c>
      <c r="DF235" t="s">
        <v>75</v>
      </c>
      <c r="DG235">
        <v>9.6449999999999994E-2</v>
      </c>
      <c r="DH235" t="s">
        <v>75</v>
      </c>
      <c r="DI235">
        <v>8.1930000000000003E-2</v>
      </c>
      <c r="DJ235" t="s">
        <v>75</v>
      </c>
      <c r="DO235">
        <v>0.16445000000000001</v>
      </c>
      <c r="DP235" t="s">
        <v>75</v>
      </c>
    </row>
    <row r="236" spans="1:121" x14ac:dyDescent="0.2">
      <c r="D236" t="s">
        <v>65</v>
      </c>
      <c r="G236" t="s">
        <v>66</v>
      </c>
      <c r="I236" t="s">
        <v>66</v>
      </c>
      <c r="K236" t="s">
        <v>66</v>
      </c>
      <c r="M236" t="s">
        <v>66</v>
      </c>
      <c r="O236" t="s">
        <v>66</v>
      </c>
      <c r="Q236" t="s">
        <v>66</v>
      </c>
      <c r="S236" t="s">
        <v>66</v>
      </c>
      <c r="U236" t="s">
        <v>66</v>
      </c>
      <c r="W236" t="s">
        <v>66</v>
      </c>
      <c r="Y236" t="s">
        <v>66</v>
      </c>
      <c r="AA236" t="s">
        <v>66</v>
      </c>
      <c r="AC236" t="s">
        <v>66</v>
      </c>
      <c r="AE236" t="s">
        <v>66</v>
      </c>
      <c r="AG236" t="s">
        <v>66</v>
      </c>
      <c r="AI236" t="s">
        <v>66</v>
      </c>
      <c r="AK236" t="s">
        <v>66</v>
      </c>
      <c r="AM236" t="s">
        <v>66</v>
      </c>
      <c r="AO236" t="s">
        <v>66</v>
      </c>
      <c r="AQ236" t="s">
        <v>66</v>
      </c>
      <c r="AS236" t="s">
        <v>66</v>
      </c>
      <c r="AU236" t="s">
        <v>66</v>
      </c>
      <c r="AW236" t="s">
        <v>66</v>
      </c>
      <c r="AY236" t="s">
        <v>66</v>
      </c>
      <c r="BA236" t="s">
        <v>66</v>
      </c>
      <c r="BC236" t="s">
        <v>66</v>
      </c>
      <c r="BE236" t="s">
        <v>66</v>
      </c>
      <c r="BG236" t="s">
        <v>66</v>
      </c>
      <c r="BI236" t="s">
        <v>66</v>
      </c>
      <c r="BK236" t="s">
        <v>66</v>
      </c>
      <c r="BM236" t="s">
        <v>66</v>
      </c>
      <c r="BO236" t="s">
        <v>66</v>
      </c>
      <c r="BQ236" t="s">
        <v>66</v>
      </c>
      <c r="BS236" t="s">
        <v>66</v>
      </c>
      <c r="BU236" t="s">
        <v>66</v>
      </c>
      <c r="BW236" t="s">
        <v>66</v>
      </c>
      <c r="BY236" t="s">
        <v>66</v>
      </c>
      <c r="CA236" t="s">
        <v>66</v>
      </c>
      <c r="CC236" t="s">
        <v>66</v>
      </c>
      <c r="CE236" t="s">
        <v>66</v>
      </c>
      <c r="CG236" t="s">
        <v>66</v>
      </c>
      <c r="CI236" t="s">
        <v>66</v>
      </c>
      <c r="CK236" t="s">
        <v>66</v>
      </c>
      <c r="CM236" t="s">
        <v>66</v>
      </c>
      <c r="CO236" t="s">
        <v>66</v>
      </c>
      <c r="CQ236" t="s">
        <v>66</v>
      </c>
      <c r="CS236" t="s">
        <v>66</v>
      </c>
      <c r="CU236" t="s">
        <v>66</v>
      </c>
      <c r="CW236" t="s">
        <v>66</v>
      </c>
      <c r="CY236" t="s">
        <v>66</v>
      </c>
      <c r="DA236" t="s">
        <v>66</v>
      </c>
      <c r="DC236" t="s">
        <v>66</v>
      </c>
      <c r="DE236" t="s">
        <v>66</v>
      </c>
      <c r="DG236" t="s">
        <v>66</v>
      </c>
      <c r="DI236" t="s">
        <v>66</v>
      </c>
      <c r="DK236" t="s">
        <v>66</v>
      </c>
      <c r="DM236" t="s">
        <v>66</v>
      </c>
      <c r="DO236" t="s">
        <v>66</v>
      </c>
      <c r="DQ236" t="s">
        <v>66</v>
      </c>
    </row>
    <row r="237" spans="1:121" x14ac:dyDescent="0.2">
      <c r="A237" t="s">
        <v>617</v>
      </c>
      <c r="D237" t="s">
        <v>60</v>
      </c>
      <c r="E237" t="s">
        <v>61</v>
      </c>
      <c r="G237">
        <v>10539</v>
      </c>
      <c r="I237">
        <v>701.3</v>
      </c>
      <c r="K237">
        <v>21786</v>
      </c>
      <c r="M237">
        <v>73610</v>
      </c>
      <c r="O237">
        <v>2564.8000000000002</v>
      </c>
      <c r="Q237">
        <v>12157.5</v>
      </c>
      <c r="S237">
        <v>1504.2</v>
      </c>
      <c r="U237">
        <v>1620</v>
      </c>
      <c r="W237">
        <v>23679.5</v>
      </c>
      <c r="Y237">
        <v>403.2</v>
      </c>
      <c r="AA237">
        <v>3000380.3</v>
      </c>
      <c r="AC237">
        <v>21906.799999999999</v>
      </c>
      <c r="AE237">
        <v>108453</v>
      </c>
      <c r="AG237">
        <v>4307.3999999999996</v>
      </c>
      <c r="AI237">
        <v>83902.2</v>
      </c>
      <c r="AK237">
        <v>25129.8</v>
      </c>
      <c r="AM237">
        <v>38043.800000000003</v>
      </c>
      <c r="AO237">
        <v>2777.5</v>
      </c>
      <c r="AQ237">
        <v>233.4</v>
      </c>
      <c r="AS237">
        <v>733.7</v>
      </c>
      <c r="AU237">
        <v>361.5</v>
      </c>
      <c r="AW237">
        <v>271.89999999999998</v>
      </c>
      <c r="AY237">
        <v>4008.1</v>
      </c>
      <c r="BA237">
        <v>664509</v>
      </c>
      <c r="BC237">
        <v>3764.1</v>
      </c>
      <c r="BE237">
        <v>544.9</v>
      </c>
      <c r="BG237">
        <v>118592.1</v>
      </c>
      <c r="BI237">
        <v>97590.6</v>
      </c>
      <c r="BK237">
        <v>241931.7</v>
      </c>
      <c r="BM237">
        <v>285944</v>
      </c>
      <c r="BO237">
        <v>800520.4</v>
      </c>
      <c r="BQ237">
        <v>51819.199999999997</v>
      </c>
      <c r="BS237">
        <v>363609</v>
      </c>
      <c r="BU237">
        <v>642976.69999999995</v>
      </c>
      <c r="BW237">
        <v>10405.5</v>
      </c>
      <c r="BY237">
        <v>41479.5</v>
      </c>
      <c r="CA237">
        <v>23129</v>
      </c>
      <c r="CC237">
        <v>188</v>
      </c>
      <c r="CE237">
        <v>757.7</v>
      </c>
      <c r="CG237">
        <v>289667</v>
      </c>
      <c r="CI237">
        <v>59946.7</v>
      </c>
      <c r="CK237">
        <v>660680.4</v>
      </c>
      <c r="CM237">
        <v>1901.5</v>
      </c>
      <c r="CO237">
        <v>24753.7</v>
      </c>
      <c r="CQ237">
        <v>90045.1</v>
      </c>
      <c r="CS237">
        <v>22556.1</v>
      </c>
      <c r="CU237">
        <v>260670.3</v>
      </c>
      <c r="CW237">
        <v>2399.3000000000002</v>
      </c>
      <c r="CY237">
        <v>58723.5</v>
      </c>
      <c r="DA237">
        <v>122134.39999999999</v>
      </c>
      <c r="DC237">
        <v>2.2000000000000002</v>
      </c>
      <c r="DE237">
        <v>273.60000000000002</v>
      </c>
      <c r="DG237">
        <v>57.3</v>
      </c>
      <c r="DI237">
        <v>1485.4</v>
      </c>
      <c r="DK237">
        <v>983.8</v>
      </c>
      <c r="DM237">
        <v>73123.399999999994</v>
      </c>
      <c r="DO237">
        <v>605.9</v>
      </c>
      <c r="DQ237">
        <v>16637.400000000001</v>
      </c>
    </row>
    <row r="238" spans="1:121" x14ac:dyDescent="0.2">
      <c r="D238" t="s">
        <v>62</v>
      </c>
      <c r="E238" t="s">
        <v>61</v>
      </c>
      <c r="G238">
        <v>449.7</v>
      </c>
      <c r="I238">
        <v>104.1</v>
      </c>
      <c r="K238">
        <v>404.3</v>
      </c>
      <c r="M238">
        <v>1197.4000000000001</v>
      </c>
      <c r="O238">
        <v>112.8</v>
      </c>
      <c r="Q238">
        <v>257.89999999999998</v>
      </c>
      <c r="S238">
        <v>52.6</v>
      </c>
      <c r="U238">
        <v>98.3</v>
      </c>
      <c r="W238">
        <v>450.5</v>
      </c>
      <c r="Y238">
        <v>25.6</v>
      </c>
      <c r="AA238">
        <v>53978.5</v>
      </c>
      <c r="AC238">
        <v>304</v>
      </c>
      <c r="AE238">
        <v>969.6</v>
      </c>
      <c r="AG238">
        <v>233.9</v>
      </c>
      <c r="AI238">
        <v>500.2</v>
      </c>
      <c r="AK238">
        <v>534.5</v>
      </c>
      <c r="AM238">
        <v>594</v>
      </c>
      <c r="AO238">
        <v>279.39999999999998</v>
      </c>
      <c r="AQ238">
        <v>42.6</v>
      </c>
      <c r="AS238">
        <v>60.8</v>
      </c>
      <c r="AU238">
        <v>53.3</v>
      </c>
      <c r="AW238">
        <v>51.6</v>
      </c>
      <c r="AY238">
        <v>98.6</v>
      </c>
      <c r="BA238">
        <v>9942.1</v>
      </c>
      <c r="BC238">
        <v>79.5</v>
      </c>
      <c r="BE238">
        <v>39.9</v>
      </c>
      <c r="BG238">
        <v>132.30000000000001</v>
      </c>
      <c r="BI238">
        <v>444.8</v>
      </c>
      <c r="BK238">
        <v>3249</v>
      </c>
      <c r="BM238">
        <v>4506.3999999999996</v>
      </c>
      <c r="BO238">
        <v>10580.1</v>
      </c>
      <c r="BQ238">
        <v>276.2</v>
      </c>
      <c r="BS238">
        <v>2418.8000000000002</v>
      </c>
      <c r="BU238">
        <v>9389.7000000000007</v>
      </c>
      <c r="BW238">
        <v>301.10000000000002</v>
      </c>
      <c r="BY238">
        <v>402.7</v>
      </c>
      <c r="CA238">
        <v>548</v>
      </c>
      <c r="CC238">
        <v>43.9</v>
      </c>
      <c r="CE238">
        <v>37.700000000000003</v>
      </c>
      <c r="CG238">
        <v>10912.7</v>
      </c>
      <c r="CI238">
        <v>1431.2</v>
      </c>
      <c r="CK238">
        <v>21940.7</v>
      </c>
      <c r="CM238">
        <v>64</v>
      </c>
      <c r="CO238">
        <v>467.7</v>
      </c>
      <c r="CQ238">
        <v>948</v>
      </c>
      <c r="CS238">
        <v>175.5</v>
      </c>
      <c r="CU238">
        <v>6079.7</v>
      </c>
      <c r="CW238">
        <v>118.2</v>
      </c>
      <c r="CY238">
        <v>607.79999999999995</v>
      </c>
      <c r="DA238">
        <v>1269.8</v>
      </c>
      <c r="DC238">
        <v>3.8</v>
      </c>
      <c r="DE238">
        <v>27</v>
      </c>
      <c r="DG238">
        <v>21.1</v>
      </c>
      <c r="DI238">
        <v>115</v>
      </c>
      <c r="DK238">
        <v>69.900000000000006</v>
      </c>
      <c r="DM238">
        <v>2561.5</v>
      </c>
      <c r="DO238">
        <v>63.3</v>
      </c>
      <c r="DQ238">
        <v>433.6</v>
      </c>
    </row>
    <row r="239" spans="1:121" x14ac:dyDescent="0.2">
      <c r="D239" t="s">
        <v>63</v>
      </c>
      <c r="G239">
        <v>5.1090000000000003E-2</v>
      </c>
      <c r="H239" t="s">
        <v>75</v>
      </c>
      <c r="I239">
        <v>1.234E-2</v>
      </c>
      <c r="J239" t="s">
        <v>75</v>
      </c>
      <c r="K239">
        <v>2.479E-2</v>
      </c>
      <c r="L239" t="s">
        <v>75</v>
      </c>
      <c r="M239">
        <v>4.2099999999999999E-2</v>
      </c>
      <c r="N239" t="s">
        <v>75</v>
      </c>
      <c r="O239">
        <v>5.11E-3</v>
      </c>
      <c r="P239" t="s">
        <v>75</v>
      </c>
      <c r="Q239">
        <v>0.10111000000000001</v>
      </c>
      <c r="R239" t="s">
        <v>75</v>
      </c>
      <c r="S239">
        <v>6.4999999999999997E-4</v>
      </c>
      <c r="T239" t="s">
        <v>75</v>
      </c>
      <c r="U239">
        <v>1.248E-2</v>
      </c>
      <c r="V239" t="s">
        <v>75</v>
      </c>
      <c r="W239">
        <v>5.4800000000000001E-2</v>
      </c>
      <c r="X239" t="s">
        <v>75</v>
      </c>
      <c r="Y239">
        <v>6.11E-3</v>
      </c>
      <c r="Z239" t="s">
        <v>75</v>
      </c>
      <c r="AB239" t="s">
        <v>76</v>
      </c>
      <c r="AC239">
        <v>0.12123</v>
      </c>
      <c r="AD239" t="s">
        <v>75</v>
      </c>
      <c r="AE239">
        <v>0.45368999999999998</v>
      </c>
      <c r="AF239" t="s">
        <v>75</v>
      </c>
      <c r="AG239">
        <v>-1.291E-2</v>
      </c>
      <c r="AH239" t="s">
        <v>75</v>
      </c>
      <c r="AI239">
        <v>0.54105999999999999</v>
      </c>
      <c r="AJ239" t="s">
        <v>75</v>
      </c>
      <c r="AK239">
        <v>1.545E-2</v>
      </c>
      <c r="AL239" t="s">
        <v>75</v>
      </c>
      <c r="AM239">
        <v>2.3480000000000001E-2</v>
      </c>
      <c r="AN239" t="s">
        <v>75</v>
      </c>
      <c r="AO239">
        <v>1.1769999999999999E-2</v>
      </c>
      <c r="AP239" t="s">
        <v>75</v>
      </c>
      <c r="AQ239">
        <v>6.0000000000000002E-5</v>
      </c>
      <c r="AR239" t="s">
        <v>75</v>
      </c>
      <c r="AS239">
        <v>2.2899999999999999E-3</v>
      </c>
      <c r="AT239" t="s">
        <v>75</v>
      </c>
      <c r="AU239">
        <v>1.5900000000000001E-3</v>
      </c>
      <c r="AV239" t="s">
        <v>75</v>
      </c>
      <c r="AW239">
        <v>-1.2999999999999999E-4</v>
      </c>
      <c r="AX239" t="s">
        <v>75</v>
      </c>
      <c r="AY239">
        <v>2.8300000000000001E-3</v>
      </c>
      <c r="AZ239" t="s">
        <v>75</v>
      </c>
      <c r="BC239">
        <v>-2.0484100000000001</v>
      </c>
      <c r="BD239" t="s">
        <v>75</v>
      </c>
      <c r="BE239">
        <v>3.0999999999999999E-3</v>
      </c>
      <c r="BF239" t="s">
        <v>75</v>
      </c>
      <c r="BG239">
        <v>0.30908000000000002</v>
      </c>
      <c r="BH239" t="s">
        <v>75</v>
      </c>
      <c r="BI239">
        <v>0.313</v>
      </c>
      <c r="BJ239" t="s">
        <v>75</v>
      </c>
      <c r="BK239">
        <v>0.29602000000000001</v>
      </c>
      <c r="BL239" t="s">
        <v>75</v>
      </c>
      <c r="BM239">
        <v>0.26424999999999998</v>
      </c>
      <c r="BN239" t="s">
        <v>75</v>
      </c>
      <c r="BO239">
        <v>16.215039999999998</v>
      </c>
      <c r="BP239" t="s">
        <v>75</v>
      </c>
      <c r="BQ239">
        <v>1.36113</v>
      </c>
      <c r="BR239" t="s">
        <v>75</v>
      </c>
      <c r="BS239">
        <v>7.8155000000000001</v>
      </c>
      <c r="BT239" t="s">
        <v>75</v>
      </c>
      <c r="BU239">
        <v>6.5330500000000002</v>
      </c>
      <c r="BV239" t="s">
        <v>75</v>
      </c>
      <c r="BW239">
        <v>4.2333800000000004</v>
      </c>
      <c r="BX239" t="s">
        <v>75</v>
      </c>
      <c r="BY239">
        <v>3.70105</v>
      </c>
      <c r="BZ239" t="s">
        <v>75</v>
      </c>
      <c r="CA239">
        <v>8.9792100000000001</v>
      </c>
      <c r="CB239" t="s">
        <v>75</v>
      </c>
      <c r="CC239">
        <v>2.648E-2</v>
      </c>
      <c r="CD239" t="s">
        <v>75</v>
      </c>
      <c r="CE239">
        <v>9.8200000000000006E-3</v>
      </c>
      <c r="CF239" t="s">
        <v>75</v>
      </c>
      <c r="CG239">
        <v>4.9970600000000003</v>
      </c>
      <c r="CH239" t="s">
        <v>75</v>
      </c>
      <c r="CI239">
        <v>0.76554999999999995</v>
      </c>
      <c r="CJ239" t="s">
        <v>75</v>
      </c>
      <c r="CK239">
        <v>9.1711200000000002</v>
      </c>
      <c r="CL239" t="s">
        <v>75</v>
      </c>
      <c r="CM239">
        <v>2.043E-2</v>
      </c>
      <c r="CN239" t="s">
        <v>75</v>
      </c>
      <c r="CO239">
        <v>1.43181</v>
      </c>
      <c r="CP239" t="s">
        <v>75</v>
      </c>
      <c r="CQ239">
        <v>2.7382599999999999</v>
      </c>
      <c r="CR239" t="s">
        <v>75</v>
      </c>
      <c r="CS239">
        <v>5.8926400000000001</v>
      </c>
      <c r="CT239" t="s">
        <v>75</v>
      </c>
      <c r="CV239" t="s">
        <v>76</v>
      </c>
      <c r="CW239">
        <v>6.4710000000000004E-2</v>
      </c>
      <c r="CX239" t="s">
        <v>75</v>
      </c>
      <c r="DA239">
        <v>6.9092500000000001</v>
      </c>
      <c r="DB239" t="s">
        <v>75</v>
      </c>
      <c r="DC239">
        <v>-1.2999999999999999E-4</v>
      </c>
      <c r="DD239" t="s">
        <v>75</v>
      </c>
      <c r="DE239">
        <v>0.10329000000000001</v>
      </c>
      <c r="DF239" t="s">
        <v>75</v>
      </c>
      <c r="DG239">
        <v>0.23541999999999999</v>
      </c>
      <c r="DH239" t="s">
        <v>75</v>
      </c>
      <c r="DI239">
        <v>2.10148</v>
      </c>
      <c r="DJ239" t="s">
        <v>75</v>
      </c>
      <c r="DL239" t="s">
        <v>76</v>
      </c>
      <c r="DN239" t="s">
        <v>76</v>
      </c>
      <c r="DO239">
        <v>7.9869999999999997E-2</v>
      </c>
      <c r="DP239" t="s">
        <v>75</v>
      </c>
    </row>
    <row r="240" spans="1:121" x14ac:dyDescent="0.2">
      <c r="D240" t="s">
        <v>64</v>
      </c>
      <c r="G240">
        <v>4.8799999999999998E-3</v>
      </c>
      <c r="H240" t="s">
        <v>75</v>
      </c>
      <c r="I240">
        <v>3.5699999999999998E-3</v>
      </c>
      <c r="J240" t="s">
        <v>75</v>
      </c>
      <c r="K240">
        <v>7.6999999999999996E-4</v>
      </c>
      <c r="L240" t="s">
        <v>75</v>
      </c>
      <c r="M240">
        <v>2.15E-3</v>
      </c>
      <c r="N240" t="s">
        <v>75</v>
      </c>
      <c r="O240">
        <v>1.2E-4</v>
      </c>
      <c r="P240" t="s">
        <v>75</v>
      </c>
      <c r="Q240">
        <v>2.8999999999999998E-3</v>
      </c>
      <c r="R240" t="s">
        <v>75</v>
      </c>
      <c r="S240">
        <v>6.9999999999999994E-5</v>
      </c>
      <c r="T240" t="s">
        <v>75</v>
      </c>
      <c r="U240">
        <v>3.6999999999999999E-4</v>
      </c>
      <c r="V240" t="s">
        <v>75</v>
      </c>
      <c r="W240">
        <v>1.47E-3</v>
      </c>
      <c r="X240" t="s">
        <v>75</v>
      </c>
      <c r="Y240">
        <v>4.8000000000000001E-4</v>
      </c>
      <c r="Z240" t="s">
        <v>75</v>
      </c>
      <c r="AC240">
        <v>2.0500000000000002E-3</v>
      </c>
      <c r="AD240" t="s">
        <v>75</v>
      </c>
      <c r="AE240">
        <v>9.41E-3</v>
      </c>
      <c r="AF240" t="s">
        <v>75</v>
      </c>
      <c r="AG240">
        <v>2.4000000000000001E-4</v>
      </c>
      <c r="AH240" t="s">
        <v>75</v>
      </c>
      <c r="AI240">
        <v>7.1000000000000004E-3</v>
      </c>
      <c r="AJ240" t="s">
        <v>75</v>
      </c>
      <c r="AK240">
        <v>2.9999999999999997E-4</v>
      </c>
      <c r="AL240" t="s">
        <v>75</v>
      </c>
      <c r="AM240">
        <v>8.8999999999999995E-4</v>
      </c>
      <c r="AN240" t="s">
        <v>75</v>
      </c>
      <c r="AO240">
        <v>9.5E-4</v>
      </c>
      <c r="AP240" t="s">
        <v>75</v>
      </c>
      <c r="AQ240">
        <v>2.0000000000000001E-4</v>
      </c>
      <c r="AR240" t="s">
        <v>75</v>
      </c>
      <c r="AS240">
        <v>2.4000000000000001E-4</v>
      </c>
      <c r="AT240" t="s">
        <v>75</v>
      </c>
      <c r="AU240">
        <v>3.0000000000000001E-5</v>
      </c>
      <c r="AV240" t="s">
        <v>75</v>
      </c>
      <c r="AW240">
        <v>1.2E-4</v>
      </c>
      <c r="AX240" t="s">
        <v>75</v>
      </c>
      <c r="AY240">
        <v>2.0000000000000001E-4</v>
      </c>
      <c r="AZ240" t="s">
        <v>75</v>
      </c>
      <c r="BC240">
        <v>4.0999999999999999E-4</v>
      </c>
      <c r="BD240" t="s">
        <v>75</v>
      </c>
      <c r="BE240">
        <v>5.0000000000000002E-5</v>
      </c>
      <c r="BF240" t="s">
        <v>75</v>
      </c>
      <c r="BG240">
        <v>4.9500000000000004E-3</v>
      </c>
      <c r="BH240" t="s">
        <v>75</v>
      </c>
      <c r="BI240">
        <v>6.0000000000000001E-3</v>
      </c>
      <c r="BJ240" t="s">
        <v>75</v>
      </c>
      <c r="BK240">
        <v>7.7799999999999996E-3</v>
      </c>
      <c r="BL240" t="s">
        <v>75</v>
      </c>
      <c r="BM240">
        <v>8.2799999999999992E-3</v>
      </c>
      <c r="BN240" t="s">
        <v>75</v>
      </c>
      <c r="BO240">
        <v>0.26469999999999999</v>
      </c>
      <c r="BP240" t="s">
        <v>75</v>
      </c>
      <c r="BQ240">
        <v>2.4070000000000001E-2</v>
      </c>
      <c r="BR240" t="s">
        <v>75</v>
      </c>
      <c r="BS240">
        <v>0.12670000000000001</v>
      </c>
      <c r="BT240" t="s">
        <v>75</v>
      </c>
      <c r="BU240">
        <v>0.66488000000000003</v>
      </c>
      <c r="BV240" t="s">
        <v>75</v>
      </c>
      <c r="BW240">
        <v>0.14596000000000001</v>
      </c>
      <c r="BX240" t="s">
        <v>75</v>
      </c>
      <c r="BY240">
        <v>4.7730000000000002E-2</v>
      </c>
      <c r="BZ240" t="s">
        <v>75</v>
      </c>
      <c r="CA240">
        <v>0.42237000000000002</v>
      </c>
      <c r="CB240" t="s">
        <v>75</v>
      </c>
      <c r="CC240">
        <v>9.6900000000000007E-3</v>
      </c>
      <c r="CD240" t="s">
        <v>75</v>
      </c>
      <c r="CE240">
        <v>5.2999999999999998E-4</v>
      </c>
      <c r="CF240" t="s">
        <v>75</v>
      </c>
      <c r="CG240">
        <v>0.23857999999999999</v>
      </c>
      <c r="CH240" t="s">
        <v>75</v>
      </c>
      <c r="CI240">
        <v>2.5590000000000002E-2</v>
      </c>
      <c r="CJ240" t="s">
        <v>75</v>
      </c>
      <c r="CK240">
        <v>0.40919</v>
      </c>
      <c r="CL240" t="s">
        <v>75</v>
      </c>
      <c r="CM240">
        <v>9.8999999999999999E-4</v>
      </c>
      <c r="CN240" t="s">
        <v>75</v>
      </c>
      <c r="CO240">
        <v>4.011E-2</v>
      </c>
      <c r="CP240" t="s">
        <v>75</v>
      </c>
      <c r="CQ240">
        <v>2.8809999999999999E-2</v>
      </c>
      <c r="CR240" t="s">
        <v>75</v>
      </c>
      <c r="CS240">
        <v>9.4119999999999995E-2</v>
      </c>
      <c r="CT240" t="s">
        <v>75</v>
      </c>
      <c r="CW240">
        <v>4.0899999999999999E-3</v>
      </c>
      <c r="CX240" t="s">
        <v>75</v>
      </c>
      <c r="DA240">
        <v>0.12077</v>
      </c>
      <c r="DB240" t="s">
        <v>75</v>
      </c>
      <c r="DC240">
        <v>1.64E-3</v>
      </c>
      <c r="DD240" t="s">
        <v>75</v>
      </c>
      <c r="DE240">
        <v>1.457E-2</v>
      </c>
      <c r="DF240" t="s">
        <v>75</v>
      </c>
      <c r="DG240">
        <v>0.11811000000000001</v>
      </c>
      <c r="DH240" t="s">
        <v>75</v>
      </c>
      <c r="DI240">
        <v>0.1346</v>
      </c>
      <c r="DJ240" t="s">
        <v>75</v>
      </c>
      <c r="DO240">
        <v>1.153E-2</v>
      </c>
      <c r="DP240" t="s">
        <v>75</v>
      </c>
    </row>
    <row r="241" spans="1:121" x14ac:dyDescent="0.2">
      <c r="D241" t="s">
        <v>65</v>
      </c>
      <c r="G241" t="s">
        <v>66</v>
      </c>
      <c r="I241" t="s">
        <v>66</v>
      </c>
      <c r="K241" t="s">
        <v>66</v>
      </c>
      <c r="M241" t="s">
        <v>66</v>
      </c>
      <c r="O241" t="s">
        <v>66</v>
      </c>
      <c r="Q241" t="s">
        <v>66</v>
      </c>
      <c r="S241" t="s">
        <v>66</v>
      </c>
      <c r="U241" t="s">
        <v>66</v>
      </c>
      <c r="W241" t="s">
        <v>66</v>
      </c>
      <c r="Y241" t="s">
        <v>66</v>
      </c>
      <c r="AA241" t="s">
        <v>66</v>
      </c>
      <c r="AC241" t="s">
        <v>66</v>
      </c>
      <c r="AE241" t="s">
        <v>66</v>
      </c>
      <c r="AG241" t="s">
        <v>66</v>
      </c>
      <c r="AI241" t="s">
        <v>66</v>
      </c>
      <c r="AK241" t="s">
        <v>66</v>
      </c>
      <c r="AM241" t="s">
        <v>66</v>
      </c>
      <c r="AO241" t="s">
        <v>66</v>
      </c>
      <c r="AQ241" t="s">
        <v>66</v>
      </c>
      <c r="AS241" t="s">
        <v>66</v>
      </c>
      <c r="AU241" t="s">
        <v>66</v>
      </c>
      <c r="AW241" t="s">
        <v>66</v>
      </c>
      <c r="AY241" t="s">
        <v>66</v>
      </c>
      <c r="BA241" t="s">
        <v>66</v>
      </c>
      <c r="BC241" t="s">
        <v>66</v>
      </c>
      <c r="BE241" t="s">
        <v>66</v>
      </c>
      <c r="BG241" t="s">
        <v>66</v>
      </c>
      <c r="BI241" t="s">
        <v>66</v>
      </c>
      <c r="BK241" t="s">
        <v>66</v>
      </c>
      <c r="BM241" t="s">
        <v>66</v>
      </c>
      <c r="BO241" t="s">
        <v>66</v>
      </c>
      <c r="BQ241" t="s">
        <v>66</v>
      </c>
      <c r="BS241" t="s">
        <v>66</v>
      </c>
      <c r="BU241" t="s">
        <v>66</v>
      </c>
      <c r="BW241" t="s">
        <v>66</v>
      </c>
      <c r="BY241" t="s">
        <v>66</v>
      </c>
      <c r="CA241" t="s">
        <v>66</v>
      </c>
      <c r="CC241" t="s">
        <v>66</v>
      </c>
      <c r="CE241" t="s">
        <v>66</v>
      </c>
      <c r="CG241" t="s">
        <v>66</v>
      </c>
      <c r="CI241" t="s">
        <v>66</v>
      </c>
      <c r="CK241" t="s">
        <v>66</v>
      </c>
      <c r="CM241" t="s">
        <v>66</v>
      </c>
      <c r="CO241" t="s">
        <v>66</v>
      </c>
      <c r="CQ241" t="s">
        <v>66</v>
      </c>
      <c r="CS241" t="s">
        <v>66</v>
      </c>
      <c r="CU241" t="s">
        <v>66</v>
      </c>
      <c r="CW241" t="s">
        <v>66</v>
      </c>
      <c r="CY241" t="s">
        <v>66</v>
      </c>
      <c r="DA241" t="s">
        <v>66</v>
      </c>
      <c r="DC241" t="s">
        <v>66</v>
      </c>
      <c r="DE241" t="s">
        <v>66</v>
      </c>
      <c r="DG241" t="s">
        <v>66</v>
      </c>
      <c r="DI241" t="s">
        <v>66</v>
      </c>
      <c r="DK241" t="s">
        <v>66</v>
      </c>
      <c r="DM241" t="s">
        <v>66</v>
      </c>
      <c r="DO241" t="s">
        <v>66</v>
      </c>
      <c r="DQ241" t="s">
        <v>66</v>
      </c>
    </row>
    <row r="242" spans="1:121" x14ac:dyDescent="0.2">
      <c r="A242" t="s">
        <v>618</v>
      </c>
      <c r="D242" t="s">
        <v>60</v>
      </c>
      <c r="E242" t="s">
        <v>61</v>
      </c>
      <c r="G242">
        <v>11026.5</v>
      </c>
      <c r="I242">
        <v>739.3</v>
      </c>
      <c r="K242">
        <v>126265.4</v>
      </c>
      <c r="M242">
        <v>1085416.7</v>
      </c>
      <c r="O242">
        <v>1910.8</v>
      </c>
      <c r="Q242">
        <v>11997.8</v>
      </c>
      <c r="S242">
        <v>1452.1</v>
      </c>
      <c r="U242">
        <v>1665.8</v>
      </c>
      <c r="W242">
        <v>5117.8999999999996</v>
      </c>
      <c r="Y242">
        <v>3766.2</v>
      </c>
      <c r="AA242">
        <v>3518962</v>
      </c>
      <c r="AC242">
        <v>1393918.3</v>
      </c>
      <c r="AE242">
        <v>3574216.5</v>
      </c>
      <c r="AG242">
        <v>12147.1</v>
      </c>
      <c r="AI242">
        <v>55783</v>
      </c>
      <c r="AK242">
        <v>75925.600000000006</v>
      </c>
      <c r="AM242">
        <v>150048</v>
      </c>
      <c r="AO242">
        <v>9862.1</v>
      </c>
      <c r="AQ242">
        <v>210.4</v>
      </c>
      <c r="AS242">
        <v>988.1</v>
      </c>
      <c r="AU242">
        <v>419.8</v>
      </c>
      <c r="AW242">
        <v>254.2</v>
      </c>
      <c r="AY242">
        <v>15068.9</v>
      </c>
      <c r="BA242">
        <v>660868.19999999995</v>
      </c>
      <c r="BC242">
        <v>3363.6</v>
      </c>
      <c r="BE242">
        <v>8898.1</v>
      </c>
      <c r="BG242">
        <v>243969.9</v>
      </c>
      <c r="BI242">
        <v>204721</v>
      </c>
      <c r="BK242">
        <v>510460.8</v>
      </c>
      <c r="BM242">
        <v>237294.9</v>
      </c>
      <c r="BO242">
        <v>1524143.4</v>
      </c>
      <c r="BQ242">
        <v>123070.6</v>
      </c>
      <c r="BS242">
        <v>240861.6</v>
      </c>
      <c r="BU242">
        <v>971068.4</v>
      </c>
      <c r="BW242">
        <v>21026.799999999999</v>
      </c>
      <c r="BY242">
        <v>319719.90000000002</v>
      </c>
      <c r="CA242">
        <v>159883.9</v>
      </c>
      <c r="CC242">
        <v>489.9</v>
      </c>
      <c r="CE242">
        <v>706.7</v>
      </c>
      <c r="CG242">
        <v>138867.1</v>
      </c>
      <c r="CI242">
        <v>96548.9</v>
      </c>
      <c r="CK242">
        <v>1003302.5</v>
      </c>
      <c r="CM242">
        <v>4204.2</v>
      </c>
      <c r="CO242">
        <v>36515.300000000003</v>
      </c>
      <c r="CQ242">
        <v>52620.4</v>
      </c>
      <c r="CS242">
        <v>528630.5</v>
      </c>
      <c r="CU242">
        <v>300604.79999999999</v>
      </c>
      <c r="CW242">
        <v>138045</v>
      </c>
      <c r="CY242">
        <v>57449.5</v>
      </c>
      <c r="DA242">
        <v>724179</v>
      </c>
      <c r="DC242">
        <v>43.9</v>
      </c>
      <c r="DE242">
        <v>52954.400000000001</v>
      </c>
      <c r="DG242">
        <v>114.3</v>
      </c>
      <c r="DI242">
        <v>1721.7</v>
      </c>
      <c r="DK242">
        <v>838.1</v>
      </c>
      <c r="DM242">
        <v>86314</v>
      </c>
      <c r="DO242">
        <v>35168.800000000003</v>
      </c>
      <c r="DQ242">
        <v>16490.400000000001</v>
      </c>
    </row>
    <row r="243" spans="1:121" x14ac:dyDescent="0.2">
      <c r="D243" t="s">
        <v>62</v>
      </c>
      <c r="E243" t="s">
        <v>61</v>
      </c>
      <c r="G243">
        <v>167.3</v>
      </c>
      <c r="I243">
        <v>67.900000000000006</v>
      </c>
      <c r="K243">
        <v>1410.6</v>
      </c>
      <c r="M243">
        <v>10596.9</v>
      </c>
      <c r="O243">
        <v>47.2</v>
      </c>
      <c r="Q243">
        <v>409.8</v>
      </c>
      <c r="S243">
        <v>119.2</v>
      </c>
      <c r="U243">
        <v>100.9</v>
      </c>
      <c r="W243">
        <v>184.9</v>
      </c>
      <c r="Y243">
        <v>102.9</v>
      </c>
      <c r="AA243">
        <v>58767.6</v>
      </c>
      <c r="AC243">
        <v>11102.3</v>
      </c>
      <c r="AE243">
        <v>19806.7</v>
      </c>
      <c r="AG243">
        <v>276.89999999999998</v>
      </c>
      <c r="AI243">
        <v>124.8</v>
      </c>
      <c r="AK243">
        <v>893.6</v>
      </c>
      <c r="AM243">
        <v>1430.6</v>
      </c>
      <c r="AO243">
        <v>76.8</v>
      </c>
      <c r="AQ243">
        <v>20.8</v>
      </c>
      <c r="AS243">
        <v>30.8</v>
      </c>
      <c r="AU243">
        <v>49.1</v>
      </c>
      <c r="AW243">
        <v>18.899999999999999</v>
      </c>
      <c r="AY243">
        <v>319.39999999999998</v>
      </c>
      <c r="BA243">
        <v>3228.8</v>
      </c>
      <c r="BC243">
        <v>55.1</v>
      </c>
      <c r="BE243">
        <v>123.2</v>
      </c>
      <c r="BG243">
        <v>2307.5</v>
      </c>
      <c r="BI243">
        <v>2302.1999999999998</v>
      </c>
      <c r="BK243">
        <v>3261.9</v>
      </c>
      <c r="BM243">
        <v>2297.4</v>
      </c>
      <c r="BO243">
        <v>12089.3</v>
      </c>
      <c r="BQ243">
        <v>1111.5999999999999</v>
      </c>
      <c r="BS243">
        <v>909.3</v>
      </c>
      <c r="BU243">
        <v>5215.3</v>
      </c>
      <c r="BW243">
        <v>96.4</v>
      </c>
      <c r="BY243">
        <v>3734.6</v>
      </c>
      <c r="CA243">
        <v>2589.6</v>
      </c>
      <c r="CC243">
        <v>36.299999999999997</v>
      </c>
      <c r="CE243">
        <v>88.6</v>
      </c>
      <c r="CG243">
        <v>2068.4</v>
      </c>
      <c r="CI243">
        <v>1557.7</v>
      </c>
      <c r="CK243">
        <v>35693.199999999997</v>
      </c>
      <c r="CM243">
        <v>29</v>
      </c>
      <c r="CO243">
        <v>580.79999999999995</v>
      </c>
      <c r="CQ243">
        <v>873.7</v>
      </c>
      <c r="CS243">
        <v>6205.7</v>
      </c>
      <c r="CU243">
        <v>4024.7</v>
      </c>
      <c r="CW243">
        <v>855.5</v>
      </c>
      <c r="CY243">
        <v>757.5</v>
      </c>
      <c r="DA243">
        <v>7183.6</v>
      </c>
      <c r="DC243">
        <v>6.3</v>
      </c>
      <c r="DE243">
        <v>1426.1</v>
      </c>
      <c r="DG243">
        <v>9.1999999999999993</v>
      </c>
      <c r="DI243">
        <v>51.5</v>
      </c>
      <c r="DK243">
        <v>39.799999999999997</v>
      </c>
      <c r="DM243">
        <v>497.5</v>
      </c>
      <c r="DO243">
        <v>304.89999999999998</v>
      </c>
      <c r="DQ243">
        <v>276.5</v>
      </c>
    </row>
    <row r="244" spans="1:121" x14ac:dyDescent="0.2">
      <c r="D244" t="s">
        <v>63</v>
      </c>
      <c r="G244">
        <v>5.5489999999999998E-2</v>
      </c>
      <c r="H244" t="s">
        <v>75</v>
      </c>
      <c r="I244">
        <v>1.384E-2</v>
      </c>
      <c r="J244" t="s">
        <v>75</v>
      </c>
      <c r="K244">
        <v>0.16125</v>
      </c>
      <c r="L244" t="s">
        <v>75</v>
      </c>
      <c r="M244">
        <v>1.0969199999999999</v>
      </c>
      <c r="N244" t="s">
        <v>75</v>
      </c>
      <c r="O244">
        <v>4.5599999999999998E-3</v>
      </c>
      <c r="P244" t="s">
        <v>75</v>
      </c>
      <c r="Q244">
        <v>0.10047</v>
      </c>
      <c r="R244" t="s">
        <v>75</v>
      </c>
      <c r="S244">
        <v>6.0999999999999997E-4</v>
      </c>
      <c r="T244" t="s">
        <v>75</v>
      </c>
      <c r="U244">
        <v>1.272E-2</v>
      </c>
      <c r="V244" t="s">
        <v>75</v>
      </c>
      <c r="W244">
        <v>1.468E-2</v>
      </c>
      <c r="X244" t="s">
        <v>75</v>
      </c>
      <c r="Y244">
        <v>5.7369999999999997E-2</v>
      </c>
      <c r="Z244" t="s">
        <v>75</v>
      </c>
      <c r="AB244" t="s">
        <v>76</v>
      </c>
      <c r="AC244">
        <v>5.1284200000000002</v>
      </c>
      <c r="AD244" t="s">
        <v>75</v>
      </c>
      <c r="AE244">
        <v>13.77074</v>
      </c>
      <c r="AF244" t="s">
        <v>75</v>
      </c>
      <c r="AG244">
        <v>-6.5700000000000003E-3</v>
      </c>
      <c r="AH244" t="s">
        <v>75</v>
      </c>
      <c r="AI244">
        <v>0.36166999999999999</v>
      </c>
      <c r="AJ244" t="s">
        <v>75</v>
      </c>
      <c r="AK244">
        <v>5.1299999999999998E-2</v>
      </c>
      <c r="AL244" t="s">
        <v>75</v>
      </c>
      <c r="AM244">
        <v>0.10995000000000001</v>
      </c>
      <c r="AN244" t="s">
        <v>75</v>
      </c>
      <c r="AO244">
        <v>3.8370000000000001E-2</v>
      </c>
      <c r="AP244" t="s">
        <v>75</v>
      </c>
      <c r="AQ244">
        <v>-3.0000000000000001E-5</v>
      </c>
      <c r="AR244" t="s">
        <v>75</v>
      </c>
      <c r="AS244">
        <v>3.46E-3</v>
      </c>
      <c r="AT244" t="s">
        <v>75</v>
      </c>
      <c r="AU244">
        <v>1.6299999999999999E-3</v>
      </c>
      <c r="AV244" t="s">
        <v>75</v>
      </c>
      <c r="AW244">
        <v>-1.7000000000000001E-4</v>
      </c>
      <c r="AX244" t="s">
        <v>75</v>
      </c>
      <c r="AY244">
        <v>3.952E-2</v>
      </c>
      <c r="AZ244" t="s">
        <v>75</v>
      </c>
      <c r="BC244">
        <v>-2.0495800000000002</v>
      </c>
      <c r="BD244" t="s">
        <v>75</v>
      </c>
      <c r="BE244">
        <v>1.129E-2</v>
      </c>
      <c r="BF244" t="s">
        <v>75</v>
      </c>
      <c r="BG244">
        <v>0.68072999999999995</v>
      </c>
      <c r="BH244" t="s">
        <v>75</v>
      </c>
      <c r="BI244">
        <v>0.67801999999999996</v>
      </c>
      <c r="BJ244" t="s">
        <v>75</v>
      </c>
      <c r="BK244">
        <v>0.67610999999999999</v>
      </c>
      <c r="BL244" t="s">
        <v>75</v>
      </c>
      <c r="BM244">
        <v>0.21878</v>
      </c>
      <c r="BN244" t="s">
        <v>75</v>
      </c>
      <c r="BO244">
        <v>33.198909999999998</v>
      </c>
      <c r="BP244" t="s">
        <v>75</v>
      </c>
      <c r="BQ244">
        <v>3.9038499999999998</v>
      </c>
      <c r="BR244" t="s">
        <v>75</v>
      </c>
      <c r="BS244">
        <v>5.1433900000000001</v>
      </c>
      <c r="BT244" t="s">
        <v>75</v>
      </c>
      <c r="BU244">
        <v>21.216290000000001</v>
      </c>
      <c r="BV244" t="s">
        <v>75</v>
      </c>
      <c r="BW244">
        <v>9.0122999999999998</v>
      </c>
      <c r="BX244" t="s">
        <v>75</v>
      </c>
      <c r="BY244">
        <v>85.094610000000003</v>
      </c>
      <c r="BZ244" t="s">
        <v>75</v>
      </c>
      <c r="CA244">
        <v>85.321240000000003</v>
      </c>
      <c r="CB244" t="s">
        <v>75</v>
      </c>
      <c r="CC244">
        <v>9.418E-2</v>
      </c>
      <c r="CD244" t="s">
        <v>75</v>
      </c>
      <c r="CE244">
        <v>9.2999999999999992E-3</v>
      </c>
      <c r="CF244" t="s">
        <v>75</v>
      </c>
      <c r="CG244">
        <v>2.4396800000000001</v>
      </c>
      <c r="CH244" t="s">
        <v>75</v>
      </c>
      <c r="CI244">
        <v>1.2789600000000001</v>
      </c>
      <c r="CJ244" t="s">
        <v>75</v>
      </c>
      <c r="CK244">
        <v>14.419980000000001</v>
      </c>
      <c r="CL244" t="s">
        <v>75</v>
      </c>
      <c r="CM244">
        <v>5.4989999999999997E-2</v>
      </c>
      <c r="CN244" t="s">
        <v>75</v>
      </c>
      <c r="CO244">
        <v>2.15388</v>
      </c>
      <c r="CP244" t="s">
        <v>75</v>
      </c>
      <c r="CQ244">
        <v>1.6249899999999999</v>
      </c>
      <c r="CR244" t="s">
        <v>75</v>
      </c>
      <c r="CS244">
        <v>143.45403999999999</v>
      </c>
      <c r="CT244" t="s">
        <v>75</v>
      </c>
      <c r="CV244" t="s">
        <v>76</v>
      </c>
      <c r="CW244">
        <v>5.2932300000000003</v>
      </c>
      <c r="CX244" t="s">
        <v>75</v>
      </c>
      <c r="DA244">
        <v>42.465629999999997</v>
      </c>
      <c r="DB244" t="s">
        <v>75</v>
      </c>
      <c r="DC244">
        <v>1.8020000000000001E-2</v>
      </c>
      <c r="DD244" t="s">
        <v>75</v>
      </c>
      <c r="DE244">
        <v>23.675249999999998</v>
      </c>
      <c r="DF244" t="s">
        <v>75</v>
      </c>
      <c r="DG244">
        <v>0.53288000000000002</v>
      </c>
      <c r="DH244" t="s">
        <v>75</v>
      </c>
      <c r="DI244">
        <v>2.5457100000000001</v>
      </c>
      <c r="DJ244" t="s">
        <v>75</v>
      </c>
      <c r="DL244" t="s">
        <v>76</v>
      </c>
      <c r="DN244" t="s">
        <v>76</v>
      </c>
      <c r="DO244">
        <v>5.1370500000000003</v>
      </c>
      <c r="DP244" t="s">
        <v>75</v>
      </c>
    </row>
    <row r="245" spans="1:121" x14ac:dyDescent="0.2">
      <c r="D245" t="s">
        <v>64</v>
      </c>
      <c r="G245">
        <v>1.8E-3</v>
      </c>
      <c r="H245" t="s">
        <v>75</v>
      </c>
      <c r="I245">
        <v>2.31E-3</v>
      </c>
      <c r="J245" t="s">
        <v>75</v>
      </c>
      <c r="K245">
        <v>1.41E-3</v>
      </c>
      <c r="L245" t="s">
        <v>75</v>
      </c>
      <c r="M245">
        <v>6.6100000000000004E-3</v>
      </c>
      <c r="N245" t="s">
        <v>75</v>
      </c>
      <c r="O245">
        <v>3.0000000000000001E-5</v>
      </c>
      <c r="P245" t="s">
        <v>75</v>
      </c>
      <c r="Q245">
        <v>2.9399999999999999E-3</v>
      </c>
      <c r="R245" t="s">
        <v>75</v>
      </c>
      <c r="S245">
        <v>1.1E-4</v>
      </c>
      <c r="T245" t="s">
        <v>75</v>
      </c>
      <c r="U245">
        <v>4.4000000000000002E-4</v>
      </c>
      <c r="V245" t="s">
        <v>75</v>
      </c>
      <c r="W245">
        <v>3.6000000000000002E-4</v>
      </c>
      <c r="X245" t="s">
        <v>75</v>
      </c>
      <c r="Y245">
        <v>1.81E-3</v>
      </c>
      <c r="Z245" t="s">
        <v>75</v>
      </c>
      <c r="AC245">
        <v>5.2179999999999997E-2</v>
      </c>
      <c r="AD245" t="s">
        <v>75</v>
      </c>
      <c r="AE245">
        <v>1.549E-2</v>
      </c>
      <c r="AF245" t="s">
        <v>75</v>
      </c>
      <c r="AG245">
        <v>2.5999999999999998E-4</v>
      </c>
      <c r="AH245" t="s">
        <v>75</v>
      </c>
      <c r="AI245">
        <v>1.81E-3</v>
      </c>
      <c r="AJ245" t="s">
        <v>75</v>
      </c>
      <c r="AK245">
        <v>8.8999999999999995E-4</v>
      </c>
      <c r="AL245" t="s">
        <v>75</v>
      </c>
      <c r="AM245">
        <v>1.23E-3</v>
      </c>
      <c r="AN245" t="s">
        <v>75</v>
      </c>
      <c r="AO245">
        <v>4.0999999999999999E-4</v>
      </c>
      <c r="AP245" t="s">
        <v>75</v>
      </c>
      <c r="AQ245">
        <v>9.0000000000000006E-5</v>
      </c>
      <c r="AR245" t="s">
        <v>75</v>
      </c>
      <c r="AS245">
        <v>1.6000000000000001E-4</v>
      </c>
      <c r="AT245" t="s">
        <v>75</v>
      </c>
      <c r="AU245">
        <v>3.0000000000000001E-5</v>
      </c>
      <c r="AV245" t="s">
        <v>75</v>
      </c>
      <c r="AW245">
        <v>5.0000000000000002E-5</v>
      </c>
      <c r="AX245" t="s">
        <v>75</v>
      </c>
      <c r="AY245">
        <v>9.3999999999999997E-4</v>
      </c>
      <c r="AZ245" t="s">
        <v>75</v>
      </c>
      <c r="BC245">
        <v>1.8000000000000001E-4</v>
      </c>
      <c r="BD245" t="s">
        <v>75</v>
      </c>
      <c r="BE245">
        <v>9.0000000000000006E-5</v>
      </c>
      <c r="BF245" t="s">
        <v>75</v>
      </c>
      <c r="BG245">
        <v>6.8599999999999998E-3</v>
      </c>
      <c r="BH245" t="s">
        <v>75</v>
      </c>
      <c r="BI245">
        <v>1.073E-2</v>
      </c>
      <c r="BJ245" t="s">
        <v>75</v>
      </c>
      <c r="BK245">
        <v>7.0499999999999998E-3</v>
      </c>
      <c r="BL245" t="s">
        <v>75</v>
      </c>
      <c r="BM245">
        <v>2.6199999999999999E-3</v>
      </c>
      <c r="BN245" t="s">
        <v>75</v>
      </c>
      <c r="BO245">
        <v>0.72316999999999998</v>
      </c>
      <c r="BP245" t="s">
        <v>75</v>
      </c>
      <c r="BQ245">
        <v>9.3659999999999993E-2</v>
      </c>
      <c r="BR245" t="s">
        <v>75</v>
      </c>
      <c r="BS245">
        <v>6.071E-2</v>
      </c>
      <c r="BT245" t="s">
        <v>75</v>
      </c>
      <c r="BU245">
        <v>0.69021999999999994</v>
      </c>
      <c r="BV245" t="s">
        <v>75</v>
      </c>
      <c r="BW245">
        <v>9.9809999999999996E-2</v>
      </c>
      <c r="BX245" t="s">
        <v>75</v>
      </c>
      <c r="BY245">
        <v>1.4534199999999999</v>
      </c>
      <c r="BZ245" t="s">
        <v>75</v>
      </c>
      <c r="CA245">
        <v>2.4842900000000001</v>
      </c>
      <c r="CB245" t="s">
        <v>75</v>
      </c>
      <c r="CC245">
        <v>6.6299999999999996E-3</v>
      </c>
      <c r="CD245" t="s">
        <v>75</v>
      </c>
      <c r="CE245">
        <v>1.48E-3</v>
      </c>
      <c r="CF245" t="s">
        <v>75</v>
      </c>
      <c r="CG245">
        <v>6.8540000000000004E-2</v>
      </c>
      <c r="CH245" t="s">
        <v>75</v>
      </c>
      <c r="CI245">
        <v>3.8010000000000002E-2</v>
      </c>
      <c r="CJ245" t="s">
        <v>75</v>
      </c>
      <c r="CK245">
        <v>0.71275999999999995</v>
      </c>
      <c r="CL245" t="s">
        <v>75</v>
      </c>
      <c r="CM245">
        <v>1.06E-3</v>
      </c>
      <c r="CN245" t="s">
        <v>75</v>
      </c>
      <c r="CO245">
        <v>6.1620000000000001E-2</v>
      </c>
      <c r="CP245" t="s">
        <v>75</v>
      </c>
      <c r="CQ245">
        <v>4.793E-2</v>
      </c>
      <c r="CR245" t="s">
        <v>75</v>
      </c>
      <c r="CS245">
        <v>3.5319699999999998</v>
      </c>
      <c r="CT245" t="s">
        <v>75</v>
      </c>
      <c r="CW245">
        <v>4.3139999999999998E-2</v>
      </c>
      <c r="CX245" t="s">
        <v>75</v>
      </c>
      <c r="DA245">
        <v>1.09744</v>
      </c>
      <c r="DB245" t="s">
        <v>75</v>
      </c>
      <c r="DC245">
        <v>2.8900000000000002E-3</v>
      </c>
      <c r="DD245" t="s">
        <v>75</v>
      </c>
      <c r="DE245">
        <v>0.50056999999999996</v>
      </c>
      <c r="DF245" t="s">
        <v>75</v>
      </c>
      <c r="DG245">
        <v>5.0310000000000001E-2</v>
      </c>
      <c r="DH245" t="s">
        <v>75</v>
      </c>
      <c r="DI245">
        <v>9.01E-2</v>
      </c>
      <c r="DJ245" t="s">
        <v>75</v>
      </c>
      <c r="DO245">
        <v>0.12828000000000001</v>
      </c>
      <c r="DP245" t="s">
        <v>75</v>
      </c>
    </row>
    <row r="246" spans="1:121" x14ac:dyDescent="0.2">
      <c r="D246" t="s">
        <v>65</v>
      </c>
      <c r="G246" t="s">
        <v>66</v>
      </c>
      <c r="I246" t="s">
        <v>66</v>
      </c>
      <c r="K246" t="s">
        <v>66</v>
      </c>
      <c r="M246" t="s">
        <v>66</v>
      </c>
      <c r="O246" t="s">
        <v>66</v>
      </c>
      <c r="Q246" t="s">
        <v>66</v>
      </c>
      <c r="S246" t="s">
        <v>66</v>
      </c>
      <c r="U246" t="s">
        <v>66</v>
      </c>
      <c r="W246" t="s">
        <v>66</v>
      </c>
      <c r="Y246" t="s">
        <v>66</v>
      </c>
      <c r="AA246" t="s">
        <v>66</v>
      </c>
      <c r="AC246" t="s">
        <v>66</v>
      </c>
      <c r="AE246" t="s">
        <v>66</v>
      </c>
      <c r="AG246" t="s">
        <v>66</v>
      </c>
      <c r="AI246" t="s">
        <v>66</v>
      </c>
      <c r="AK246" t="s">
        <v>66</v>
      </c>
      <c r="AM246" t="s">
        <v>66</v>
      </c>
      <c r="AO246" t="s">
        <v>66</v>
      </c>
      <c r="AQ246" t="s">
        <v>66</v>
      </c>
      <c r="AS246" t="s">
        <v>66</v>
      </c>
      <c r="AU246" t="s">
        <v>66</v>
      </c>
      <c r="AW246" t="s">
        <v>66</v>
      </c>
      <c r="AY246" t="s">
        <v>66</v>
      </c>
      <c r="BA246" t="s">
        <v>66</v>
      </c>
      <c r="BC246" t="s">
        <v>66</v>
      </c>
      <c r="BE246" t="s">
        <v>66</v>
      </c>
      <c r="BG246" t="s">
        <v>66</v>
      </c>
      <c r="BI246" t="s">
        <v>66</v>
      </c>
      <c r="BK246" t="s">
        <v>66</v>
      </c>
      <c r="BM246" t="s">
        <v>66</v>
      </c>
      <c r="BO246" t="s">
        <v>66</v>
      </c>
      <c r="BQ246" t="s">
        <v>66</v>
      </c>
      <c r="BS246" t="s">
        <v>66</v>
      </c>
      <c r="BU246" t="s">
        <v>66</v>
      </c>
      <c r="BW246" t="s">
        <v>66</v>
      </c>
      <c r="BY246" t="s">
        <v>66</v>
      </c>
      <c r="CA246" t="s">
        <v>66</v>
      </c>
      <c r="CC246" t="s">
        <v>66</v>
      </c>
      <c r="CE246" t="s">
        <v>66</v>
      </c>
      <c r="CG246" t="s">
        <v>66</v>
      </c>
      <c r="CI246" t="s">
        <v>66</v>
      </c>
      <c r="CK246" t="s">
        <v>66</v>
      </c>
      <c r="CM246" t="s">
        <v>66</v>
      </c>
      <c r="CO246" t="s">
        <v>66</v>
      </c>
      <c r="CQ246" t="s">
        <v>66</v>
      </c>
      <c r="CS246" t="s">
        <v>66</v>
      </c>
      <c r="CU246" t="s">
        <v>66</v>
      </c>
      <c r="CW246" t="s">
        <v>66</v>
      </c>
      <c r="CY246" t="s">
        <v>66</v>
      </c>
      <c r="DA246" t="s">
        <v>66</v>
      </c>
      <c r="DC246" t="s">
        <v>66</v>
      </c>
      <c r="DE246" t="s">
        <v>66</v>
      </c>
      <c r="DG246" t="s">
        <v>66</v>
      </c>
      <c r="DI246" t="s">
        <v>66</v>
      </c>
      <c r="DK246" t="s">
        <v>66</v>
      </c>
      <c r="DM246" t="s">
        <v>66</v>
      </c>
      <c r="DO246" t="s">
        <v>66</v>
      </c>
      <c r="DQ246" t="s">
        <v>66</v>
      </c>
    </row>
    <row r="247" spans="1:121" x14ac:dyDescent="0.2">
      <c r="A247" t="s">
        <v>619</v>
      </c>
      <c r="D247" t="s">
        <v>60</v>
      </c>
      <c r="E247" t="s">
        <v>61</v>
      </c>
      <c r="G247">
        <v>12789.8</v>
      </c>
      <c r="I247">
        <v>754.5</v>
      </c>
      <c r="K247">
        <v>282135.8</v>
      </c>
      <c r="M247">
        <v>109673</v>
      </c>
      <c r="O247">
        <v>1713.8</v>
      </c>
      <c r="Q247">
        <v>9528.2000000000007</v>
      </c>
      <c r="S247">
        <v>1567.8</v>
      </c>
      <c r="U247">
        <v>1584.5</v>
      </c>
      <c r="W247">
        <v>12386</v>
      </c>
      <c r="Y247">
        <v>7041.3</v>
      </c>
      <c r="AA247">
        <v>3667805.9</v>
      </c>
      <c r="AC247">
        <v>3981885.5</v>
      </c>
      <c r="AE247">
        <v>7599188.5</v>
      </c>
      <c r="AG247">
        <v>22643.7</v>
      </c>
      <c r="AI247">
        <v>77328.3</v>
      </c>
      <c r="AK247">
        <v>7469</v>
      </c>
      <c r="AM247">
        <v>6398.8</v>
      </c>
      <c r="AO247">
        <v>685.6</v>
      </c>
      <c r="AQ247">
        <v>188.5</v>
      </c>
      <c r="AS247">
        <v>392.8</v>
      </c>
      <c r="AU247">
        <v>279.2</v>
      </c>
      <c r="AW247">
        <v>195.8</v>
      </c>
      <c r="AY247">
        <v>2747.3</v>
      </c>
      <c r="BA247">
        <v>663707.80000000005</v>
      </c>
      <c r="BC247">
        <v>3428.3</v>
      </c>
      <c r="BE247">
        <v>15458.1</v>
      </c>
      <c r="BG247">
        <v>480368.7</v>
      </c>
      <c r="BI247">
        <v>405633.9</v>
      </c>
      <c r="BK247">
        <v>1028939.3</v>
      </c>
      <c r="BM247">
        <v>295784</v>
      </c>
      <c r="BO247">
        <v>4443777.0999999996</v>
      </c>
      <c r="BQ247">
        <v>103472.4</v>
      </c>
      <c r="BS247">
        <v>239527.8</v>
      </c>
      <c r="BU247">
        <v>1211027.6000000001</v>
      </c>
      <c r="BW247">
        <v>196684.7</v>
      </c>
      <c r="BY247">
        <v>275296.7</v>
      </c>
      <c r="CA247">
        <v>63249.599999999999</v>
      </c>
      <c r="CC247">
        <v>791.1</v>
      </c>
      <c r="CE247">
        <v>490</v>
      </c>
      <c r="CG247">
        <v>69032.600000000006</v>
      </c>
      <c r="CI247">
        <v>71631.199999999997</v>
      </c>
      <c r="CK247">
        <v>594918.19999999995</v>
      </c>
      <c r="CM247">
        <v>4326.5</v>
      </c>
      <c r="CO247">
        <v>31041.5</v>
      </c>
      <c r="CQ247">
        <v>77828.7</v>
      </c>
      <c r="CS247">
        <v>1023423.1</v>
      </c>
      <c r="CU247">
        <v>349315.3</v>
      </c>
      <c r="CW247">
        <v>427497.7</v>
      </c>
      <c r="CY247">
        <v>58982.6</v>
      </c>
      <c r="DA247">
        <v>2062539.3</v>
      </c>
      <c r="DC247">
        <v>60</v>
      </c>
      <c r="DE247">
        <v>153923.20000000001</v>
      </c>
      <c r="DG247">
        <v>175.8</v>
      </c>
      <c r="DI247">
        <v>2107.6</v>
      </c>
      <c r="DK247">
        <v>872</v>
      </c>
      <c r="DM247">
        <v>102246.9</v>
      </c>
      <c r="DO247">
        <v>111208.4</v>
      </c>
      <c r="DQ247">
        <v>16155.4</v>
      </c>
    </row>
    <row r="248" spans="1:121" x14ac:dyDescent="0.2">
      <c r="D248" t="s">
        <v>62</v>
      </c>
      <c r="E248" t="s">
        <v>61</v>
      </c>
      <c r="G248">
        <v>353.9</v>
      </c>
      <c r="I248">
        <v>129.4</v>
      </c>
      <c r="K248">
        <v>2460</v>
      </c>
      <c r="M248">
        <v>947.8</v>
      </c>
      <c r="O248">
        <v>104.5</v>
      </c>
      <c r="Q248">
        <v>141.9</v>
      </c>
      <c r="S248">
        <v>60.8</v>
      </c>
      <c r="U248">
        <v>153.6</v>
      </c>
      <c r="W248">
        <v>199.6</v>
      </c>
      <c r="Y248">
        <v>296.5</v>
      </c>
      <c r="AA248">
        <v>35128.5</v>
      </c>
      <c r="AC248">
        <v>36096.1</v>
      </c>
      <c r="AE248">
        <v>38597.4</v>
      </c>
      <c r="AG248">
        <v>283.2</v>
      </c>
      <c r="AI248">
        <v>1004.8</v>
      </c>
      <c r="AK248">
        <v>176.6</v>
      </c>
      <c r="AM248">
        <v>222.2</v>
      </c>
      <c r="AO248">
        <v>36.5</v>
      </c>
      <c r="AQ248">
        <v>63.3</v>
      </c>
      <c r="AS248">
        <v>9.5</v>
      </c>
      <c r="AU248">
        <v>69.599999999999994</v>
      </c>
      <c r="AW248">
        <v>36.1</v>
      </c>
      <c r="AY248">
        <v>84.7</v>
      </c>
      <c r="BA248">
        <v>5846.1</v>
      </c>
      <c r="BC248">
        <v>187.4</v>
      </c>
      <c r="BE248">
        <v>261.5</v>
      </c>
      <c r="BG248">
        <v>5436.7</v>
      </c>
      <c r="BI248">
        <v>3377.2</v>
      </c>
      <c r="BK248">
        <v>18207.7</v>
      </c>
      <c r="BM248">
        <v>1893.5</v>
      </c>
      <c r="BO248">
        <v>62508.1</v>
      </c>
      <c r="BQ248">
        <v>2123.1</v>
      </c>
      <c r="BS248">
        <v>9370.7000000000007</v>
      </c>
      <c r="BU248">
        <v>9364.7999999999993</v>
      </c>
      <c r="BW248">
        <v>3628.9</v>
      </c>
      <c r="BY248">
        <v>5368.6</v>
      </c>
      <c r="CA248">
        <v>1816.5</v>
      </c>
      <c r="CC248">
        <v>7</v>
      </c>
      <c r="CE248">
        <v>75.099999999999994</v>
      </c>
      <c r="CG248">
        <v>898.3</v>
      </c>
      <c r="CI248">
        <v>359.9</v>
      </c>
      <c r="CK248">
        <v>5174.3999999999996</v>
      </c>
      <c r="CM248">
        <v>204.9</v>
      </c>
      <c r="CO248">
        <v>439.2</v>
      </c>
      <c r="CQ248">
        <v>436.1</v>
      </c>
      <c r="CS248">
        <v>4839.8999999999996</v>
      </c>
      <c r="CU248">
        <v>452.9</v>
      </c>
      <c r="CW248">
        <v>2553.8000000000002</v>
      </c>
      <c r="CY248">
        <v>941.9</v>
      </c>
      <c r="DA248">
        <v>8905.2999999999993</v>
      </c>
      <c r="DC248">
        <v>10.4</v>
      </c>
      <c r="DE248">
        <v>784</v>
      </c>
      <c r="DG248">
        <v>16.600000000000001</v>
      </c>
      <c r="DI248">
        <v>125.1</v>
      </c>
      <c r="DK248">
        <v>38.1</v>
      </c>
      <c r="DM248">
        <v>1831.6</v>
      </c>
      <c r="DO248">
        <v>1974.3</v>
      </c>
      <c r="DQ248">
        <v>217</v>
      </c>
    </row>
    <row r="249" spans="1:121" x14ac:dyDescent="0.2">
      <c r="D249" t="s">
        <v>63</v>
      </c>
      <c r="G249">
        <v>6.9419999999999996E-2</v>
      </c>
      <c r="H249" t="s">
        <v>75</v>
      </c>
      <c r="I249">
        <v>1.427E-2</v>
      </c>
      <c r="J249" t="s">
        <v>75</v>
      </c>
      <c r="K249">
        <v>0.36307</v>
      </c>
      <c r="L249" t="s">
        <v>75</v>
      </c>
      <c r="M249">
        <v>7.9600000000000004E-2</v>
      </c>
      <c r="N249" t="s">
        <v>75</v>
      </c>
      <c r="O249">
        <v>4.3899999999999998E-3</v>
      </c>
      <c r="P249" t="s">
        <v>75</v>
      </c>
      <c r="Q249">
        <v>8.3839999999999998E-2</v>
      </c>
      <c r="R249" t="s">
        <v>75</v>
      </c>
      <c r="S249">
        <v>7.1000000000000002E-4</v>
      </c>
      <c r="T249" t="s">
        <v>75</v>
      </c>
      <c r="U249">
        <v>1.235E-2</v>
      </c>
      <c r="V249" t="s">
        <v>75</v>
      </c>
      <c r="W249">
        <v>3.0380000000000001E-2</v>
      </c>
      <c r="X249" t="s">
        <v>75</v>
      </c>
      <c r="Y249">
        <v>0.10680000000000001</v>
      </c>
      <c r="Z249" t="s">
        <v>75</v>
      </c>
      <c r="AB249" t="s">
        <v>76</v>
      </c>
      <c r="AC249">
        <v>14.51084</v>
      </c>
      <c r="AD249" t="s">
        <v>75</v>
      </c>
      <c r="AE249">
        <v>29.109950000000001</v>
      </c>
      <c r="AF249" t="s">
        <v>75</v>
      </c>
      <c r="AG249">
        <v>1.8E-3</v>
      </c>
      <c r="AH249" t="s">
        <v>75</v>
      </c>
      <c r="AI249">
        <v>0.49928</v>
      </c>
      <c r="AJ249" t="s">
        <v>75</v>
      </c>
      <c r="AK249">
        <v>3.0899999999999999E-3</v>
      </c>
      <c r="AL249" t="s">
        <v>75</v>
      </c>
      <c r="AM249">
        <v>-7.7999999999999999E-4</v>
      </c>
      <c r="AN249" t="s">
        <v>75</v>
      </c>
      <c r="AO249">
        <v>3.98E-3</v>
      </c>
      <c r="AP249" t="s">
        <v>75</v>
      </c>
      <c r="AQ249">
        <v>-1.2999999999999999E-4</v>
      </c>
      <c r="AR249" t="s">
        <v>75</v>
      </c>
      <c r="AS249">
        <v>7.5000000000000002E-4</v>
      </c>
      <c r="AT249" t="s">
        <v>75</v>
      </c>
      <c r="AU249">
        <v>1.5399999999999999E-3</v>
      </c>
      <c r="AV249" t="s">
        <v>75</v>
      </c>
      <c r="AW249">
        <v>-3.2000000000000003E-4</v>
      </c>
      <c r="AX249" t="s">
        <v>75</v>
      </c>
      <c r="AY249">
        <v>-1.31E-3</v>
      </c>
      <c r="AZ249" t="s">
        <v>75</v>
      </c>
      <c r="BC249">
        <v>-2.0494300000000001</v>
      </c>
      <c r="BD249" t="s">
        <v>75</v>
      </c>
      <c r="BE249">
        <v>1.7649999999999999E-2</v>
      </c>
      <c r="BF249" t="s">
        <v>75</v>
      </c>
      <c r="BG249">
        <v>1.37191</v>
      </c>
      <c r="BH249" t="s">
        <v>75</v>
      </c>
      <c r="BI249">
        <v>1.35337</v>
      </c>
      <c r="BJ249" t="s">
        <v>75</v>
      </c>
      <c r="BK249">
        <v>1.3915999999999999</v>
      </c>
      <c r="BL249" t="s">
        <v>75</v>
      </c>
      <c r="BM249">
        <v>0.27395999999999998</v>
      </c>
      <c r="BN249" t="s">
        <v>75</v>
      </c>
      <c r="BO249">
        <v>97.472899999999996</v>
      </c>
      <c r="BP249" t="s">
        <v>75</v>
      </c>
      <c r="BQ249">
        <v>3.1212900000000001</v>
      </c>
      <c r="BR249" t="s">
        <v>75</v>
      </c>
      <c r="BS249">
        <v>4.9698200000000003</v>
      </c>
      <c r="BT249" t="s">
        <v>75</v>
      </c>
      <c r="BU249">
        <v>30.169730000000001</v>
      </c>
      <c r="BV249" t="s">
        <v>75</v>
      </c>
      <c r="BW249">
        <v>84.170919999999995</v>
      </c>
      <c r="BX249" t="s">
        <v>75</v>
      </c>
      <c r="BY249">
        <v>70.07038</v>
      </c>
      <c r="BZ249" t="s">
        <v>75</v>
      </c>
      <c r="CA249">
        <v>30.652159999999999</v>
      </c>
      <c r="CB249" t="s">
        <v>75</v>
      </c>
      <c r="CC249">
        <v>0.15642</v>
      </c>
      <c r="CD249" t="s">
        <v>75</v>
      </c>
      <c r="CE249">
        <v>5.7200000000000003E-3</v>
      </c>
      <c r="CF249" t="s">
        <v>75</v>
      </c>
      <c r="CG249">
        <v>1.1721200000000001</v>
      </c>
      <c r="CH249" t="s">
        <v>75</v>
      </c>
      <c r="CI249">
        <v>0.91612000000000005</v>
      </c>
      <c r="CJ249" t="s">
        <v>75</v>
      </c>
      <c r="CK249">
        <v>8.1875199999999992</v>
      </c>
      <c r="CL249" t="s">
        <v>75</v>
      </c>
      <c r="CM249">
        <v>5.5129999999999998E-2</v>
      </c>
      <c r="CN249" t="s">
        <v>75</v>
      </c>
      <c r="CO249">
        <v>1.7852300000000001</v>
      </c>
      <c r="CP249" t="s">
        <v>75</v>
      </c>
      <c r="CQ249">
        <v>2.3530000000000002</v>
      </c>
      <c r="CR249" t="s">
        <v>75</v>
      </c>
      <c r="CS249">
        <v>270.59532999999999</v>
      </c>
      <c r="CT249" t="s">
        <v>75</v>
      </c>
      <c r="CV249" t="s">
        <v>76</v>
      </c>
      <c r="CW249">
        <v>16.020150000000001</v>
      </c>
      <c r="CX249" t="s">
        <v>75</v>
      </c>
      <c r="DA249">
        <v>123.86783</v>
      </c>
      <c r="DB249" t="s">
        <v>75</v>
      </c>
      <c r="DC249">
        <v>2.5600000000000001E-2</v>
      </c>
      <c r="DD249" t="s">
        <v>75</v>
      </c>
      <c r="DE249">
        <v>70.290559999999999</v>
      </c>
      <c r="DF249" t="s">
        <v>75</v>
      </c>
      <c r="DG249">
        <v>0.87158999999999998</v>
      </c>
      <c r="DH249" t="s">
        <v>75</v>
      </c>
      <c r="DI249">
        <v>3.29189</v>
      </c>
      <c r="DJ249" t="s">
        <v>75</v>
      </c>
      <c r="DL249" t="s">
        <v>76</v>
      </c>
      <c r="DN249" t="s">
        <v>76</v>
      </c>
      <c r="DO249">
        <v>16.596990000000002</v>
      </c>
      <c r="DP249" t="s">
        <v>75</v>
      </c>
    </row>
    <row r="250" spans="1:121" x14ac:dyDescent="0.2">
      <c r="D250" t="s">
        <v>64</v>
      </c>
      <c r="G250">
        <v>3.3899999999999998E-3</v>
      </c>
      <c r="H250" t="s">
        <v>75</v>
      </c>
      <c r="I250">
        <v>4.5300000000000002E-3</v>
      </c>
      <c r="J250" t="s">
        <v>75</v>
      </c>
      <c r="K250">
        <v>6.4099999999999999E-3</v>
      </c>
      <c r="L250" t="s">
        <v>75</v>
      </c>
      <c r="M250">
        <v>1.9E-3</v>
      </c>
      <c r="N250" t="s">
        <v>75</v>
      </c>
      <c r="O250">
        <v>9.0000000000000006E-5</v>
      </c>
      <c r="P250" t="s">
        <v>75</v>
      </c>
      <c r="Q250">
        <v>1.17E-3</v>
      </c>
      <c r="R250" t="s">
        <v>75</v>
      </c>
      <c r="S250">
        <v>6.9999999999999994E-5</v>
      </c>
      <c r="T250" t="s">
        <v>75</v>
      </c>
      <c r="U250">
        <v>7.1000000000000002E-4</v>
      </c>
      <c r="V250" t="s">
        <v>75</v>
      </c>
      <c r="W250">
        <v>6.4000000000000005E-4</v>
      </c>
      <c r="X250" t="s">
        <v>75</v>
      </c>
      <c r="Y250">
        <v>4.8399999999999997E-3</v>
      </c>
      <c r="Z250" t="s">
        <v>75</v>
      </c>
      <c r="AC250">
        <v>0.19481000000000001</v>
      </c>
      <c r="AD250" t="s">
        <v>75</v>
      </c>
      <c r="AE250">
        <v>0.16968</v>
      </c>
      <c r="AF250" t="s">
        <v>75</v>
      </c>
      <c r="AG250">
        <v>3.4000000000000002E-4</v>
      </c>
      <c r="AH250" t="s">
        <v>75</v>
      </c>
      <c r="AI250">
        <v>1.091E-2</v>
      </c>
      <c r="AJ250" t="s">
        <v>75</v>
      </c>
      <c r="AK250">
        <v>1.7000000000000001E-4</v>
      </c>
      <c r="AL250" t="s">
        <v>75</v>
      </c>
      <c r="AM250">
        <v>1.3999999999999999E-4</v>
      </c>
      <c r="AN250" t="s">
        <v>75</v>
      </c>
      <c r="AO250">
        <v>1.1E-4</v>
      </c>
      <c r="AP250" t="s">
        <v>75</v>
      </c>
      <c r="AQ250">
        <v>2.7E-4</v>
      </c>
      <c r="AR250" t="s">
        <v>75</v>
      </c>
      <c r="AS250">
        <v>5.0000000000000002E-5</v>
      </c>
      <c r="AT250" t="s">
        <v>75</v>
      </c>
      <c r="AU250">
        <v>5.0000000000000002E-5</v>
      </c>
      <c r="AV250" t="s">
        <v>75</v>
      </c>
      <c r="AW250">
        <v>9.0000000000000006E-5</v>
      </c>
      <c r="AX250" t="s">
        <v>75</v>
      </c>
      <c r="AY250">
        <v>2.2000000000000001E-4</v>
      </c>
      <c r="AZ250" t="s">
        <v>75</v>
      </c>
      <c r="BC250">
        <v>6.7000000000000002E-4</v>
      </c>
      <c r="BD250" t="s">
        <v>75</v>
      </c>
      <c r="BE250">
        <v>3.3E-4</v>
      </c>
      <c r="BF250" t="s">
        <v>75</v>
      </c>
      <c r="BG250">
        <v>1.813E-2</v>
      </c>
      <c r="BH250" t="s">
        <v>75</v>
      </c>
      <c r="BI250">
        <v>1.49E-2</v>
      </c>
      <c r="BJ250" t="s">
        <v>75</v>
      </c>
      <c r="BK250">
        <v>2.6530000000000001E-2</v>
      </c>
      <c r="BL250" t="s">
        <v>75</v>
      </c>
      <c r="BM250">
        <v>3.3500000000000001E-3</v>
      </c>
      <c r="BN250" t="s">
        <v>75</v>
      </c>
      <c r="BO250">
        <v>2.81873</v>
      </c>
      <c r="BP250" t="s">
        <v>75</v>
      </c>
      <c r="BQ250">
        <v>0.11525000000000001</v>
      </c>
      <c r="BR250" t="s">
        <v>75</v>
      </c>
      <c r="BS250">
        <v>0.28664000000000001</v>
      </c>
      <c r="BT250" t="s">
        <v>75</v>
      </c>
      <c r="BU250">
        <v>1.0291699999999999</v>
      </c>
      <c r="BV250" t="s">
        <v>75</v>
      </c>
      <c r="BW250">
        <v>2.74248</v>
      </c>
      <c r="BX250" t="s">
        <v>75</v>
      </c>
      <c r="BY250">
        <v>2.44754</v>
      </c>
      <c r="BZ250" t="s">
        <v>75</v>
      </c>
      <c r="CA250">
        <v>0.88912999999999998</v>
      </c>
      <c r="CB250" t="s">
        <v>75</v>
      </c>
      <c r="CC250">
        <v>4.2199999999999998E-3</v>
      </c>
      <c r="CD250" t="s">
        <v>75</v>
      </c>
      <c r="CE250">
        <v>1.01E-3</v>
      </c>
      <c r="CF250" t="s">
        <v>75</v>
      </c>
      <c r="CG250">
        <v>1.487E-2</v>
      </c>
      <c r="CH250" t="s">
        <v>75</v>
      </c>
      <c r="CI250">
        <v>1.042E-2</v>
      </c>
      <c r="CJ250" t="s">
        <v>75</v>
      </c>
      <c r="CK250">
        <v>0.20565</v>
      </c>
      <c r="CL250" t="s">
        <v>75</v>
      </c>
      <c r="CM250">
        <v>3.0699999999999998E-3</v>
      </c>
      <c r="CN250" t="s">
        <v>75</v>
      </c>
      <c r="CO250">
        <v>4.965E-2</v>
      </c>
      <c r="CP250" t="s">
        <v>75</v>
      </c>
      <c r="CQ250">
        <v>5.1290000000000002E-2</v>
      </c>
      <c r="CR250" t="s">
        <v>75</v>
      </c>
      <c r="CS250">
        <v>5.5729699999999998</v>
      </c>
      <c r="CT250" t="s">
        <v>75</v>
      </c>
      <c r="CW250">
        <v>0.32561000000000001</v>
      </c>
      <c r="CX250" t="s">
        <v>75</v>
      </c>
      <c r="DA250">
        <v>1.7282500000000001</v>
      </c>
      <c r="DB250" t="s">
        <v>75</v>
      </c>
      <c r="DC250">
        <v>4.9399999999999999E-3</v>
      </c>
      <c r="DD250" t="s">
        <v>75</v>
      </c>
      <c r="DE250">
        <v>1.23505</v>
      </c>
      <c r="DF250" t="s">
        <v>75</v>
      </c>
      <c r="DG250">
        <v>8.7139999999999995E-2</v>
      </c>
      <c r="DH250" t="s">
        <v>75</v>
      </c>
      <c r="DI250">
        <v>0.2354</v>
      </c>
      <c r="DJ250" t="s">
        <v>75</v>
      </c>
      <c r="DO250">
        <v>0.40044000000000002</v>
      </c>
      <c r="DP250" t="s">
        <v>75</v>
      </c>
    </row>
    <row r="251" spans="1:121" x14ac:dyDescent="0.2">
      <c r="D251" t="s">
        <v>65</v>
      </c>
      <c r="G251" t="s">
        <v>66</v>
      </c>
      <c r="I251" t="s">
        <v>66</v>
      </c>
      <c r="K251" t="s">
        <v>66</v>
      </c>
      <c r="M251" t="s">
        <v>66</v>
      </c>
      <c r="O251" t="s">
        <v>66</v>
      </c>
      <c r="Q251" t="s">
        <v>66</v>
      </c>
      <c r="S251" t="s">
        <v>66</v>
      </c>
      <c r="U251" t="s">
        <v>66</v>
      </c>
      <c r="W251" t="s">
        <v>66</v>
      </c>
      <c r="Y251" t="s">
        <v>66</v>
      </c>
      <c r="AA251" t="s">
        <v>66</v>
      </c>
      <c r="AC251" t="s">
        <v>66</v>
      </c>
      <c r="AE251" t="s">
        <v>66</v>
      </c>
      <c r="AG251" t="s">
        <v>66</v>
      </c>
      <c r="AI251" t="s">
        <v>66</v>
      </c>
      <c r="AK251" t="s">
        <v>66</v>
      </c>
      <c r="AM251" t="s">
        <v>66</v>
      </c>
      <c r="AO251" t="s">
        <v>66</v>
      </c>
      <c r="AQ251" t="s">
        <v>66</v>
      </c>
      <c r="AS251" t="s">
        <v>66</v>
      </c>
      <c r="AU251" t="s">
        <v>66</v>
      </c>
      <c r="AW251" t="s">
        <v>66</v>
      </c>
      <c r="AY251" t="s">
        <v>66</v>
      </c>
      <c r="BA251" t="s">
        <v>66</v>
      </c>
      <c r="BC251" t="s">
        <v>66</v>
      </c>
      <c r="BE251" t="s">
        <v>66</v>
      </c>
      <c r="BG251" t="s">
        <v>66</v>
      </c>
      <c r="BI251" t="s">
        <v>66</v>
      </c>
      <c r="BK251" t="s">
        <v>66</v>
      </c>
      <c r="BM251" t="s">
        <v>66</v>
      </c>
      <c r="BO251" t="s">
        <v>66</v>
      </c>
      <c r="BQ251" t="s">
        <v>66</v>
      </c>
      <c r="BS251" t="s">
        <v>66</v>
      </c>
      <c r="BU251" t="s">
        <v>66</v>
      </c>
      <c r="BW251" t="s">
        <v>66</v>
      </c>
      <c r="BY251" t="s">
        <v>66</v>
      </c>
      <c r="CA251" t="s">
        <v>66</v>
      </c>
      <c r="CC251" t="s">
        <v>66</v>
      </c>
      <c r="CE251" t="s">
        <v>66</v>
      </c>
      <c r="CG251" t="s">
        <v>66</v>
      </c>
      <c r="CI251" t="s">
        <v>66</v>
      </c>
      <c r="CK251" t="s">
        <v>66</v>
      </c>
      <c r="CM251" t="s">
        <v>66</v>
      </c>
      <c r="CO251" t="s">
        <v>66</v>
      </c>
      <c r="CQ251" t="s">
        <v>66</v>
      </c>
      <c r="CS251" t="s">
        <v>66</v>
      </c>
      <c r="CU251" t="s">
        <v>66</v>
      </c>
      <c r="CW251" t="s">
        <v>66</v>
      </c>
      <c r="CY251" t="s">
        <v>66</v>
      </c>
      <c r="DA251" t="s">
        <v>66</v>
      </c>
      <c r="DC251" t="s">
        <v>66</v>
      </c>
      <c r="DE251" t="s">
        <v>66</v>
      </c>
      <c r="DG251" t="s">
        <v>66</v>
      </c>
      <c r="DI251" t="s">
        <v>66</v>
      </c>
      <c r="DK251" t="s">
        <v>66</v>
      </c>
      <c r="DM251" t="s">
        <v>66</v>
      </c>
      <c r="DO251" t="s">
        <v>66</v>
      </c>
      <c r="DQ251" t="s">
        <v>66</v>
      </c>
    </row>
    <row r="252" spans="1:121" x14ac:dyDescent="0.2">
      <c r="A252" t="s">
        <v>620</v>
      </c>
      <c r="D252" t="s">
        <v>60</v>
      </c>
      <c r="E252" t="s">
        <v>61</v>
      </c>
      <c r="G252">
        <v>17137.7</v>
      </c>
      <c r="I252">
        <v>743.4</v>
      </c>
      <c r="K252">
        <v>688550.8</v>
      </c>
      <c r="M252">
        <v>172520.5</v>
      </c>
      <c r="O252">
        <v>10670.7</v>
      </c>
      <c r="Q252">
        <v>12568.6</v>
      </c>
      <c r="S252">
        <v>1757.6</v>
      </c>
      <c r="U252">
        <v>1802.4</v>
      </c>
      <c r="W252">
        <v>27802.1</v>
      </c>
      <c r="Y252">
        <v>18037.2</v>
      </c>
      <c r="AA252">
        <v>5087043.2</v>
      </c>
      <c r="AC252">
        <v>4306639.9000000004</v>
      </c>
      <c r="AE252">
        <v>19094210.600000001</v>
      </c>
      <c r="AG252">
        <v>52026.400000000001</v>
      </c>
      <c r="AI252">
        <v>153372.1</v>
      </c>
      <c r="AK252">
        <v>13245.9</v>
      </c>
      <c r="AM252">
        <v>8316.1</v>
      </c>
      <c r="AO252">
        <v>779.5</v>
      </c>
      <c r="AQ252">
        <v>282.3</v>
      </c>
      <c r="AS252">
        <v>483.4</v>
      </c>
      <c r="AU252">
        <v>334.4</v>
      </c>
      <c r="AW252">
        <v>310.39999999999998</v>
      </c>
      <c r="AY252">
        <v>9293.5</v>
      </c>
      <c r="BA252">
        <v>673017.6</v>
      </c>
      <c r="BC252">
        <v>3235.3</v>
      </c>
      <c r="BE252">
        <v>27317.4</v>
      </c>
      <c r="BG252">
        <v>1250164.2</v>
      </c>
      <c r="BI252">
        <v>1041526.2</v>
      </c>
      <c r="BK252">
        <v>2710164</v>
      </c>
      <c r="BM252">
        <v>805880.8</v>
      </c>
      <c r="BO252">
        <v>7749526.7999999998</v>
      </c>
      <c r="BQ252">
        <v>176619</v>
      </c>
      <c r="BS252">
        <v>358228</v>
      </c>
      <c r="BU252">
        <v>2159585.2000000002</v>
      </c>
      <c r="BW252">
        <v>91459.4</v>
      </c>
      <c r="BY252">
        <v>616727</v>
      </c>
      <c r="CA252">
        <v>96843.9</v>
      </c>
      <c r="CC252">
        <v>1466.7</v>
      </c>
      <c r="CE252">
        <v>641.9</v>
      </c>
      <c r="CG252">
        <v>38627.300000000003</v>
      </c>
      <c r="CI252">
        <v>122047.9</v>
      </c>
      <c r="CK252">
        <v>564747</v>
      </c>
      <c r="CM252">
        <v>9037.7000000000007</v>
      </c>
      <c r="CO252">
        <v>19631.400000000001</v>
      </c>
      <c r="CQ252">
        <v>187560.3</v>
      </c>
      <c r="CS252">
        <v>3005178.1</v>
      </c>
      <c r="CU252">
        <v>486431.6</v>
      </c>
      <c r="CW252">
        <v>474393.5</v>
      </c>
      <c r="CY252">
        <v>56558.5</v>
      </c>
      <c r="DA252">
        <v>4090447.2</v>
      </c>
      <c r="DC252">
        <v>136.1</v>
      </c>
      <c r="DE252">
        <v>576551.9</v>
      </c>
      <c r="DG252">
        <v>416.9</v>
      </c>
      <c r="DI252">
        <v>3704.5</v>
      </c>
      <c r="DK252">
        <v>819.1</v>
      </c>
      <c r="DM252">
        <v>135115.9</v>
      </c>
      <c r="DO252">
        <v>119531.1</v>
      </c>
      <c r="DQ252">
        <v>15659.1</v>
      </c>
    </row>
    <row r="253" spans="1:121" x14ac:dyDescent="0.2">
      <c r="D253" t="s">
        <v>62</v>
      </c>
      <c r="E253" t="s">
        <v>61</v>
      </c>
      <c r="G253">
        <v>300</v>
      </c>
      <c r="I253">
        <v>96.1</v>
      </c>
      <c r="K253">
        <v>1688.2</v>
      </c>
      <c r="M253">
        <v>2261.4</v>
      </c>
      <c r="O253">
        <v>443.3</v>
      </c>
      <c r="Q253">
        <v>152</v>
      </c>
      <c r="S253">
        <v>168.5</v>
      </c>
      <c r="U253">
        <v>131.69999999999999</v>
      </c>
      <c r="W253">
        <v>64.2</v>
      </c>
      <c r="Y253">
        <v>302.5</v>
      </c>
      <c r="AA253">
        <v>9123.1</v>
      </c>
      <c r="AC253">
        <v>28879.3</v>
      </c>
      <c r="AE253">
        <v>119399.1</v>
      </c>
      <c r="AG253">
        <v>858</v>
      </c>
      <c r="AI253">
        <v>2619.9</v>
      </c>
      <c r="AK253">
        <v>213.3</v>
      </c>
      <c r="AM253">
        <v>206.6</v>
      </c>
      <c r="AO253">
        <v>45.8</v>
      </c>
      <c r="AQ253">
        <v>50.8</v>
      </c>
      <c r="AS253">
        <v>11.8</v>
      </c>
      <c r="AU253">
        <v>20.5</v>
      </c>
      <c r="AW253">
        <v>52.4</v>
      </c>
      <c r="AY253">
        <v>431.3</v>
      </c>
      <c r="BA253">
        <v>3882</v>
      </c>
      <c r="BC253">
        <v>138.5</v>
      </c>
      <c r="BE253">
        <v>183.3</v>
      </c>
      <c r="BG253">
        <v>13358</v>
      </c>
      <c r="BI253">
        <v>13874.9</v>
      </c>
      <c r="BK253">
        <v>5044.8</v>
      </c>
      <c r="BM253">
        <v>3172</v>
      </c>
      <c r="BO253">
        <v>145374.39999999999</v>
      </c>
      <c r="BQ253">
        <v>5573</v>
      </c>
      <c r="BS253">
        <v>14511</v>
      </c>
      <c r="BU253">
        <v>45309.3</v>
      </c>
      <c r="BW253">
        <v>3588.5</v>
      </c>
      <c r="BY253">
        <v>13047.7</v>
      </c>
      <c r="CA253">
        <v>1718.1</v>
      </c>
      <c r="CC253">
        <v>161.19999999999999</v>
      </c>
      <c r="CE253">
        <v>68.400000000000006</v>
      </c>
      <c r="CG253">
        <v>868.6</v>
      </c>
      <c r="CI253">
        <v>1449.8</v>
      </c>
      <c r="CK253">
        <v>14886</v>
      </c>
      <c r="CM253">
        <v>501.9</v>
      </c>
      <c r="CO253">
        <v>558</v>
      </c>
      <c r="CQ253">
        <v>2028.5</v>
      </c>
      <c r="CS253">
        <v>73132.800000000003</v>
      </c>
      <c r="CU253">
        <v>5455</v>
      </c>
      <c r="CW253">
        <v>16065.1</v>
      </c>
      <c r="CY253">
        <v>783.3</v>
      </c>
      <c r="DA253">
        <v>33546.1</v>
      </c>
      <c r="DC253">
        <v>21.2</v>
      </c>
      <c r="DE253">
        <v>8336.9</v>
      </c>
      <c r="DG253">
        <v>33.4</v>
      </c>
      <c r="DI253">
        <v>223.4</v>
      </c>
      <c r="DK253">
        <v>22.1</v>
      </c>
      <c r="DM253">
        <v>1163.5</v>
      </c>
      <c r="DO253">
        <v>1643.5</v>
      </c>
      <c r="DQ253">
        <v>166.6</v>
      </c>
    </row>
    <row r="254" spans="1:121" x14ac:dyDescent="0.2">
      <c r="D254" t="s">
        <v>63</v>
      </c>
      <c r="G254">
        <v>0.10277</v>
      </c>
      <c r="H254" t="s">
        <v>75</v>
      </c>
      <c r="I254">
        <v>1.3520000000000001E-2</v>
      </c>
      <c r="J254" t="s">
        <v>75</v>
      </c>
      <c r="K254">
        <v>0.87865000000000004</v>
      </c>
      <c r="L254" t="s">
        <v>75</v>
      </c>
      <c r="M254">
        <v>0.14233999999999999</v>
      </c>
      <c r="N254" t="s">
        <v>75</v>
      </c>
      <c r="O254">
        <v>1.189E-2</v>
      </c>
      <c r="P254" t="s">
        <v>75</v>
      </c>
      <c r="Q254">
        <v>0.10274999999999999</v>
      </c>
      <c r="R254" t="s">
        <v>75</v>
      </c>
      <c r="S254">
        <v>8.5999999999999998E-4</v>
      </c>
      <c r="T254" t="s">
        <v>75</v>
      </c>
      <c r="U254">
        <v>1.316E-2</v>
      </c>
      <c r="V254" t="s">
        <v>75</v>
      </c>
      <c r="W254">
        <v>6.2950000000000006E-2</v>
      </c>
      <c r="X254" t="s">
        <v>75</v>
      </c>
      <c r="Y254">
        <v>0.26978000000000002</v>
      </c>
      <c r="Z254" t="s">
        <v>75</v>
      </c>
      <c r="AB254" t="s">
        <v>76</v>
      </c>
      <c r="AC254">
        <v>15.47391</v>
      </c>
      <c r="AD254" t="s">
        <v>75</v>
      </c>
      <c r="AE254">
        <v>72.071830000000006</v>
      </c>
      <c r="AF254" t="s">
        <v>75</v>
      </c>
      <c r="AG254">
        <v>2.479E-2</v>
      </c>
      <c r="AH254" t="s">
        <v>75</v>
      </c>
      <c r="AI254">
        <v>0.97648999999999997</v>
      </c>
      <c r="AJ254" t="s">
        <v>75</v>
      </c>
      <c r="AK254">
        <v>7.0099999999999997E-3</v>
      </c>
      <c r="AL254" t="s">
        <v>75</v>
      </c>
      <c r="AM254">
        <v>6.0999999999999997E-4</v>
      </c>
      <c r="AN254" t="s">
        <v>75</v>
      </c>
      <c r="AO254">
        <v>4.3E-3</v>
      </c>
      <c r="AP254" t="s">
        <v>75</v>
      </c>
      <c r="AQ254">
        <v>2.5999999999999998E-4</v>
      </c>
      <c r="AR254" t="s">
        <v>75</v>
      </c>
      <c r="AS254">
        <v>1.1299999999999999E-3</v>
      </c>
      <c r="AT254" t="s">
        <v>75</v>
      </c>
      <c r="AU254">
        <v>1.57E-3</v>
      </c>
      <c r="AV254" t="s">
        <v>75</v>
      </c>
      <c r="AW254">
        <v>-4.0000000000000003E-5</v>
      </c>
      <c r="AX254" t="s">
        <v>75</v>
      </c>
      <c r="AY254">
        <v>1.984E-2</v>
      </c>
      <c r="AZ254" t="s">
        <v>75</v>
      </c>
      <c r="BC254">
        <v>-2.05016</v>
      </c>
      <c r="BD254" t="s">
        <v>75</v>
      </c>
      <c r="BE254">
        <v>2.8840000000000001E-2</v>
      </c>
      <c r="BF254" t="s">
        <v>75</v>
      </c>
      <c r="BG254">
        <v>3.58175</v>
      </c>
      <c r="BH254" t="s">
        <v>75</v>
      </c>
      <c r="BI254">
        <v>3.4515400000000001</v>
      </c>
      <c r="BJ254" t="s">
        <v>75</v>
      </c>
      <c r="BK254">
        <v>3.66004</v>
      </c>
      <c r="BL254" t="s">
        <v>75</v>
      </c>
      <c r="BM254">
        <v>0.75292000000000003</v>
      </c>
      <c r="BN254" t="s">
        <v>75</v>
      </c>
      <c r="BO254">
        <v>178.63045</v>
      </c>
      <c r="BP254" t="s">
        <v>75</v>
      </c>
      <c r="BQ254">
        <v>5.8810799999999999</v>
      </c>
      <c r="BR254" t="s">
        <v>75</v>
      </c>
      <c r="BS254">
        <v>8.0023099999999996</v>
      </c>
      <c r="BT254" t="s">
        <v>75</v>
      </c>
      <c r="BU254">
        <v>73.68168</v>
      </c>
      <c r="BV254" t="s">
        <v>75</v>
      </c>
      <c r="BW254">
        <v>40.664900000000003</v>
      </c>
      <c r="BX254" t="s">
        <v>75</v>
      </c>
      <c r="BY254">
        <v>174.50049999999999</v>
      </c>
      <c r="BZ254" t="s">
        <v>75</v>
      </c>
      <c r="CA254">
        <v>51.092680000000001</v>
      </c>
      <c r="CB254" t="s">
        <v>75</v>
      </c>
      <c r="CC254">
        <v>0.31539</v>
      </c>
      <c r="CD254" t="s">
        <v>75</v>
      </c>
      <c r="CE254">
        <v>8.4499999999999992E-3</v>
      </c>
      <c r="CF254" t="s">
        <v>75</v>
      </c>
      <c r="CG254">
        <v>0.67664000000000002</v>
      </c>
      <c r="CH254" t="s">
        <v>75</v>
      </c>
      <c r="CI254">
        <v>1.6501999999999999</v>
      </c>
      <c r="CJ254" t="s">
        <v>75</v>
      </c>
      <c r="CK254">
        <v>8.1023499999999995</v>
      </c>
      <c r="CL254" t="s">
        <v>75</v>
      </c>
      <c r="CM254">
        <v>0.12837999999999999</v>
      </c>
      <c r="CN254" t="s">
        <v>75</v>
      </c>
      <c r="CO254">
        <v>1.18083</v>
      </c>
      <c r="CP254" t="s">
        <v>75</v>
      </c>
      <c r="CQ254">
        <v>5.9544300000000003</v>
      </c>
      <c r="CR254" t="s">
        <v>75</v>
      </c>
      <c r="CS254">
        <v>828.66146000000003</v>
      </c>
      <c r="CT254" t="s">
        <v>75</v>
      </c>
      <c r="CV254" t="s">
        <v>76</v>
      </c>
      <c r="CW254">
        <v>18.546520000000001</v>
      </c>
      <c r="CX254" t="s">
        <v>75</v>
      </c>
      <c r="DA254">
        <v>253.66625999999999</v>
      </c>
      <c r="DB254" t="s">
        <v>75</v>
      </c>
      <c r="DC254">
        <v>6.1310000000000003E-2</v>
      </c>
      <c r="DD254" t="s">
        <v>75</v>
      </c>
      <c r="DE254">
        <v>271.68432999999999</v>
      </c>
      <c r="DF254" t="s">
        <v>75</v>
      </c>
      <c r="DG254">
        <v>2.2204899999999999</v>
      </c>
      <c r="DH254" t="s">
        <v>75</v>
      </c>
      <c r="DI254">
        <v>6.3441999999999998</v>
      </c>
      <c r="DJ254" t="s">
        <v>75</v>
      </c>
      <c r="DL254" t="s">
        <v>76</v>
      </c>
      <c r="DN254" t="s">
        <v>76</v>
      </c>
      <c r="DO254">
        <v>18.405760000000001</v>
      </c>
      <c r="DP254" t="s">
        <v>75</v>
      </c>
    </row>
    <row r="255" spans="1:121" x14ac:dyDescent="0.2">
      <c r="D255" t="s">
        <v>64</v>
      </c>
      <c r="G255">
        <v>2.9199999999999999E-3</v>
      </c>
      <c r="H255" t="s">
        <v>75</v>
      </c>
      <c r="I255">
        <v>3.46E-3</v>
      </c>
      <c r="J255" t="s">
        <v>75</v>
      </c>
      <c r="K255">
        <v>6.7299999999999999E-3</v>
      </c>
      <c r="L255" t="s">
        <v>75</v>
      </c>
      <c r="M255">
        <v>3.2200000000000002E-3</v>
      </c>
      <c r="N255" t="s">
        <v>75</v>
      </c>
      <c r="O255">
        <v>4.2000000000000002E-4</v>
      </c>
      <c r="P255" t="s">
        <v>75</v>
      </c>
      <c r="Q255">
        <v>1.34E-3</v>
      </c>
      <c r="R255" t="s">
        <v>75</v>
      </c>
      <c r="S255">
        <v>1.6000000000000001E-4</v>
      </c>
      <c r="T255" t="s">
        <v>75</v>
      </c>
      <c r="U255">
        <v>5.2999999999999998E-4</v>
      </c>
      <c r="V255" t="s">
        <v>75</v>
      </c>
      <c r="W255">
        <v>4.8000000000000001E-4</v>
      </c>
      <c r="X255" t="s">
        <v>75</v>
      </c>
      <c r="Y255">
        <v>5.1900000000000002E-3</v>
      </c>
      <c r="Z255" t="s">
        <v>75</v>
      </c>
      <c r="AC255">
        <v>0.14344000000000001</v>
      </c>
      <c r="AD255" t="s">
        <v>75</v>
      </c>
      <c r="AE255">
        <v>0.23529</v>
      </c>
      <c r="AF255" t="s">
        <v>75</v>
      </c>
      <c r="AG255">
        <v>8.7000000000000001E-4</v>
      </c>
      <c r="AH255" t="s">
        <v>75</v>
      </c>
      <c r="AI255">
        <v>2.0539999999999999E-2</v>
      </c>
      <c r="AJ255" t="s">
        <v>75</v>
      </c>
      <c r="AK255">
        <v>1.2999999999999999E-4</v>
      </c>
      <c r="AL255" t="s">
        <v>75</v>
      </c>
      <c r="AM255">
        <v>1.8000000000000001E-4</v>
      </c>
      <c r="AN255" t="s">
        <v>75</v>
      </c>
      <c r="AO255">
        <v>1.9000000000000001E-4</v>
      </c>
      <c r="AP255" t="s">
        <v>75</v>
      </c>
      <c r="AQ255">
        <v>2.3000000000000001E-4</v>
      </c>
      <c r="AR255" t="s">
        <v>75</v>
      </c>
      <c r="AS255">
        <v>6.9999999999999994E-5</v>
      </c>
      <c r="AT255" t="s">
        <v>75</v>
      </c>
      <c r="AU255">
        <v>1.0000000000000001E-5</v>
      </c>
      <c r="AV255" t="s">
        <v>75</v>
      </c>
      <c r="AW255">
        <v>1.2E-4</v>
      </c>
      <c r="AX255" t="s">
        <v>75</v>
      </c>
      <c r="AY255">
        <v>1.25E-3</v>
      </c>
      <c r="AZ255" t="s">
        <v>75</v>
      </c>
      <c r="BC255">
        <v>4.6000000000000001E-4</v>
      </c>
      <c r="BD255" t="s">
        <v>75</v>
      </c>
      <c r="BE255">
        <v>1.7000000000000001E-4</v>
      </c>
      <c r="BF255" t="s">
        <v>75</v>
      </c>
      <c r="BG255">
        <v>4.4690000000000001E-2</v>
      </c>
      <c r="BH255" t="s">
        <v>75</v>
      </c>
      <c r="BI255">
        <v>4.99E-2</v>
      </c>
      <c r="BJ255" t="s">
        <v>75</v>
      </c>
      <c r="BK255">
        <v>2.5170000000000001E-2</v>
      </c>
      <c r="BL255" t="s">
        <v>75</v>
      </c>
      <c r="BM255">
        <v>2.1199999999999999E-3</v>
      </c>
      <c r="BN255" t="s">
        <v>75</v>
      </c>
      <c r="BO255">
        <v>1.89394</v>
      </c>
      <c r="BP255" t="s">
        <v>75</v>
      </c>
      <c r="BQ255">
        <v>0.15060999999999999</v>
      </c>
      <c r="BR255" t="s">
        <v>75</v>
      </c>
      <c r="BS255">
        <v>0.23144000000000001</v>
      </c>
      <c r="BT255" t="s">
        <v>75</v>
      </c>
      <c r="BU255">
        <v>0.76924000000000003</v>
      </c>
      <c r="BV255" t="s">
        <v>75</v>
      </c>
      <c r="BW255">
        <v>1.04016</v>
      </c>
      <c r="BX255" t="s">
        <v>75</v>
      </c>
      <c r="BY255">
        <v>1.3616900000000001</v>
      </c>
      <c r="BZ255" t="s">
        <v>75</v>
      </c>
      <c r="CA255">
        <v>0.30580000000000002</v>
      </c>
      <c r="CB255" t="s">
        <v>75</v>
      </c>
      <c r="CC255">
        <v>3.1710000000000002E-2</v>
      </c>
      <c r="CD255" t="s">
        <v>75</v>
      </c>
      <c r="CE255">
        <v>1.2099999999999999E-3</v>
      </c>
      <c r="CF255" t="s">
        <v>75</v>
      </c>
      <c r="CG255">
        <v>7.2500000000000004E-3</v>
      </c>
      <c r="CH255" t="s">
        <v>75</v>
      </c>
      <c r="CI255">
        <v>3.4229999999999997E-2</v>
      </c>
      <c r="CJ255" t="s">
        <v>75</v>
      </c>
      <c r="CK255">
        <v>0.31152000000000002</v>
      </c>
      <c r="CL255" t="s">
        <v>75</v>
      </c>
      <c r="CM255">
        <v>9.0200000000000002E-3</v>
      </c>
      <c r="CN255" t="s">
        <v>75</v>
      </c>
      <c r="CO255">
        <v>4.1439999999999998E-2</v>
      </c>
      <c r="CP255" t="s">
        <v>75</v>
      </c>
      <c r="CQ255">
        <v>0.10936</v>
      </c>
      <c r="CR255" t="s">
        <v>75</v>
      </c>
      <c r="CS255">
        <v>17.02347</v>
      </c>
      <c r="CT255" t="s">
        <v>75</v>
      </c>
      <c r="CW255">
        <v>0.84019999999999995</v>
      </c>
      <c r="CX255" t="s">
        <v>75</v>
      </c>
      <c r="DA255">
        <v>3.1230799999999999</v>
      </c>
      <c r="DB255" t="s">
        <v>75</v>
      </c>
      <c r="DC255">
        <v>1.0319999999999999E-2</v>
      </c>
      <c r="DD255" t="s">
        <v>75</v>
      </c>
      <c r="DE255">
        <v>6.3419600000000003</v>
      </c>
      <c r="DF255" t="s">
        <v>75</v>
      </c>
      <c r="DG255">
        <v>0.15912000000000001</v>
      </c>
      <c r="DH255" t="s">
        <v>75</v>
      </c>
      <c r="DI255">
        <v>0.47782000000000002</v>
      </c>
      <c r="DJ255" t="s">
        <v>75</v>
      </c>
      <c r="DO255">
        <v>0.44619999999999999</v>
      </c>
      <c r="DP255" t="s">
        <v>75</v>
      </c>
    </row>
    <row r="256" spans="1:121" x14ac:dyDescent="0.2">
      <c r="D256" t="s">
        <v>65</v>
      </c>
      <c r="G256" t="s">
        <v>66</v>
      </c>
      <c r="I256" t="s">
        <v>66</v>
      </c>
      <c r="K256" t="s">
        <v>66</v>
      </c>
      <c r="M256" t="s">
        <v>66</v>
      </c>
      <c r="O256" t="s">
        <v>66</v>
      </c>
      <c r="Q256" t="s">
        <v>66</v>
      </c>
      <c r="S256" t="s">
        <v>66</v>
      </c>
      <c r="U256" t="s">
        <v>66</v>
      </c>
      <c r="W256" t="s">
        <v>66</v>
      </c>
      <c r="Y256" t="s">
        <v>66</v>
      </c>
      <c r="AA256" t="s">
        <v>66</v>
      </c>
      <c r="AC256" t="s">
        <v>66</v>
      </c>
      <c r="AE256" t="s">
        <v>66</v>
      </c>
      <c r="AG256" t="s">
        <v>66</v>
      </c>
      <c r="AI256" t="s">
        <v>66</v>
      </c>
      <c r="AK256" t="s">
        <v>66</v>
      </c>
      <c r="AM256" t="s">
        <v>66</v>
      </c>
      <c r="AO256" t="s">
        <v>66</v>
      </c>
      <c r="AQ256" t="s">
        <v>66</v>
      </c>
      <c r="AS256" t="s">
        <v>66</v>
      </c>
      <c r="AU256" t="s">
        <v>66</v>
      </c>
      <c r="AW256" t="s">
        <v>66</v>
      </c>
      <c r="AY256" t="s">
        <v>66</v>
      </c>
      <c r="BA256" t="s">
        <v>66</v>
      </c>
      <c r="BC256" t="s">
        <v>66</v>
      </c>
      <c r="BE256" t="s">
        <v>66</v>
      </c>
      <c r="BG256" t="s">
        <v>66</v>
      </c>
      <c r="BI256" t="s">
        <v>66</v>
      </c>
      <c r="BK256" t="s">
        <v>66</v>
      </c>
      <c r="BM256" t="s">
        <v>66</v>
      </c>
      <c r="BO256" t="s">
        <v>66</v>
      </c>
      <c r="BQ256" t="s">
        <v>66</v>
      </c>
      <c r="BS256" t="s">
        <v>66</v>
      </c>
      <c r="BU256" t="s">
        <v>66</v>
      </c>
      <c r="BW256" t="s">
        <v>66</v>
      </c>
      <c r="BY256" t="s">
        <v>66</v>
      </c>
      <c r="CA256" t="s">
        <v>66</v>
      </c>
      <c r="CC256" t="s">
        <v>66</v>
      </c>
      <c r="CE256" t="s">
        <v>66</v>
      </c>
      <c r="CG256" t="s">
        <v>66</v>
      </c>
      <c r="CI256" t="s">
        <v>66</v>
      </c>
      <c r="CK256" t="s">
        <v>66</v>
      </c>
      <c r="CM256" t="s">
        <v>66</v>
      </c>
      <c r="CO256" t="s">
        <v>66</v>
      </c>
      <c r="CQ256" t="s">
        <v>66</v>
      </c>
      <c r="CS256" t="s">
        <v>66</v>
      </c>
      <c r="CU256" t="s">
        <v>66</v>
      </c>
      <c r="CW256" t="s">
        <v>66</v>
      </c>
      <c r="CY256" t="s">
        <v>66</v>
      </c>
      <c r="DA256" t="s">
        <v>66</v>
      </c>
      <c r="DC256" t="s">
        <v>66</v>
      </c>
      <c r="DE256" t="s">
        <v>66</v>
      </c>
      <c r="DG256" t="s">
        <v>66</v>
      </c>
      <c r="DI256" t="s">
        <v>66</v>
      </c>
      <c r="DK256" t="s">
        <v>66</v>
      </c>
      <c r="DM256" t="s">
        <v>66</v>
      </c>
      <c r="DO256" t="s">
        <v>66</v>
      </c>
      <c r="DQ256" t="s">
        <v>66</v>
      </c>
    </row>
    <row r="257" spans="1:121" x14ac:dyDescent="0.2">
      <c r="A257" t="s">
        <v>621</v>
      </c>
      <c r="D257" t="s">
        <v>60</v>
      </c>
      <c r="E257" t="s">
        <v>61</v>
      </c>
      <c r="G257">
        <v>13196.8</v>
      </c>
      <c r="I257">
        <v>832.6</v>
      </c>
      <c r="K257">
        <v>608665.9</v>
      </c>
      <c r="M257">
        <v>83557.3</v>
      </c>
      <c r="O257">
        <v>1530.2</v>
      </c>
      <c r="Q257">
        <v>12322.3</v>
      </c>
      <c r="S257">
        <v>1612.6</v>
      </c>
      <c r="U257">
        <v>1663.8</v>
      </c>
      <c r="W257">
        <v>48227.3</v>
      </c>
      <c r="Y257">
        <v>16310.8</v>
      </c>
      <c r="AA257">
        <v>3188120.7</v>
      </c>
      <c r="AC257">
        <v>1239067.2</v>
      </c>
      <c r="AE257">
        <v>1046002.2</v>
      </c>
      <c r="AG257">
        <v>43749.7</v>
      </c>
      <c r="AI257">
        <v>60849.2</v>
      </c>
      <c r="AK257">
        <v>2524.1</v>
      </c>
      <c r="AM257">
        <v>3880.9</v>
      </c>
      <c r="AO257">
        <v>503.2</v>
      </c>
      <c r="AQ257">
        <v>335.5</v>
      </c>
      <c r="AS257">
        <v>378.2</v>
      </c>
      <c r="AU257">
        <v>249</v>
      </c>
      <c r="AW257">
        <v>176.1</v>
      </c>
      <c r="AY257">
        <v>6253.7</v>
      </c>
      <c r="BA257">
        <v>677668.8</v>
      </c>
      <c r="BC257">
        <v>3451.2</v>
      </c>
      <c r="BE257">
        <v>24470.7</v>
      </c>
      <c r="BG257">
        <v>708293.5</v>
      </c>
      <c r="BI257">
        <v>595976.19999999995</v>
      </c>
      <c r="BK257">
        <v>1490574.3</v>
      </c>
      <c r="BM257">
        <v>745195.2</v>
      </c>
      <c r="BO257">
        <v>3975439.4</v>
      </c>
      <c r="BQ257">
        <v>47290.6</v>
      </c>
      <c r="BS257">
        <v>278134.59999999998</v>
      </c>
      <c r="BU257">
        <v>977483.9</v>
      </c>
      <c r="BW257">
        <v>51602.8</v>
      </c>
      <c r="BY257">
        <v>397003.7</v>
      </c>
      <c r="CA257">
        <v>28367.5</v>
      </c>
      <c r="CC257">
        <v>160.19999999999999</v>
      </c>
      <c r="CE257">
        <v>519.5</v>
      </c>
      <c r="CG257">
        <v>223892.6</v>
      </c>
      <c r="CI257">
        <v>62058.6</v>
      </c>
      <c r="CK257">
        <v>421177.9</v>
      </c>
      <c r="CM257">
        <v>2096.1999999999998</v>
      </c>
      <c r="CO257">
        <v>16734</v>
      </c>
      <c r="CQ257">
        <v>88582.6</v>
      </c>
      <c r="CS257">
        <v>894049.6</v>
      </c>
      <c r="CU257">
        <v>288693.59999999998</v>
      </c>
      <c r="CW257">
        <v>123313.7</v>
      </c>
      <c r="CY257">
        <v>61190.2</v>
      </c>
      <c r="DA257">
        <v>4042599.5</v>
      </c>
      <c r="DC257">
        <v>81.7</v>
      </c>
      <c r="DE257">
        <v>2874.9</v>
      </c>
      <c r="DG257">
        <v>113.7</v>
      </c>
      <c r="DI257">
        <v>1749.7</v>
      </c>
      <c r="DK257">
        <v>912.1</v>
      </c>
      <c r="DM257">
        <v>79820.7</v>
      </c>
      <c r="DO257">
        <v>31425.1</v>
      </c>
      <c r="DQ257">
        <v>16506.3</v>
      </c>
    </row>
    <row r="258" spans="1:121" x14ac:dyDescent="0.2">
      <c r="D258" t="s">
        <v>62</v>
      </c>
      <c r="E258" t="s">
        <v>61</v>
      </c>
      <c r="G258">
        <v>133.1</v>
      </c>
      <c r="I258">
        <v>59.1</v>
      </c>
      <c r="K258">
        <v>2669.1</v>
      </c>
      <c r="M258">
        <v>215.2</v>
      </c>
      <c r="O258">
        <v>144.6</v>
      </c>
      <c r="Q258">
        <v>147.19999999999999</v>
      </c>
      <c r="S258">
        <v>75.099999999999994</v>
      </c>
      <c r="U258">
        <v>33.1</v>
      </c>
      <c r="W258">
        <v>598.20000000000005</v>
      </c>
      <c r="Y258">
        <v>54.3</v>
      </c>
      <c r="AA258">
        <v>34827.4</v>
      </c>
      <c r="AC258">
        <v>5111.3</v>
      </c>
      <c r="AE258">
        <v>4072.4</v>
      </c>
      <c r="AG258">
        <v>582.5</v>
      </c>
      <c r="AI258">
        <v>530.6</v>
      </c>
      <c r="AK258">
        <v>324.7</v>
      </c>
      <c r="AM258">
        <v>107.2</v>
      </c>
      <c r="AO258">
        <v>61.5</v>
      </c>
      <c r="AQ258">
        <v>61.2</v>
      </c>
      <c r="AS258">
        <v>21.9</v>
      </c>
      <c r="AU258">
        <v>6.5</v>
      </c>
      <c r="AW258">
        <v>44.9</v>
      </c>
      <c r="AY258">
        <v>118.9</v>
      </c>
      <c r="BA258">
        <v>9355</v>
      </c>
      <c r="BC258">
        <v>74.5</v>
      </c>
      <c r="BE258">
        <v>715.2</v>
      </c>
      <c r="BG258">
        <v>17644.7</v>
      </c>
      <c r="BI258">
        <v>7637.2</v>
      </c>
      <c r="BK258">
        <v>10392.799999999999</v>
      </c>
      <c r="BM258">
        <v>9508.7000000000007</v>
      </c>
      <c r="BO258">
        <v>73634.3</v>
      </c>
      <c r="BQ258">
        <v>146.6</v>
      </c>
      <c r="BS258">
        <v>2381.1</v>
      </c>
      <c r="BU258">
        <v>6391.8</v>
      </c>
      <c r="BW258">
        <v>636.29999999999995</v>
      </c>
      <c r="BY258">
        <v>1782.8</v>
      </c>
      <c r="CA258">
        <v>142.80000000000001</v>
      </c>
      <c r="CC258">
        <v>8.5</v>
      </c>
      <c r="CE258">
        <v>39.200000000000003</v>
      </c>
      <c r="CG258">
        <v>2354.8000000000002</v>
      </c>
      <c r="CI258">
        <v>923</v>
      </c>
      <c r="CK258">
        <v>7679.5</v>
      </c>
      <c r="CM258">
        <v>96.3</v>
      </c>
      <c r="CO258">
        <v>555.6</v>
      </c>
      <c r="CQ258">
        <v>2250.5</v>
      </c>
      <c r="CS258">
        <v>23573.200000000001</v>
      </c>
      <c r="CU258">
        <v>7031.4</v>
      </c>
      <c r="CW258">
        <v>1211.5999999999999</v>
      </c>
      <c r="CY258">
        <v>703.8</v>
      </c>
      <c r="DA258">
        <v>57606.9</v>
      </c>
      <c r="DC258">
        <v>31.7</v>
      </c>
      <c r="DE258">
        <v>212.5</v>
      </c>
      <c r="DG258">
        <v>24.1</v>
      </c>
      <c r="DI258">
        <v>17.8</v>
      </c>
      <c r="DK258">
        <v>50.4</v>
      </c>
      <c r="DM258">
        <v>950.6</v>
      </c>
      <c r="DO258">
        <v>650.4</v>
      </c>
      <c r="DQ258">
        <v>583</v>
      </c>
    </row>
    <row r="259" spans="1:121" x14ac:dyDescent="0.2">
      <c r="D259" t="s">
        <v>63</v>
      </c>
      <c r="G259">
        <v>7.0510000000000003E-2</v>
      </c>
      <c r="H259" t="s">
        <v>75</v>
      </c>
      <c r="I259">
        <v>1.6469999999999999E-2</v>
      </c>
      <c r="J259" t="s">
        <v>75</v>
      </c>
      <c r="K259">
        <v>0.77100000000000002</v>
      </c>
      <c r="L259" t="s">
        <v>75</v>
      </c>
      <c r="M259">
        <v>5.0720000000000001E-2</v>
      </c>
      <c r="N259" t="s">
        <v>75</v>
      </c>
      <c r="O259">
        <v>4.2100000000000002E-3</v>
      </c>
      <c r="P259" t="s">
        <v>75</v>
      </c>
      <c r="Q259">
        <v>0.10059999999999999</v>
      </c>
      <c r="R259" t="s">
        <v>75</v>
      </c>
      <c r="S259">
        <v>7.2000000000000005E-4</v>
      </c>
      <c r="T259" t="s">
        <v>75</v>
      </c>
      <c r="U259">
        <v>1.2529999999999999E-2</v>
      </c>
      <c r="V259" t="s">
        <v>75</v>
      </c>
      <c r="W259">
        <v>0.10589</v>
      </c>
      <c r="X259" t="s">
        <v>75</v>
      </c>
      <c r="Y259">
        <v>0.24232000000000001</v>
      </c>
      <c r="Z259" t="s">
        <v>75</v>
      </c>
      <c r="AB259" t="s">
        <v>76</v>
      </c>
      <c r="AC259">
        <v>4.4515900000000004</v>
      </c>
      <c r="AD259" t="s">
        <v>75</v>
      </c>
      <c r="AE259">
        <v>3.9587599999999998</v>
      </c>
      <c r="AF259" t="s">
        <v>75</v>
      </c>
      <c r="AG259">
        <v>1.8010000000000002E-2</v>
      </c>
      <c r="AH259" t="s">
        <v>75</v>
      </c>
      <c r="AI259">
        <v>0.38478000000000001</v>
      </c>
      <c r="AJ259" t="s">
        <v>75</v>
      </c>
      <c r="AK259">
        <v>-4.0999999999999999E-4</v>
      </c>
      <c r="AL259" t="s">
        <v>75</v>
      </c>
      <c r="AM259">
        <v>-2.7699999999999999E-3</v>
      </c>
      <c r="AN259" t="s">
        <v>75</v>
      </c>
      <c r="AO259">
        <v>3.2699999999999999E-3</v>
      </c>
      <c r="AP259" t="s">
        <v>75</v>
      </c>
      <c r="AQ259">
        <v>4.8000000000000001E-4</v>
      </c>
      <c r="AR259" t="s">
        <v>75</v>
      </c>
      <c r="AS259">
        <v>6.4000000000000005E-4</v>
      </c>
      <c r="AT259" t="s">
        <v>75</v>
      </c>
      <c r="AU259">
        <v>1.5100000000000001E-3</v>
      </c>
      <c r="AV259" t="s">
        <v>75</v>
      </c>
      <c r="AW259">
        <v>-3.6999999999999999E-4</v>
      </c>
      <c r="AX259" t="s">
        <v>75</v>
      </c>
      <c r="AY259">
        <v>9.8300000000000002E-3</v>
      </c>
      <c r="AZ259" t="s">
        <v>75</v>
      </c>
      <c r="BC259">
        <v>-2.0495700000000001</v>
      </c>
      <c r="BD259" t="s">
        <v>75</v>
      </c>
      <c r="BE259">
        <v>2.5950000000000001E-2</v>
      </c>
      <c r="BF259" t="s">
        <v>75</v>
      </c>
      <c r="BG259">
        <v>1.99905</v>
      </c>
      <c r="BH259" t="s">
        <v>75</v>
      </c>
      <c r="BI259">
        <v>1.9549000000000001</v>
      </c>
      <c r="BJ259" t="s">
        <v>75</v>
      </c>
      <c r="BK259">
        <v>2.0101100000000001</v>
      </c>
      <c r="BL259" t="s">
        <v>75</v>
      </c>
      <c r="BM259">
        <v>0.69079000000000002</v>
      </c>
      <c r="BN259" t="s">
        <v>75</v>
      </c>
      <c r="BO259">
        <v>83.804469999999995</v>
      </c>
      <c r="BP259" t="s">
        <v>75</v>
      </c>
      <c r="BQ259">
        <v>1.1400300000000001</v>
      </c>
      <c r="BR259" t="s">
        <v>75</v>
      </c>
      <c r="BS259">
        <v>5.6152100000000003</v>
      </c>
      <c r="BT259" t="s">
        <v>75</v>
      </c>
      <c r="BU259">
        <v>18.92493</v>
      </c>
      <c r="BV259" t="s">
        <v>75</v>
      </c>
      <c r="BW259">
        <v>21.09553</v>
      </c>
      <c r="BX259" t="s">
        <v>75</v>
      </c>
      <c r="BY259">
        <v>100.55528</v>
      </c>
      <c r="BZ259" t="s">
        <v>75</v>
      </c>
      <c r="CA259">
        <v>11.20478</v>
      </c>
      <c r="CB259" t="s">
        <v>75</v>
      </c>
      <c r="CC259">
        <v>1.9040000000000001E-2</v>
      </c>
      <c r="CD259" t="s">
        <v>75</v>
      </c>
      <c r="CE259">
        <v>5.8999999999999999E-3</v>
      </c>
      <c r="CF259" t="s">
        <v>75</v>
      </c>
      <c r="CG259">
        <v>3.7016100000000001</v>
      </c>
      <c r="CH259" t="s">
        <v>75</v>
      </c>
      <c r="CI259">
        <v>0.76037999999999994</v>
      </c>
      <c r="CJ259" t="s">
        <v>75</v>
      </c>
      <c r="CK259">
        <v>5.4823599999999999</v>
      </c>
      <c r="CL259" t="s">
        <v>75</v>
      </c>
      <c r="CM259">
        <v>2.2020000000000001E-2</v>
      </c>
      <c r="CN259" t="s">
        <v>75</v>
      </c>
      <c r="CO259">
        <v>0.93267</v>
      </c>
      <c r="CP259" t="s">
        <v>75</v>
      </c>
      <c r="CQ259">
        <v>2.5842100000000001</v>
      </c>
      <c r="CR259" t="s">
        <v>75</v>
      </c>
      <c r="CS259">
        <v>227.85684000000001</v>
      </c>
      <c r="CT259" t="s">
        <v>75</v>
      </c>
      <c r="CV259" t="s">
        <v>76</v>
      </c>
      <c r="CW259">
        <v>4.4355900000000004</v>
      </c>
      <c r="CX259" t="s">
        <v>75</v>
      </c>
      <c r="DA259">
        <v>237.92464000000001</v>
      </c>
      <c r="DB259" t="s">
        <v>75</v>
      </c>
      <c r="DC259">
        <v>3.4590000000000003E-2</v>
      </c>
      <c r="DD259" t="s">
        <v>75</v>
      </c>
      <c r="DE259">
        <v>1.2672600000000001</v>
      </c>
      <c r="DF259" t="s">
        <v>75</v>
      </c>
      <c r="DG259">
        <v>0.53161000000000003</v>
      </c>
      <c r="DH259" t="s">
        <v>75</v>
      </c>
      <c r="DI259">
        <v>2.59036</v>
      </c>
      <c r="DJ259" t="s">
        <v>75</v>
      </c>
      <c r="DL259" t="s">
        <v>76</v>
      </c>
      <c r="DN259" t="s">
        <v>76</v>
      </c>
      <c r="DO259">
        <v>4.5897800000000002</v>
      </c>
      <c r="DP259" t="s">
        <v>75</v>
      </c>
    </row>
    <row r="260" spans="1:121" x14ac:dyDescent="0.2">
      <c r="D260" t="s">
        <v>64</v>
      </c>
      <c r="G260">
        <v>1.1999999999999999E-3</v>
      </c>
      <c r="H260" t="s">
        <v>75</v>
      </c>
      <c r="I260">
        <v>2.4299999999999999E-3</v>
      </c>
      <c r="J260" t="s">
        <v>75</v>
      </c>
      <c r="K260">
        <v>7.9799999999999992E-3</v>
      </c>
      <c r="L260" t="s">
        <v>75</v>
      </c>
      <c r="M260">
        <v>1.24E-3</v>
      </c>
      <c r="N260" t="s">
        <v>75</v>
      </c>
      <c r="O260">
        <v>1.2999999999999999E-4</v>
      </c>
      <c r="P260" t="s">
        <v>75</v>
      </c>
      <c r="Q260">
        <v>1.7899999999999999E-3</v>
      </c>
      <c r="R260" t="s">
        <v>75</v>
      </c>
      <c r="S260">
        <v>5.0000000000000002E-5</v>
      </c>
      <c r="T260" t="s">
        <v>75</v>
      </c>
      <c r="U260">
        <v>1.8000000000000001E-4</v>
      </c>
      <c r="V260" t="s">
        <v>75</v>
      </c>
      <c r="W260">
        <v>1.99E-3</v>
      </c>
      <c r="X260" t="s">
        <v>75</v>
      </c>
      <c r="Y260">
        <v>4.1200000000000004E-3</v>
      </c>
      <c r="Z260" t="s">
        <v>75</v>
      </c>
      <c r="AC260">
        <v>5.1639999999999998E-2</v>
      </c>
      <c r="AD260" t="s">
        <v>75</v>
      </c>
      <c r="AE260">
        <v>6.6189999999999999E-2</v>
      </c>
      <c r="AF260" t="s">
        <v>75</v>
      </c>
      <c r="AG260">
        <v>9.2000000000000003E-4</v>
      </c>
      <c r="AH260" t="s">
        <v>75</v>
      </c>
      <c r="AI260">
        <v>5.7999999999999996E-3</v>
      </c>
      <c r="AJ260" t="s">
        <v>75</v>
      </c>
      <c r="AK260">
        <v>2.1000000000000001E-4</v>
      </c>
      <c r="AL260" t="s">
        <v>75</v>
      </c>
      <c r="AM260">
        <v>1E-4</v>
      </c>
      <c r="AN260" t="s">
        <v>75</v>
      </c>
      <c r="AO260">
        <v>2.4000000000000001E-4</v>
      </c>
      <c r="AP260" t="s">
        <v>75</v>
      </c>
      <c r="AQ260">
        <v>2.7E-4</v>
      </c>
      <c r="AR260" t="s">
        <v>75</v>
      </c>
      <c r="AS260">
        <v>6.9999999999999994E-5</v>
      </c>
      <c r="AT260" t="s">
        <v>75</v>
      </c>
      <c r="AU260">
        <v>1.0000000000000001E-5</v>
      </c>
      <c r="AV260" t="s">
        <v>75</v>
      </c>
      <c r="AW260">
        <v>1E-4</v>
      </c>
      <c r="AX260" t="s">
        <v>75</v>
      </c>
      <c r="AY260">
        <v>5.5999999999999995E-4</v>
      </c>
      <c r="AZ260" t="s">
        <v>75</v>
      </c>
      <c r="BC260">
        <v>3.6000000000000002E-4</v>
      </c>
      <c r="BD260" t="s">
        <v>75</v>
      </c>
      <c r="BE260">
        <v>1E-3</v>
      </c>
      <c r="BF260" t="s">
        <v>75</v>
      </c>
      <c r="BG260">
        <v>7.8640000000000002E-2</v>
      </c>
      <c r="BH260" t="s">
        <v>75</v>
      </c>
      <c r="BI260">
        <v>4.981E-2</v>
      </c>
      <c r="BJ260" t="s">
        <v>75</v>
      </c>
      <c r="BK260">
        <v>5.2949999999999997E-2</v>
      </c>
      <c r="BL260" t="s">
        <v>75</v>
      </c>
      <c r="BM260">
        <v>1.8489999999999999E-2</v>
      </c>
      <c r="BN260" t="s">
        <v>75</v>
      </c>
      <c r="BO260">
        <v>2.2235800000000001</v>
      </c>
      <c r="BP260" t="s">
        <v>75</v>
      </c>
      <c r="BQ260">
        <v>2.1999999999999999E-2</v>
      </c>
      <c r="BR260" t="s">
        <v>75</v>
      </c>
      <c r="BS260">
        <v>0.11353000000000001</v>
      </c>
      <c r="BT260" t="s">
        <v>75</v>
      </c>
      <c r="BU260">
        <v>0.58477000000000001</v>
      </c>
      <c r="BV260" t="s">
        <v>75</v>
      </c>
      <c r="BW260">
        <v>0.50629999999999997</v>
      </c>
      <c r="BX260" t="s">
        <v>75</v>
      </c>
      <c r="BY260">
        <v>1.6769400000000001</v>
      </c>
      <c r="BZ260" t="s">
        <v>75</v>
      </c>
      <c r="CA260">
        <v>9.5820000000000002E-2</v>
      </c>
      <c r="CB260" t="s">
        <v>75</v>
      </c>
      <c r="CC260">
        <v>1.7899999999999999E-3</v>
      </c>
      <c r="CD260" t="s">
        <v>75</v>
      </c>
      <c r="CE260">
        <v>6.4999999999999997E-4</v>
      </c>
      <c r="CF260" t="s">
        <v>75</v>
      </c>
      <c r="CG260">
        <v>8.1140000000000004E-2</v>
      </c>
      <c r="CH260" t="s">
        <v>75</v>
      </c>
      <c r="CI260">
        <v>1.9810000000000001E-2</v>
      </c>
      <c r="CJ260" t="s">
        <v>75</v>
      </c>
      <c r="CK260">
        <v>0.16582</v>
      </c>
      <c r="CL260" t="s">
        <v>75</v>
      </c>
      <c r="CM260">
        <v>1.1299999999999999E-3</v>
      </c>
      <c r="CN260" t="s">
        <v>75</v>
      </c>
      <c r="CO260">
        <v>4.0960000000000003E-2</v>
      </c>
      <c r="CP260" t="s">
        <v>75</v>
      </c>
      <c r="CQ260">
        <v>9.2149999999999996E-2</v>
      </c>
      <c r="CR260" t="s">
        <v>75</v>
      </c>
      <c r="CS260">
        <v>8.4164100000000008</v>
      </c>
      <c r="CT260" t="s">
        <v>75</v>
      </c>
      <c r="CW260">
        <v>9.4570000000000001E-2</v>
      </c>
      <c r="CX260" t="s">
        <v>75</v>
      </c>
      <c r="DA260">
        <v>5.28911</v>
      </c>
      <c r="DB260" t="s">
        <v>75</v>
      </c>
      <c r="DC260">
        <v>1.4149999999999999E-2</v>
      </c>
      <c r="DD260" t="s">
        <v>75</v>
      </c>
      <c r="DE260">
        <v>9.2079999999999995E-2</v>
      </c>
      <c r="DF260" t="s">
        <v>75</v>
      </c>
      <c r="DG260">
        <v>0.14135</v>
      </c>
      <c r="DH260" t="s">
        <v>75</v>
      </c>
      <c r="DI260">
        <v>0.12461</v>
      </c>
      <c r="DJ260" t="s">
        <v>75</v>
      </c>
      <c r="DO260">
        <v>0.26052999999999998</v>
      </c>
      <c r="DP260" t="s">
        <v>75</v>
      </c>
    </row>
    <row r="261" spans="1:121" x14ac:dyDescent="0.2">
      <c r="D261" t="s">
        <v>65</v>
      </c>
      <c r="G261" t="s">
        <v>66</v>
      </c>
      <c r="I261" t="s">
        <v>66</v>
      </c>
      <c r="K261" t="s">
        <v>66</v>
      </c>
      <c r="M261" t="s">
        <v>66</v>
      </c>
      <c r="O261" t="s">
        <v>66</v>
      </c>
      <c r="Q261" t="s">
        <v>66</v>
      </c>
      <c r="S261" t="s">
        <v>66</v>
      </c>
      <c r="U261" t="s">
        <v>66</v>
      </c>
      <c r="W261" t="s">
        <v>66</v>
      </c>
      <c r="Y261" t="s">
        <v>66</v>
      </c>
      <c r="AA261" t="s">
        <v>66</v>
      </c>
      <c r="AC261" t="s">
        <v>66</v>
      </c>
      <c r="AE261" t="s">
        <v>66</v>
      </c>
      <c r="AG261" t="s">
        <v>66</v>
      </c>
      <c r="AI261" t="s">
        <v>66</v>
      </c>
      <c r="AK261" t="s">
        <v>66</v>
      </c>
      <c r="AM261" t="s">
        <v>66</v>
      </c>
      <c r="AO261" t="s">
        <v>66</v>
      </c>
      <c r="AQ261" t="s">
        <v>66</v>
      </c>
      <c r="AS261" t="s">
        <v>66</v>
      </c>
      <c r="AU261" t="s">
        <v>66</v>
      </c>
      <c r="AW261" t="s">
        <v>66</v>
      </c>
      <c r="AY261" t="s">
        <v>66</v>
      </c>
      <c r="BA261" t="s">
        <v>66</v>
      </c>
      <c r="BC261" t="s">
        <v>66</v>
      </c>
      <c r="BE261" t="s">
        <v>66</v>
      </c>
      <c r="BG261" t="s">
        <v>66</v>
      </c>
      <c r="BI261" t="s">
        <v>66</v>
      </c>
      <c r="BK261" t="s">
        <v>66</v>
      </c>
      <c r="BM261" t="s">
        <v>66</v>
      </c>
      <c r="BO261" t="s">
        <v>66</v>
      </c>
      <c r="BQ261" t="s">
        <v>66</v>
      </c>
      <c r="BS261" t="s">
        <v>66</v>
      </c>
      <c r="BU261" t="s">
        <v>66</v>
      </c>
      <c r="BW261" t="s">
        <v>66</v>
      </c>
      <c r="BY261" t="s">
        <v>66</v>
      </c>
      <c r="CA261" t="s">
        <v>66</v>
      </c>
      <c r="CC261" t="s">
        <v>66</v>
      </c>
      <c r="CE261" t="s">
        <v>66</v>
      </c>
      <c r="CG261" t="s">
        <v>66</v>
      </c>
      <c r="CI261" t="s">
        <v>66</v>
      </c>
      <c r="CK261" t="s">
        <v>66</v>
      </c>
      <c r="CM261" t="s">
        <v>66</v>
      </c>
      <c r="CO261" t="s">
        <v>66</v>
      </c>
      <c r="CQ261" t="s">
        <v>66</v>
      </c>
      <c r="CS261" t="s">
        <v>66</v>
      </c>
      <c r="CU261" t="s">
        <v>66</v>
      </c>
      <c r="CW261" t="s">
        <v>66</v>
      </c>
      <c r="CY261" t="s">
        <v>66</v>
      </c>
      <c r="DA261" t="s">
        <v>66</v>
      </c>
      <c r="DC261" t="s">
        <v>66</v>
      </c>
      <c r="DE261" t="s">
        <v>66</v>
      </c>
      <c r="DG261" t="s">
        <v>66</v>
      </c>
      <c r="DI261" t="s">
        <v>66</v>
      </c>
      <c r="DK261" t="s">
        <v>66</v>
      </c>
      <c r="DM261" t="s">
        <v>66</v>
      </c>
      <c r="DO261" t="s">
        <v>66</v>
      </c>
      <c r="DQ261" t="s">
        <v>66</v>
      </c>
    </row>
    <row r="262" spans="1:121" x14ac:dyDescent="0.2">
      <c r="A262" t="s">
        <v>622</v>
      </c>
      <c r="D262" t="s">
        <v>60</v>
      </c>
      <c r="E262" t="s">
        <v>61</v>
      </c>
      <c r="G262">
        <v>24195.3</v>
      </c>
      <c r="I262">
        <v>692</v>
      </c>
      <c r="K262">
        <v>1223983.7</v>
      </c>
      <c r="M262">
        <v>184729.8</v>
      </c>
      <c r="O262">
        <v>1781.5</v>
      </c>
      <c r="Q262">
        <v>14298.7</v>
      </c>
      <c r="S262">
        <v>1871.3</v>
      </c>
      <c r="U262">
        <v>1652.3</v>
      </c>
      <c r="W262">
        <v>90337.1</v>
      </c>
      <c r="Y262">
        <v>32829</v>
      </c>
      <c r="AA262">
        <v>7187984.4000000004</v>
      </c>
      <c r="AC262">
        <v>8184271.2000000002</v>
      </c>
      <c r="AE262">
        <v>37219710.899999999</v>
      </c>
      <c r="AG262">
        <v>87210.4</v>
      </c>
      <c r="AI262">
        <v>203129.8</v>
      </c>
      <c r="AK262">
        <v>19500.599999999999</v>
      </c>
      <c r="AM262">
        <v>5154.3999999999996</v>
      </c>
      <c r="AO262">
        <v>478.2</v>
      </c>
      <c r="AQ262">
        <v>277.10000000000002</v>
      </c>
      <c r="AS262">
        <v>402.1</v>
      </c>
      <c r="AU262">
        <v>258.3</v>
      </c>
      <c r="AW262">
        <v>277.10000000000002</v>
      </c>
      <c r="AY262">
        <v>4362.7</v>
      </c>
      <c r="BA262">
        <v>673298.7</v>
      </c>
      <c r="BC262">
        <v>2832.7</v>
      </c>
      <c r="BE262">
        <v>47455.9</v>
      </c>
      <c r="BG262">
        <v>2178617.2999999998</v>
      </c>
      <c r="BI262">
        <v>1840648.7</v>
      </c>
      <c r="BK262">
        <v>4099561.1</v>
      </c>
      <c r="BM262">
        <v>1177301.5</v>
      </c>
      <c r="BO262">
        <v>13957800.800000001</v>
      </c>
      <c r="BQ262">
        <v>104691.5</v>
      </c>
      <c r="BS262">
        <v>186667.1</v>
      </c>
      <c r="BU262">
        <v>2934471.7</v>
      </c>
      <c r="BW262">
        <v>181522</v>
      </c>
      <c r="BY262">
        <v>1116425.5</v>
      </c>
      <c r="CA262">
        <v>50069.599999999999</v>
      </c>
      <c r="CC262">
        <v>833.7</v>
      </c>
      <c r="CE262">
        <v>494.5</v>
      </c>
      <c r="CG262">
        <v>14427</v>
      </c>
      <c r="CI262">
        <v>58855.6</v>
      </c>
      <c r="CK262">
        <v>787606.4</v>
      </c>
      <c r="CM262">
        <v>15132</v>
      </c>
      <c r="CO262">
        <v>10799.6</v>
      </c>
      <c r="CQ262">
        <v>227594.7</v>
      </c>
      <c r="CS262">
        <v>5314199.8</v>
      </c>
      <c r="CU262">
        <v>746391.3</v>
      </c>
      <c r="CW262">
        <v>926427</v>
      </c>
      <c r="CY262">
        <v>61311.9</v>
      </c>
      <c r="DA262">
        <v>7025881.4000000004</v>
      </c>
      <c r="DC262">
        <v>282.3</v>
      </c>
      <c r="DE262">
        <v>806814</v>
      </c>
      <c r="DG262">
        <v>565.4</v>
      </c>
      <c r="DI262">
        <v>2787.8</v>
      </c>
      <c r="DK262">
        <v>843</v>
      </c>
      <c r="DM262">
        <v>200992.9</v>
      </c>
      <c r="DO262">
        <v>227231.4</v>
      </c>
      <c r="DQ262">
        <v>16555.7</v>
      </c>
    </row>
    <row r="263" spans="1:121" x14ac:dyDescent="0.2">
      <c r="D263" t="s">
        <v>62</v>
      </c>
      <c r="E263" t="s">
        <v>61</v>
      </c>
      <c r="G263">
        <v>434.6</v>
      </c>
      <c r="I263">
        <v>104.5</v>
      </c>
      <c r="K263">
        <v>8012</v>
      </c>
      <c r="M263">
        <v>460.6</v>
      </c>
      <c r="O263">
        <v>73.400000000000006</v>
      </c>
      <c r="Q263">
        <v>31.7</v>
      </c>
      <c r="S263">
        <v>64.3</v>
      </c>
      <c r="U263">
        <v>107.2</v>
      </c>
      <c r="W263">
        <v>206.2</v>
      </c>
      <c r="Y263">
        <v>455.6</v>
      </c>
      <c r="AA263">
        <v>35026.699999999997</v>
      </c>
      <c r="AC263">
        <v>46921.3</v>
      </c>
      <c r="AE263">
        <v>185490</v>
      </c>
      <c r="AG263">
        <v>657.7</v>
      </c>
      <c r="AI263">
        <v>2922.7</v>
      </c>
      <c r="AK263">
        <v>352.4</v>
      </c>
      <c r="AM263">
        <v>278.3</v>
      </c>
      <c r="AO263">
        <v>87.2</v>
      </c>
      <c r="AQ263">
        <v>29.5</v>
      </c>
      <c r="AS263">
        <v>29</v>
      </c>
      <c r="AU263">
        <v>62.5</v>
      </c>
      <c r="AW263">
        <v>42.2</v>
      </c>
      <c r="AY263">
        <v>165.3</v>
      </c>
      <c r="BA263">
        <v>5740.8</v>
      </c>
      <c r="BC263">
        <v>73.5</v>
      </c>
      <c r="BE263">
        <v>386.7</v>
      </c>
      <c r="BG263">
        <v>33454.1</v>
      </c>
      <c r="BI263">
        <v>12531.4</v>
      </c>
      <c r="BK263">
        <v>24010.2</v>
      </c>
      <c r="BM263">
        <v>10787.6</v>
      </c>
      <c r="BO263">
        <v>51388.3</v>
      </c>
      <c r="BQ263">
        <v>159.69999999999999</v>
      </c>
      <c r="BS263">
        <v>4150.8</v>
      </c>
      <c r="BU263">
        <v>36602</v>
      </c>
      <c r="BW263">
        <v>2611.5</v>
      </c>
      <c r="BY263">
        <v>1504.9</v>
      </c>
      <c r="CA263">
        <v>550.9</v>
      </c>
      <c r="CC263">
        <v>36.4</v>
      </c>
      <c r="CE263">
        <v>34.700000000000003</v>
      </c>
      <c r="CG263">
        <v>211.5</v>
      </c>
      <c r="CI263">
        <v>1433</v>
      </c>
      <c r="CK263">
        <v>23435.5</v>
      </c>
      <c r="CM263">
        <v>590.4</v>
      </c>
      <c r="CO263">
        <v>316.3</v>
      </c>
      <c r="CQ263">
        <v>9144.7999999999993</v>
      </c>
      <c r="CS263">
        <v>205012.5</v>
      </c>
      <c r="CU263">
        <v>4649.2</v>
      </c>
      <c r="CW263">
        <v>46479.9</v>
      </c>
      <c r="CY263">
        <v>2379</v>
      </c>
      <c r="DA263">
        <v>49107.199999999997</v>
      </c>
      <c r="DC263">
        <v>37.5</v>
      </c>
      <c r="DE263">
        <v>10037.1</v>
      </c>
      <c r="DG263">
        <v>49.4</v>
      </c>
      <c r="DI263">
        <v>91.7</v>
      </c>
      <c r="DK263">
        <v>27.9</v>
      </c>
      <c r="DM263">
        <v>1899.8</v>
      </c>
      <c r="DO263">
        <v>3688.3</v>
      </c>
      <c r="DQ263">
        <v>299.7</v>
      </c>
    </row>
    <row r="264" spans="1:121" x14ac:dyDescent="0.2">
      <c r="D264" t="s">
        <v>63</v>
      </c>
      <c r="G264">
        <v>0.15916</v>
      </c>
      <c r="H264" t="s">
        <v>75</v>
      </c>
      <c r="I264">
        <v>1.1679999999999999E-2</v>
      </c>
      <c r="J264" t="s">
        <v>75</v>
      </c>
      <c r="K264">
        <v>1.56396</v>
      </c>
      <c r="L264" t="s">
        <v>75</v>
      </c>
      <c r="M264">
        <v>0.15476000000000001</v>
      </c>
      <c r="N264" t="s">
        <v>75</v>
      </c>
      <c r="O264">
        <v>4.4299999999999999E-3</v>
      </c>
      <c r="P264" t="s">
        <v>75</v>
      </c>
      <c r="Q264">
        <v>0.11396000000000001</v>
      </c>
      <c r="R264" t="s">
        <v>75</v>
      </c>
      <c r="S264">
        <v>9.6000000000000002E-4</v>
      </c>
      <c r="T264" t="s">
        <v>75</v>
      </c>
      <c r="U264">
        <v>1.2529999999999999E-2</v>
      </c>
      <c r="V264" t="s">
        <v>75</v>
      </c>
      <c r="W264">
        <v>0.19647999999999999</v>
      </c>
      <c r="X264" t="s">
        <v>75</v>
      </c>
      <c r="Y264">
        <v>0.49081999999999998</v>
      </c>
      <c r="Z264" t="s">
        <v>75</v>
      </c>
      <c r="AB264" t="s">
        <v>76</v>
      </c>
      <c r="AC264">
        <v>29.357330000000001</v>
      </c>
      <c r="AD264" t="s">
        <v>75</v>
      </c>
      <c r="AE264">
        <v>140.40181999999999</v>
      </c>
      <c r="AF264" t="s">
        <v>75</v>
      </c>
      <c r="AG264">
        <v>5.2580000000000002E-2</v>
      </c>
      <c r="AH264" t="s">
        <v>75</v>
      </c>
      <c r="AI264">
        <v>1.29284</v>
      </c>
      <c r="AJ264" t="s">
        <v>75</v>
      </c>
      <c r="AK264">
        <v>1.133E-2</v>
      </c>
      <c r="AL264" t="s">
        <v>75</v>
      </c>
      <c r="AM264">
        <v>-1.7899999999999999E-3</v>
      </c>
      <c r="AN264" t="s">
        <v>75</v>
      </c>
      <c r="AO264">
        <v>3.1900000000000001E-3</v>
      </c>
      <c r="AP264" t="s">
        <v>75</v>
      </c>
      <c r="AQ264">
        <v>2.4000000000000001E-4</v>
      </c>
      <c r="AR264" t="s">
        <v>75</v>
      </c>
      <c r="AS264">
        <v>7.6000000000000004E-4</v>
      </c>
      <c r="AT264" t="s">
        <v>75</v>
      </c>
      <c r="AU264">
        <v>1.5200000000000001E-3</v>
      </c>
      <c r="AV264" t="s">
        <v>75</v>
      </c>
      <c r="AW264">
        <v>-1.2999999999999999E-4</v>
      </c>
      <c r="AX264" t="s">
        <v>75</v>
      </c>
      <c r="AY264">
        <v>3.81E-3</v>
      </c>
      <c r="AZ264" t="s">
        <v>75</v>
      </c>
      <c r="BC264">
        <v>-2.0513699999999999</v>
      </c>
      <c r="BD264" t="s">
        <v>75</v>
      </c>
      <c r="BE264">
        <v>4.82E-2</v>
      </c>
      <c r="BF264" t="s">
        <v>75</v>
      </c>
      <c r="BG264">
        <v>6.2681199999999997</v>
      </c>
      <c r="BH264" t="s">
        <v>75</v>
      </c>
      <c r="BI264">
        <v>6.10982</v>
      </c>
      <c r="BJ264" t="s">
        <v>75</v>
      </c>
      <c r="BK264">
        <v>5.9684900000000001</v>
      </c>
      <c r="BL264" t="s">
        <v>75</v>
      </c>
      <c r="BM264">
        <v>1.1041799999999999</v>
      </c>
      <c r="BN264" t="s">
        <v>75</v>
      </c>
      <c r="BO264">
        <v>298.25331</v>
      </c>
      <c r="BP264" t="s">
        <v>75</v>
      </c>
      <c r="BQ264">
        <v>3.0291199999999998</v>
      </c>
      <c r="BR264" t="s">
        <v>75</v>
      </c>
      <c r="BS264">
        <v>3.6127899999999999</v>
      </c>
      <c r="BT264" t="s">
        <v>75</v>
      </c>
      <c r="BU264">
        <v>97.683480000000003</v>
      </c>
      <c r="BV264" t="s">
        <v>75</v>
      </c>
      <c r="BW264">
        <v>74.760499999999993</v>
      </c>
      <c r="BX264" t="s">
        <v>75</v>
      </c>
      <c r="BY264">
        <v>297.15537999999998</v>
      </c>
      <c r="BZ264" t="s">
        <v>75</v>
      </c>
      <c r="CA264">
        <v>22.514959999999999</v>
      </c>
      <c r="CB264" t="s">
        <v>75</v>
      </c>
      <c r="CC264">
        <v>0.15901000000000001</v>
      </c>
      <c r="CD264" t="s">
        <v>75</v>
      </c>
      <c r="CE264">
        <v>5.5199999999999997E-3</v>
      </c>
      <c r="CF264" t="s">
        <v>75</v>
      </c>
      <c r="CG264">
        <v>0.22201000000000001</v>
      </c>
      <c r="CH264" t="s">
        <v>75</v>
      </c>
      <c r="CI264">
        <v>0.71916999999999998</v>
      </c>
      <c r="CJ264" t="s">
        <v>75</v>
      </c>
      <c r="CK264">
        <v>10.53313</v>
      </c>
      <c r="CL264" t="s">
        <v>75</v>
      </c>
      <c r="CM264">
        <v>0.20238</v>
      </c>
      <c r="CN264" t="s">
        <v>75</v>
      </c>
      <c r="CO264">
        <v>0.60507999999999995</v>
      </c>
      <c r="CP264" t="s">
        <v>75</v>
      </c>
      <c r="CQ264">
        <v>6.6807999999999996</v>
      </c>
      <c r="CR264" t="s">
        <v>75</v>
      </c>
      <c r="CS264">
        <v>1354.3766499999999</v>
      </c>
      <c r="CT264" t="s">
        <v>75</v>
      </c>
      <c r="CV264" t="s">
        <v>76</v>
      </c>
      <c r="CW264">
        <v>33.4925</v>
      </c>
      <c r="CX264" t="s">
        <v>75</v>
      </c>
      <c r="DA264">
        <v>412.34557999999998</v>
      </c>
      <c r="DB264" t="s">
        <v>75</v>
      </c>
      <c r="DC264">
        <v>0.12137000000000001</v>
      </c>
      <c r="DD264" t="s">
        <v>75</v>
      </c>
      <c r="DE264">
        <v>359.64618999999999</v>
      </c>
      <c r="DF264" t="s">
        <v>75</v>
      </c>
      <c r="DG264">
        <v>2.86449</v>
      </c>
      <c r="DH264" t="s">
        <v>75</v>
      </c>
      <c r="DI264">
        <v>4.3844200000000004</v>
      </c>
      <c r="DJ264" t="s">
        <v>75</v>
      </c>
      <c r="DL264" t="s">
        <v>76</v>
      </c>
      <c r="DN264" t="s">
        <v>76</v>
      </c>
      <c r="DO264">
        <v>33.096580000000003</v>
      </c>
      <c r="DP264" t="s">
        <v>75</v>
      </c>
    </row>
    <row r="265" spans="1:121" x14ac:dyDescent="0.2">
      <c r="D265" t="s">
        <v>64</v>
      </c>
      <c r="G265">
        <v>4.1599999999999996E-3</v>
      </c>
      <c r="H265" t="s">
        <v>75</v>
      </c>
      <c r="I265">
        <v>3.5699999999999998E-3</v>
      </c>
      <c r="J265" t="s">
        <v>75</v>
      </c>
      <c r="K265">
        <v>1.108E-2</v>
      </c>
      <c r="L265" t="s">
        <v>75</v>
      </c>
      <c r="M265">
        <v>1.9599999999999999E-3</v>
      </c>
      <c r="N265" t="s">
        <v>75</v>
      </c>
      <c r="O265">
        <v>6.0000000000000002E-5</v>
      </c>
      <c r="P265" t="s">
        <v>75</v>
      </c>
      <c r="Q265">
        <v>6.4000000000000005E-4</v>
      </c>
      <c r="R265" t="s">
        <v>75</v>
      </c>
      <c r="S265">
        <v>6.0000000000000002E-5</v>
      </c>
      <c r="T265" t="s">
        <v>75</v>
      </c>
      <c r="U265">
        <v>3.8999999999999999E-4</v>
      </c>
      <c r="V265" t="s">
        <v>75</v>
      </c>
      <c r="W265">
        <v>1.6199999999999999E-3</v>
      </c>
      <c r="X265" t="s">
        <v>75</v>
      </c>
      <c r="Y265">
        <v>8.0400000000000003E-3</v>
      </c>
      <c r="Z265" t="s">
        <v>75</v>
      </c>
      <c r="AC265">
        <v>0.30792999999999998</v>
      </c>
      <c r="AD265" t="s">
        <v>75</v>
      </c>
      <c r="AE265">
        <v>1.88483</v>
      </c>
      <c r="AF265" t="s">
        <v>75</v>
      </c>
      <c r="AG265">
        <v>9.5E-4</v>
      </c>
      <c r="AH265" t="s">
        <v>75</v>
      </c>
      <c r="AI265">
        <v>2.9440000000000001E-2</v>
      </c>
      <c r="AJ265" t="s">
        <v>75</v>
      </c>
      <c r="AK265">
        <v>3.6000000000000002E-4</v>
      </c>
      <c r="AL265" t="s">
        <v>75</v>
      </c>
      <c r="AM265">
        <v>2.3000000000000001E-4</v>
      </c>
      <c r="AN265" t="s">
        <v>75</v>
      </c>
      <c r="AO265">
        <v>3.3E-4</v>
      </c>
      <c r="AP265" t="s">
        <v>75</v>
      </c>
      <c r="AQ265">
        <v>1.2E-4</v>
      </c>
      <c r="AR265" t="s">
        <v>75</v>
      </c>
      <c r="AS265">
        <v>1.3999999999999999E-4</v>
      </c>
      <c r="AT265" t="s">
        <v>75</v>
      </c>
      <c r="AU265">
        <v>4.0000000000000003E-5</v>
      </c>
      <c r="AV265" t="s">
        <v>75</v>
      </c>
      <c r="AW265">
        <v>1E-4</v>
      </c>
      <c r="AX265" t="s">
        <v>75</v>
      </c>
      <c r="AY265">
        <v>5.8E-4</v>
      </c>
      <c r="AZ265" t="s">
        <v>75</v>
      </c>
      <c r="BC265">
        <v>2.7E-4</v>
      </c>
      <c r="BD265" t="s">
        <v>75</v>
      </c>
      <c r="BE265">
        <v>6.6E-4</v>
      </c>
      <c r="BF265" t="s">
        <v>75</v>
      </c>
      <c r="BG265">
        <v>0.11004</v>
      </c>
      <c r="BH265" t="s">
        <v>75</v>
      </c>
      <c r="BI265">
        <v>7.5679999999999997E-2</v>
      </c>
      <c r="BJ265" t="s">
        <v>75</v>
      </c>
      <c r="BK265">
        <v>7.739E-2</v>
      </c>
      <c r="BL265" t="s">
        <v>75</v>
      </c>
      <c r="BM265">
        <v>1.9720000000000001E-2</v>
      </c>
      <c r="BN265" t="s">
        <v>75</v>
      </c>
      <c r="BO265">
        <v>12.13311</v>
      </c>
      <c r="BP265" t="s">
        <v>75</v>
      </c>
      <c r="BQ265">
        <v>0.12604000000000001</v>
      </c>
      <c r="BR265" t="s">
        <v>75</v>
      </c>
      <c r="BS265">
        <v>0.18407000000000001</v>
      </c>
      <c r="BT265" t="s">
        <v>75</v>
      </c>
      <c r="BU265">
        <v>5.2190700000000003</v>
      </c>
      <c r="BV265" t="s">
        <v>75</v>
      </c>
      <c r="BW265">
        <v>3.3576299999999999</v>
      </c>
      <c r="BX265" t="s">
        <v>75</v>
      </c>
      <c r="BY265">
        <v>11.21561</v>
      </c>
      <c r="BZ265" t="s">
        <v>75</v>
      </c>
      <c r="CA265">
        <v>1.2656400000000001</v>
      </c>
      <c r="CB265" t="s">
        <v>75</v>
      </c>
      <c r="CC265">
        <v>1.2359999999999999E-2</v>
      </c>
      <c r="CD265" t="s">
        <v>75</v>
      </c>
      <c r="CE265">
        <v>4.8000000000000001E-4</v>
      </c>
      <c r="CF265" t="s">
        <v>75</v>
      </c>
      <c r="CG265">
        <v>1.0290000000000001E-2</v>
      </c>
      <c r="CH265" t="s">
        <v>75</v>
      </c>
      <c r="CI265">
        <v>4.4929999999999998E-2</v>
      </c>
      <c r="CJ265" t="s">
        <v>75</v>
      </c>
      <c r="CK265">
        <v>0.71499999999999997</v>
      </c>
      <c r="CL265" t="s">
        <v>75</v>
      </c>
      <c r="CM265">
        <v>1.558E-2</v>
      </c>
      <c r="CN265" t="s">
        <v>75</v>
      </c>
      <c r="CO265">
        <v>3.6670000000000001E-2</v>
      </c>
      <c r="CP265" t="s">
        <v>75</v>
      </c>
      <c r="CQ265">
        <v>0.51576999999999995</v>
      </c>
      <c r="CR265" t="s">
        <v>75</v>
      </c>
      <c r="CS265">
        <v>101.28834000000001</v>
      </c>
      <c r="CT265" t="s">
        <v>75</v>
      </c>
      <c r="CW265">
        <v>2.8925100000000001</v>
      </c>
      <c r="CX265" t="s">
        <v>75</v>
      </c>
      <c r="DA265">
        <v>10.058479999999999</v>
      </c>
      <c r="DB265" t="s">
        <v>75</v>
      </c>
      <c r="DC265">
        <v>1.8339999999999999E-2</v>
      </c>
      <c r="DD265" t="s">
        <v>75</v>
      </c>
      <c r="DE265">
        <v>8.85886</v>
      </c>
      <c r="DF265" t="s">
        <v>75</v>
      </c>
      <c r="DG265">
        <v>0.20305000000000001</v>
      </c>
      <c r="DH265" t="s">
        <v>75</v>
      </c>
      <c r="DI265">
        <v>0.17977000000000001</v>
      </c>
      <c r="DJ265" t="s">
        <v>75</v>
      </c>
      <c r="DO265">
        <v>0.10194</v>
      </c>
      <c r="DP265" t="s">
        <v>75</v>
      </c>
    </row>
    <row r="266" spans="1:121" x14ac:dyDescent="0.2">
      <c r="D266" t="s">
        <v>65</v>
      </c>
      <c r="G266" t="s">
        <v>66</v>
      </c>
      <c r="I266" t="s">
        <v>66</v>
      </c>
      <c r="K266" t="s">
        <v>66</v>
      </c>
      <c r="M266" t="s">
        <v>66</v>
      </c>
      <c r="O266" t="s">
        <v>66</v>
      </c>
      <c r="Q266" t="s">
        <v>66</v>
      </c>
      <c r="S266" t="s">
        <v>66</v>
      </c>
      <c r="U266" t="s">
        <v>66</v>
      </c>
      <c r="W266" t="s">
        <v>66</v>
      </c>
      <c r="Y266" t="s">
        <v>66</v>
      </c>
      <c r="AA266" t="s">
        <v>66</v>
      </c>
      <c r="AC266" t="s">
        <v>66</v>
      </c>
      <c r="AE266" t="s">
        <v>66</v>
      </c>
      <c r="AG266" t="s">
        <v>66</v>
      </c>
      <c r="AI266" t="s">
        <v>66</v>
      </c>
      <c r="AK266" t="s">
        <v>66</v>
      </c>
      <c r="AM266" t="s">
        <v>66</v>
      </c>
      <c r="AO266" t="s">
        <v>66</v>
      </c>
      <c r="AQ266" t="s">
        <v>66</v>
      </c>
      <c r="AS266" t="s">
        <v>66</v>
      </c>
      <c r="AU266" t="s">
        <v>66</v>
      </c>
      <c r="AW266" t="s">
        <v>66</v>
      </c>
      <c r="AY266" t="s">
        <v>66</v>
      </c>
      <c r="BA266" t="s">
        <v>66</v>
      </c>
      <c r="BC266" t="s">
        <v>66</v>
      </c>
      <c r="BE266" t="s">
        <v>66</v>
      </c>
      <c r="BG266" t="s">
        <v>66</v>
      </c>
      <c r="BI266" t="s">
        <v>66</v>
      </c>
      <c r="BK266" t="s">
        <v>66</v>
      </c>
      <c r="BM266" t="s">
        <v>66</v>
      </c>
      <c r="BO266" t="s">
        <v>66</v>
      </c>
      <c r="BQ266" t="s">
        <v>66</v>
      </c>
      <c r="BS266" t="s">
        <v>66</v>
      </c>
      <c r="BU266" t="s">
        <v>66</v>
      </c>
      <c r="BW266" t="s">
        <v>66</v>
      </c>
      <c r="BY266" t="s">
        <v>66</v>
      </c>
      <c r="CA266" t="s">
        <v>66</v>
      </c>
      <c r="CC266" t="s">
        <v>66</v>
      </c>
      <c r="CE266" t="s">
        <v>66</v>
      </c>
      <c r="CG266" t="s">
        <v>66</v>
      </c>
      <c r="CI266" t="s">
        <v>66</v>
      </c>
      <c r="CK266" t="s">
        <v>66</v>
      </c>
      <c r="CM266" t="s">
        <v>66</v>
      </c>
      <c r="CO266" t="s">
        <v>66</v>
      </c>
      <c r="CQ266" t="s">
        <v>66</v>
      </c>
      <c r="CS266" t="s">
        <v>66</v>
      </c>
      <c r="CU266" t="s">
        <v>66</v>
      </c>
      <c r="CW266" t="s">
        <v>66</v>
      </c>
      <c r="CY266" t="s">
        <v>66</v>
      </c>
      <c r="DA266" t="s">
        <v>66</v>
      </c>
      <c r="DC266" t="s">
        <v>66</v>
      </c>
      <c r="DE266" t="s">
        <v>66</v>
      </c>
      <c r="DG266" t="s">
        <v>66</v>
      </c>
      <c r="DI266" t="s">
        <v>66</v>
      </c>
      <c r="DK266" t="s">
        <v>66</v>
      </c>
      <c r="DM266" t="s">
        <v>66</v>
      </c>
      <c r="DO266" t="s">
        <v>66</v>
      </c>
      <c r="DQ266" t="s">
        <v>66</v>
      </c>
    </row>
    <row r="267" spans="1:121" x14ac:dyDescent="0.2">
      <c r="A267" t="s">
        <v>623</v>
      </c>
      <c r="D267" t="s">
        <v>60</v>
      </c>
      <c r="E267" t="s">
        <v>61</v>
      </c>
      <c r="G267">
        <v>33238.5</v>
      </c>
      <c r="I267">
        <v>775.4</v>
      </c>
      <c r="K267">
        <v>1844288.3</v>
      </c>
      <c r="M267">
        <v>110493.3</v>
      </c>
      <c r="O267">
        <v>1451</v>
      </c>
      <c r="Q267">
        <v>18050.599999999999</v>
      </c>
      <c r="S267">
        <v>1948.4</v>
      </c>
      <c r="U267">
        <v>1627.3</v>
      </c>
      <c r="W267">
        <v>48731</v>
      </c>
      <c r="Y267">
        <v>50280.1</v>
      </c>
      <c r="AA267">
        <v>10082550.699999999</v>
      </c>
      <c r="AC267">
        <v>12123557.4</v>
      </c>
      <c r="AE267">
        <v>57340308.200000003</v>
      </c>
      <c r="AG267">
        <v>127074.3</v>
      </c>
      <c r="AI267">
        <v>221846.3</v>
      </c>
      <c r="AK267">
        <v>26280.799999999999</v>
      </c>
      <c r="AM267">
        <v>2522</v>
      </c>
      <c r="AO267">
        <v>342.7</v>
      </c>
      <c r="AQ267">
        <v>359.5</v>
      </c>
      <c r="AS267">
        <v>353.2</v>
      </c>
      <c r="AU267">
        <v>217.7</v>
      </c>
      <c r="AW267">
        <v>303.10000000000002</v>
      </c>
      <c r="AY267">
        <v>27336</v>
      </c>
      <c r="BA267">
        <v>665859.4</v>
      </c>
      <c r="BC267">
        <v>2825.5</v>
      </c>
      <c r="BE267">
        <v>49597.4</v>
      </c>
      <c r="BG267">
        <v>3395778.7</v>
      </c>
      <c r="BI267">
        <v>2875776.3</v>
      </c>
      <c r="BK267">
        <v>6198659</v>
      </c>
      <c r="BM267">
        <v>1749821</v>
      </c>
      <c r="BO267">
        <v>20062077.800000001</v>
      </c>
      <c r="BQ267">
        <v>73089.8</v>
      </c>
      <c r="BS267">
        <v>100934</v>
      </c>
      <c r="BU267">
        <v>4283906.5999999996</v>
      </c>
      <c r="BW267">
        <v>174698.9</v>
      </c>
      <c r="BY267">
        <v>1626743.4</v>
      </c>
      <c r="CA267">
        <v>48461.4</v>
      </c>
      <c r="CC267">
        <v>398.2</v>
      </c>
      <c r="CE267">
        <v>393.6</v>
      </c>
      <c r="CG267">
        <v>9624.6</v>
      </c>
      <c r="CI267">
        <v>90047.5</v>
      </c>
      <c r="CK267">
        <v>807242.2</v>
      </c>
      <c r="CM267">
        <v>23954.1</v>
      </c>
      <c r="CO267">
        <v>31737.9</v>
      </c>
      <c r="CQ267">
        <v>295682.7</v>
      </c>
      <c r="CS267">
        <v>8292388.0999999996</v>
      </c>
      <c r="CU267">
        <v>1025393.5</v>
      </c>
      <c r="CW267">
        <v>1387233.5</v>
      </c>
      <c r="CY267">
        <v>58819.3</v>
      </c>
      <c r="DA267">
        <v>10402733.300000001</v>
      </c>
      <c r="DC267">
        <v>484.7</v>
      </c>
      <c r="DE267">
        <v>794882.5</v>
      </c>
      <c r="DG267">
        <v>737.9</v>
      </c>
      <c r="DI267">
        <v>2953.3</v>
      </c>
      <c r="DK267">
        <v>871.4</v>
      </c>
      <c r="DM267">
        <v>283409.40000000002</v>
      </c>
      <c r="DO267">
        <v>336740.2</v>
      </c>
      <c r="DQ267">
        <v>16200.3</v>
      </c>
    </row>
    <row r="268" spans="1:121" x14ac:dyDescent="0.2">
      <c r="D268" t="s">
        <v>62</v>
      </c>
      <c r="E268" t="s">
        <v>61</v>
      </c>
      <c r="G268">
        <v>597</v>
      </c>
      <c r="I268">
        <v>22.1</v>
      </c>
      <c r="K268">
        <v>7053.5</v>
      </c>
      <c r="M268">
        <v>922.1</v>
      </c>
      <c r="O268">
        <v>79</v>
      </c>
      <c r="Q268">
        <v>481</v>
      </c>
      <c r="S268">
        <v>61</v>
      </c>
      <c r="U268">
        <v>128.9</v>
      </c>
      <c r="W268">
        <v>717.8</v>
      </c>
      <c r="Y268">
        <v>252.5</v>
      </c>
      <c r="AA268">
        <v>86916.7</v>
      </c>
      <c r="AC268">
        <v>29182.2</v>
      </c>
      <c r="AE268">
        <v>102956.3</v>
      </c>
      <c r="AG268">
        <v>641.20000000000005</v>
      </c>
      <c r="AI268">
        <v>1630.4</v>
      </c>
      <c r="AK268">
        <v>260.60000000000002</v>
      </c>
      <c r="AM268">
        <v>35.1</v>
      </c>
      <c r="AO268">
        <v>62.9</v>
      </c>
      <c r="AQ268">
        <v>65</v>
      </c>
      <c r="AS268">
        <v>28.7</v>
      </c>
      <c r="AU268">
        <v>14.8</v>
      </c>
      <c r="AW268">
        <v>21.7</v>
      </c>
      <c r="AY268">
        <v>361.5</v>
      </c>
      <c r="BA268">
        <v>10463.6</v>
      </c>
      <c r="BC268">
        <v>120.3</v>
      </c>
      <c r="BE268">
        <v>415.1</v>
      </c>
      <c r="BG268">
        <v>69966.2</v>
      </c>
      <c r="BI268">
        <v>83153.899999999994</v>
      </c>
      <c r="BK268">
        <v>106948.6</v>
      </c>
      <c r="BM268">
        <v>25970.1</v>
      </c>
      <c r="BO268">
        <v>139374.70000000001</v>
      </c>
      <c r="BQ268">
        <v>538.4</v>
      </c>
      <c r="BS268">
        <v>1539.4</v>
      </c>
      <c r="BU268">
        <v>29829.4</v>
      </c>
      <c r="BW268">
        <v>713.1</v>
      </c>
      <c r="BY268">
        <v>5029.8999999999996</v>
      </c>
      <c r="CA268">
        <v>493.7</v>
      </c>
      <c r="CC268">
        <v>9.8000000000000007</v>
      </c>
      <c r="CE268">
        <v>12.6</v>
      </c>
      <c r="CG268">
        <v>41.3</v>
      </c>
      <c r="CI268">
        <v>1024.5</v>
      </c>
      <c r="CK268">
        <v>10017.5</v>
      </c>
      <c r="CM268">
        <v>337.3</v>
      </c>
      <c r="CO268">
        <v>111</v>
      </c>
      <c r="CQ268">
        <v>3109</v>
      </c>
      <c r="CS268">
        <v>90188.1</v>
      </c>
      <c r="CU268">
        <v>9899.1</v>
      </c>
      <c r="CW268">
        <v>19616.900000000001</v>
      </c>
      <c r="CY268">
        <v>629.5</v>
      </c>
      <c r="DA268">
        <v>133898.70000000001</v>
      </c>
      <c r="DC268">
        <v>70.5</v>
      </c>
      <c r="DE268">
        <v>9463.9</v>
      </c>
      <c r="DG268">
        <v>66.400000000000006</v>
      </c>
      <c r="DI268">
        <v>122.2</v>
      </c>
      <c r="DK268">
        <v>73.900000000000006</v>
      </c>
      <c r="DM268">
        <v>6927.3</v>
      </c>
      <c r="DO268">
        <v>3325.2</v>
      </c>
      <c r="DQ268">
        <v>135.69999999999999</v>
      </c>
    </row>
    <row r="269" spans="1:121" x14ac:dyDescent="0.2">
      <c r="D269" t="s">
        <v>63</v>
      </c>
      <c r="G269">
        <v>0.23444999999999999</v>
      </c>
      <c r="H269" t="s">
        <v>75</v>
      </c>
      <c r="I269">
        <v>1.4930000000000001E-2</v>
      </c>
      <c r="J269" t="s">
        <v>75</v>
      </c>
      <c r="K269">
        <v>2.38504</v>
      </c>
      <c r="L269" t="s">
        <v>75</v>
      </c>
      <c r="M269">
        <v>8.0089999999999995E-2</v>
      </c>
      <c r="N269" t="s">
        <v>75</v>
      </c>
      <c r="O269">
        <v>4.1599999999999996E-3</v>
      </c>
      <c r="P269" t="s">
        <v>75</v>
      </c>
      <c r="Q269">
        <v>0.13966999999999999</v>
      </c>
      <c r="R269" t="s">
        <v>75</v>
      </c>
      <c r="S269">
        <v>1.0399999999999999E-3</v>
      </c>
      <c r="T269" t="s">
        <v>75</v>
      </c>
      <c r="U269">
        <v>1.251E-2</v>
      </c>
      <c r="V269" t="s">
        <v>75</v>
      </c>
      <c r="W269">
        <v>0.10881</v>
      </c>
      <c r="X269" t="s">
        <v>75</v>
      </c>
      <c r="Y269">
        <v>0.76026000000000005</v>
      </c>
      <c r="Z269" t="s">
        <v>75</v>
      </c>
      <c r="AB269" t="s">
        <v>76</v>
      </c>
      <c r="AC269">
        <v>43.957120000000003</v>
      </c>
      <c r="AD269" t="s">
        <v>75</v>
      </c>
      <c r="AE269">
        <v>218.71601000000001</v>
      </c>
      <c r="AF269" t="s">
        <v>75</v>
      </c>
      <c r="AG269">
        <v>8.523E-2</v>
      </c>
      <c r="AH269" t="s">
        <v>75</v>
      </c>
      <c r="AI269">
        <v>1.4276800000000001</v>
      </c>
      <c r="AJ269" t="s">
        <v>75</v>
      </c>
      <c r="AK269">
        <v>1.6219999999999998E-2</v>
      </c>
      <c r="AL269" t="s">
        <v>75</v>
      </c>
      <c r="AM269">
        <v>-3.7599999999999999E-3</v>
      </c>
      <c r="AN269" t="s">
        <v>75</v>
      </c>
      <c r="AO269">
        <v>2.7000000000000001E-3</v>
      </c>
      <c r="AP269" t="s">
        <v>75</v>
      </c>
      <c r="AQ269">
        <v>6.0999999999999997E-4</v>
      </c>
      <c r="AR269" t="s">
        <v>75</v>
      </c>
      <c r="AS269">
        <v>5.5999999999999995E-4</v>
      </c>
      <c r="AT269" t="s">
        <v>75</v>
      </c>
      <c r="AU269">
        <v>1.5E-3</v>
      </c>
      <c r="AV269" t="s">
        <v>75</v>
      </c>
      <c r="AW269">
        <v>-5.0000000000000002E-5</v>
      </c>
      <c r="AX269" t="s">
        <v>75</v>
      </c>
      <c r="AY269">
        <v>7.9460000000000003E-2</v>
      </c>
      <c r="AZ269" t="s">
        <v>75</v>
      </c>
      <c r="BC269">
        <v>-2.0512999999999999</v>
      </c>
      <c r="BD269" t="s">
        <v>75</v>
      </c>
      <c r="BE269">
        <v>5.0799999999999998E-2</v>
      </c>
      <c r="BF269" t="s">
        <v>75</v>
      </c>
      <c r="BG269">
        <v>9.9048800000000004</v>
      </c>
      <c r="BH269" t="s">
        <v>75</v>
      </c>
      <c r="BI269">
        <v>9.6657899999999994</v>
      </c>
      <c r="BJ269" t="s">
        <v>75</v>
      </c>
      <c r="BK269">
        <v>9.2993199999999998</v>
      </c>
      <c r="BL269" t="s">
        <v>75</v>
      </c>
      <c r="BM269">
        <v>1.6648099999999999</v>
      </c>
      <c r="BN269" t="s">
        <v>75</v>
      </c>
      <c r="BO269">
        <v>447.30685</v>
      </c>
      <c r="BP269" t="s">
        <v>75</v>
      </c>
      <c r="BQ269">
        <v>2.0879500000000002</v>
      </c>
      <c r="BR269" t="s">
        <v>75</v>
      </c>
      <c r="BS269">
        <v>1.83369</v>
      </c>
      <c r="BT269" t="s">
        <v>75</v>
      </c>
      <c r="BU269">
        <v>159.15243000000001</v>
      </c>
      <c r="BV269" t="s">
        <v>75</v>
      </c>
      <c r="BW269">
        <v>74.925600000000003</v>
      </c>
      <c r="BX269" t="s">
        <v>75</v>
      </c>
      <c r="BY269">
        <v>455.15606000000002</v>
      </c>
      <c r="BZ269" t="s">
        <v>75</v>
      </c>
      <c r="CA269">
        <v>22.714559999999999</v>
      </c>
      <c r="CB269" t="s">
        <v>75</v>
      </c>
      <c r="CC269">
        <v>7.1849999999999997E-2</v>
      </c>
      <c r="CD269" t="s">
        <v>75</v>
      </c>
      <c r="CE269">
        <v>4.3E-3</v>
      </c>
      <c r="CF269" t="s">
        <v>75</v>
      </c>
      <c r="CG269">
        <v>0.14893999999999999</v>
      </c>
      <c r="CH269" t="s">
        <v>75</v>
      </c>
      <c r="CI269">
        <v>1.1621900000000001</v>
      </c>
      <c r="CJ269" t="s">
        <v>75</v>
      </c>
      <c r="CK269">
        <v>11.257989999999999</v>
      </c>
      <c r="CL269" t="s">
        <v>75</v>
      </c>
      <c r="CM269">
        <v>0.33783999999999997</v>
      </c>
      <c r="CN269" t="s">
        <v>75</v>
      </c>
      <c r="CO269">
        <v>1.8296699999999999</v>
      </c>
      <c r="CP269" t="s">
        <v>75</v>
      </c>
      <c r="CQ269">
        <v>9.0390899999999998</v>
      </c>
      <c r="CR269" t="s">
        <v>75</v>
      </c>
      <c r="CS269">
        <v>2199.16815</v>
      </c>
      <c r="CT269" t="s">
        <v>75</v>
      </c>
      <c r="CV269" t="s">
        <v>76</v>
      </c>
      <c r="CW269">
        <v>52.184049999999999</v>
      </c>
      <c r="CX269" t="s">
        <v>75</v>
      </c>
      <c r="DA269">
        <v>623.87396000000001</v>
      </c>
      <c r="DB269" t="s">
        <v>75</v>
      </c>
      <c r="DC269">
        <v>0.21332000000000001</v>
      </c>
      <c r="DD269" t="s">
        <v>75</v>
      </c>
      <c r="DE269">
        <v>362.01510999999999</v>
      </c>
      <c r="DF269" t="s">
        <v>75</v>
      </c>
      <c r="DG269">
        <v>3.8444600000000002</v>
      </c>
      <c r="DH269" t="s">
        <v>75</v>
      </c>
      <c r="DI269">
        <v>4.7804599999999997</v>
      </c>
      <c r="DJ269" t="s">
        <v>75</v>
      </c>
      <c r="DL269" t="s">
        <v>76</v>
      </c>
      <c r="DN269" t="s">
        <v>76</v>
      </c>
      <c r="DO269">
        <v>50.128540000000001</v>
      </c>
      <c r="DP269" t="s">
        <v>75</v>
      </c>
    </row>
    <row r="270" spans="1:121" x14ac:dyDescent="0.2">
      <c r="D270" t="s">
        <v>64</v>
      </c>
      <c r="G270">
        <v>2.65E-3</v>
      </c>
      <c r="H270" t="s">
        <v>75</v>
      </c>
      <c r="I270">
        <v>8.5999999999999998E-4</v>
      </c>
      <c r="J270" t="s">
        <v>75</v>
      </c>
      <c r="K270">
        <v>3.8940000000000002E-2</v>
      </c>
      <c r="L270" t="s">
        <v>75</v>
      </c>
      <c r="M270">
        <v>1.4499999999999999E-3</v>
      </c>
      <c r="N270" t="s">
        <v>75</v>
      </c>
      <c r="O270">
        <v>9.0000000000000006E-5</v>
      </c>
      <c r="P270" t="s">
        <v>75</v>
      </c>
      <c r="Q270">
        <v>3.16E-3</v>
      </c>
      <c r="R270" t="s">
        <v>75</v>
      </c>
      <c r="S270">
        <v>8.0000000000000007E-5</v>
      </c>
      <c r="T270" t="s">
        <v>75</v>
      </c>
      <c r="U270">
        <v>6.4999999999999997E-4</v>
      </c>
      <c r="V270" t="s">
        <v>75</v>
      </c>
      <c r="W270">
        <v>3.2200000000000002E-3</v>
      </c>
      <c r="X270" t="s">
        <v>75</v>
      </c>
      <c r="Y270">
        <v>1.5599999999999999E-2</v>
      </c>
      <c r="Z270" t="s">
        <v>75</v>
      </c>
      <c r="AC270">
        <v>0.62592000000000003</v>
      </c>
      <c r="AD270" t="s">
        <v>75</v>
      </c>
      <c r="AE270">
        <v>3.4864299999999999</v>
      </c>
      <c r="AF270" t="s">
        <v>75</v>
      </c>
      <c r="AG270">
        <v>2.0200000000000001E-3</v>
      </c>
      <c r="AH270" t="s">
        <v>75</v>
      </c>
      <c r="AI270">
        <v>1.2160000000000001E-2</v>
      </c>
      <c r="AJ270" t="s">
        <v>75</v>
      </c>
      <c r="AK270">
        <v>3.8999999999999999E-4</v>
      </c>
      <c r="AL270" t="s">
        <v>75</v>
      </c>
      <c r="AM270">
        <v>6.0000000000000002E-5</v>
      </c>
      <c r="AN270" t="s">
        <v>75</v>
      </c>
      <c r="AO270">
        <v>2.5000000000000001E-4</v>
      </c>
      <c r="AP270" t="s">
        <v>75</v>
      </c>
      <c r="AQ270">
        <v>2.7E-4</v>
      </c>
      <c r="AR270" t="s">
        <v>75</v>
      </c>
      <c r="AS270">
        <v>1.2999999999999999E-4</v>
      </c>
      <c r="AT270" t="s">
        <v>75</v>
      </c>
      <c r="AU270">
        <v>1.0000000000000001E-5</v>
      </c>
      <c r="AV270" t="s">
        <v>75</v>
      </c>
      <c r="AW270">
        <v>6.0000000000000002E-5</v>
      </c>
      <c r="AX270" t="s">
        <v>75</v>
      </c>
      <c r="AY270">
        <v>1.9599999999999999E-3</v>
      </c>
      <c r="AZ270" t="s">
        <v>75</v>
      </c>
      <c r="BC270">
        <v>2.3000000000000001E-4</v>
      </c>
      <c r="BD270" t="s">
        <v>75</v>
      </c>
      <c r="BE270">
        <v>1.17E-3</v>
      </c>
      <c r="BF270" t="s">
        <v>75</v>
      </c>
      <c r="BG270">
        <v>0.36336000000000002</v>
      </c>
      <c r="BH270" t="s">
        <v>75</v>
      </c>
      <c r="BI270">
        <v>0.43480999999999997</v>
      </c>
      <c r="BJ270" t="s">
        <v>75</v>
      </c>
      <c r="BK270">
        <v>0.34239999999999998</v>
      </c>
      <c r="BL270" t="s">
        <v>75</v>
      </c>
      <c r="BM270">
        <v>4.8180000000000001E-2</v>
      </c>
      <c r="BN270" t="s">
        <v>75</v>
      </c>
      <c r="BO270">
        <v>7.9080500000000002</v>
      </c>
      <c r="BP270" t="s">
        <v>75</v>
      </c>
      <c r="BQ270">
        <v>3.1379999999999998E-2</v>
      </c>
      <c r="BR270" t="s">
        <v>75</v>
      </c>
      <c r="BS270">
        <v>5.9650000000000002E-2</v>
      </c>
      <c r="BT270" t="s">
        <v>75</v>
      </c>
      <c r="BU270">
        <v>3.1413099999999998</v>
      </c>
      <c r="BV270" t="s">
        <v>75</v>
      </c>
      <c r="BW270">
        <v>1.11642</v>
      </c>
      <c r="BX270" t="s">
        <v>75</v>
      </c>
      <c r="BY270">
        <v>6.3015800000000004</v>
      </c>
      <c r="BZ270" t="s">
        <v>75</v>
      </c>
      <c r="CA270">
        <v>7.1309999999999998E-2</v>
      </c>
      <c r="CB270" t="s">
        <v>75</v>
      </c>
      <c r="CC270">
        <v>1.32E-3</v>
      </c>
      <c r="CD270" t="s">
        <v>75</v>
      </c>
      <c r="CE270">
        <v>2.4000000000000001E-4</v>
      </c>
      <c r="CF270" t="s">
        <v>75</v>
      </c>
      <c r="CG270">
        <v>2.5000000000000001E-3</v>
      </c>
      <c r="CH270" t="s">
        <v>75</v>
      </c>
      <c r="CI270">
        <v>1.4599999999999999E-3</v>
      </c>
      <c r="CJ270" t="s">
        <v>75</v>
      </c>
      <c r="CK270">
        <v>0.24601000000000001</v>
      </c>
      <c r="CL270" t="s">
        <v>75</v>
      </c>
      <c r="CM270">
        <v>1.6800000000000001E-3</v>
      </c>
      <c r="CN270" t="s">
        <v>75</v>
      </c>
      <c r="CO270">
        <v>1.337E-2</v>
      </c>
      <c r="CP270" t="s">
        <v>75</v>
      </c>
      <c r="CQ270">
        <v>2.248E-2</v>
      </c>
      <c r="CR270" t="s">
        <v>75</v>
      </c>
      <c r="CS270">
        <v>46.869329999999998</v>
      </c>
      <c r="CT270" t="s">
        <v>75</v>
      </c>
      <c r="CW270">
        <v>1.16195</v>
      </c>
      <c r="CX270" t="s">
        <v>75</v>
      </c>
      <c r="DA270">
        <v>8.0958900000000007</v>
      </c>
      <c r="DB270" t="s">
        <v>75</v>
      </c>
      <c r="DC270">
        <v>3.022E-2</v>
      </c>
      <c r="DD270" t="s">
        <v>75</v>
      </c>
      <c r="DE270">
        <v>4.4075499999999996</v>
      </c>
      <c r="DF270" t="s">
        <v>75</v>
      </c>
      <c r="DG270">
        <v>0.34932999999999997</v>
      </c>
      <c r="DH270" t="s">
        <v>75</v>
      </c>
      <c r="DI270">
        <v>0.21387</v>
      </c>
      <c r="DJ270" t="s">
        <v>75</v>
      </c>
      <c r="DO270">
        <v>0.71531999999999996</v>
      </c>
      <c r="DP270" t="s">
        <v>75</v>
      </c>
    </row>
    <row r="271" spans="1:121" x14ac:dyDescent="0.2">
      <c r="D271" t="s">
        <v>65</v>
      </c>
      <c r="G271" t="s">
        <v>66</v>
      </c>
      <c r="I271" t="s">
        <v>66</v>
      </c>
      <c r="K271" t="s">
        <v>66</v>
      </c>
      <c r="M271" t="s">
        <v>66</v>
      </c>
      <c r="O271" t="s">
        <v>66</v>
      </c>
      <c r="Q271" t="s">
        <v>66</v>
      </c>
      <c r="S271" t="s">
        <v>66</v>
      </c>
      <c r="U271" t="s">
        <v>66</v>
      </c>
      <c r="W271" t="s">
        <v>66</v>
      </c>
      <c r="Y271" t="s">
        <v>66</v>
      </c>
      <c r="AA271" t="s">
        <v>66</v>
      </c>
      <c r="AC271" t="s">
        <v>66</v>
      </c>
      <c r="AE271" t="s">
        <v>66</v>
      </c>
      <c r="AG271" t="s">
        <v>66</v>
      </c>
      <c r="AI271" t="s">
        <v>66</v>
      </c>
      <c r="AK271" t="s">
        <v>66</v>
      </c>
      <c r="AM271" t="s">
        <v>66</v>
      </c>
      <c r="AO271" t="s">
        <v>66</v>
      </c>
      <c r="AQ271" t="s">
        <v>66</v>
      </c>
      <c r="AS271" t="s">
        <v>66</v>
      </c>
      <c r="AU271" t="s">
        <v>66</v>
      </c>
      <c r="AW271" t="s">
        <v>66</v>
      </c>
      <c r="AY271" t="s">
        <v>66</v>
      </c>
      <c r="BA271" t="s">
        <v>66</v>
      </c>
      <c r="BC271" t="s">
        <v>66</v>
      </c>
      <c r="BE271" t="s">
        <v>66</v>
      </c>
      <c r="BG271" t="s">
        <v>66</v>
      </c>
      <c r="BI271" t="s">
        <v>66</v>
      </c>
      <c r="BK271" t="s">
        <v>66</v>
      </c>
      <c r="BM271" t="s">
        <v>66</v>
      </c>
      <c r="BO271" t="s">
        <v>66</v>
      </c>
      <c r="BQ271" t="s">
        <v>66</v>
      </c>
      <c r="BS271" t="s">
        <v>66</v>
      </c>
      <c r="BU271" t="s">
        <v>66</v>
      </c>
      <c r="BW271" t="s">
        <v>66</v>
      </c>
      <c r="BY271" t="s">
        <v>66</v>
      </c>
      <c r="CA271" t="s">
        <v>66</v>
      </c>
      <c r="CC271" t="s">
        <v>66</v>
      </c>
      <c r="CE271" t="s">
        <v>66</v>
      </c>
      <c r="CG271" t="s">
        <v>66</v>
      </c>
      <c r="CI271" t="s">
        <v>66</v>
      </c>
      <c r="CK271" t="s">
        <v>66</v>
      </c>
      <c r="CM271" t="s">
        <v>66</v>
      </c>
      <c r="CO271" t="s">
        <v>66</v>
      </c>
      <c r="CQ271" t="s">
        <v>66</v>
      </c>
      <c r="CS271" t="s">
        <v>66</v>
      </c>
      <c r="CU271" t="s">
        <v>66</v>
      </c>
      <c r="CW271" t="s">
        <v>66</v>
      </c>
      <c r="CY271" t="s">
        <v>66</v>
      </c>
      <c r="DA271" t="s">
        <v>66</v>
      </c>
      <c r="DC271" t="s">
        <v>66</v>
      </c>
      <c r="DE271" t="s">
        <v>66</v>
      </c>
      <c r="DG271" t="s">
        <v>66</v>
      </c>
      <c r="DI271" t="s">
        <v>66</v>
      </c>
      <c r="DK271" t="s">
        <v>66</v>
      </c>
      <c r="DM271" t="s">
        <v>66</v>
      </c>
      <c r="DO271" t="s">
        <v>66</v>
      </c>
      <c r="DQ271" t="s">
        <v>66</v>
      </c>
    </row>
    <row r="272" spans="1:121" x14ac:dyDescent="0.2">
      <c r="A272" t="s">
        <v>624</v>
      </c>
      <c r="D272" t="s">
        <v>60</v>
      </c>
      <c r="E272" t="s">
        <v>61</v>
      </c>
      <c r="G272">
        <v>43462.3</v>
      </c>
      <c r="I272">
        <v>772.6</v>
      </c>
      <c r="K272">
        <v>2797919.7</v>
      </c>
      <c r="M272">
        <v>121531.5</v>
      </c>
      <c r="O272">
        <v>1396.8</v>
      </c>
      <c r="Q272">
        <v>27629.7</v>
      </c>
      <c r="S272">
        <v>2237.3000000000002</v>
      </c>
      <c r="U272">
        <v>1697.1</v>
      </c>
      <c r="W272">
        <v>58957.3</v>
      </c>
      <c r="Y272">
        <v>67241.5</v>
      </c>
      <c r="AA272">
        <v>12988172.699999999</v>
      </c>
      <c r="AC272">
        <v>16892543.800000001</v>
      </c>
      <c r="AE272">
        <v>76809939.599999994</v>
      </c>
      <c r="AG272">
        <v>186035.6</v>
      </c>
      <c r="AI272">
        <v>273097.7</v>
      </c>
      <c r="AK272">
        <v>35131.1</v>
      </c>
      <c r="AM272">
        <v>4116.6000000000004</v>
      </c>
      <c r="AO272">
        <v>426.1</v>
      </c>
      <c r="AQ272">
        <v>338.6</v>
      </c>
      <c r="AS272">
        <v>387.6</v>
      </c>
      <c r="AU272">
        <v>264.60000000000002</v>
      </c>
      <c r="AW272">
        <v>274</v>
      </c>
      <c r="AY272">
        <v>4854</v>
      </c>
      <c r="BA272">
        <v>671545.8</v>
      </c>
      <c r="BC272">
        <v>2802.5</v>
      </c>
      <c r="BE272">
        <v>100742.2</v>
      </c>
      <c r="BG272">
        <v>4120352.8</v>
      </c>
      <c r="BI272">
        <v>3737218</v>
      </c>
      <c r="BK272">
        <v>8286186.4000000004</v>
      </c>
      <c r="BM272">
        <v>2646205.2999999998</v>
      </c>
      <c r="BO272">
        <v>30639486.699999999</v>
      </c>
      <c r="BQ272">
        <v>57671.6</v>
      </c>
      <c r="BS272">
        <v>146996.5</v>
      </c>
      <c r="BU272">
        <v>5205715.4000000004</v>
      </c>
      <c r="BW272">
        <v>324024.8</v>
      </c>
      <c r="BY272">
        <v>2417742.7999999998</v>
      </c>
      <c r="CA272">
        <v>55260.2</v>
      </c>
      <c r="CC272">
        <v>390.8</v>
      </c>
      <c r="CE272">
        <v>590</v>
      </c>
      <c r="CG272">
        <v>19941.3</v>
      </c>
      <c r="CI272">
        <v>79101.3</v>
      </c>
      <c r="CK272">
        <v>657869.80000000005</v>
      </c>
      <c r="CM272">
        <v>28543.3</v>
      </c>
      <c r="CO272">
        <v>6878.1</v>
      </c>
      <c r="CQ272">
        <v>446805</v>
      </c>
      <c r="CS272">
        <v>10102720.199999999</v>
      </c>
      <c r="CU272">
        <v>1335217.5</v>
      </c>
      <c r="CW272">
        <v>1986163</v>
      </c>
      <c r="CY272">
        <v>59444</v>
      </c>
      <c r="DA272">
        <v>15921682.300000001</v>
      </c>
      <c r="DC272">
        <v>619.9</v>
      </c>
      <c r="DE272">
        <v>534027.69999999995</v>
      </c>
      <c r="DG272">
        <v>968.3</v>
      </c>
      <c r="DI272">
        <v>4308.8</v>
      </c>
      <c r="DK272">
        <v>800.8</v>
      </c>
      <c r="DM272">
        <v>356855.6</v>
      </c>
      <c r="DO272">
        <v>483106.1</v>
      </c>
      <c r="DQ272">
        <v>16076.7</v>
      </c>
    </row>
    <row r="273" spans="1:121" x14ac:dyDescent="0.2">
      <c r="D273" t="s">
        <v>62</v>
      </c>
      <c r="E273" t="s">
        <v>61</v>
      </c>
      <c r="G273">
        <v>598.70000000000005</v>
      </c>
      <c r="I273">
        <v>133.5</v>
      </c>
      <c r="K273">
        <v>36969.800000000003</v>
      </c>
      <c r="M273">
        <v>1453</v>
      </c>
      <c r="O273">
        <v>87.7</v>
      </c>
      <c r="Q273">
        <v>505.5</v>
      </c>
      <c r="S273">
        <v>76.400000000000006</v>
      </c>
      <c r="U273">
        <v>95.9</v>
      </c>
      <c r="W273">
        <v>1618.4</v>
      </c>
      <c r="Y273">
        <v>162</v>
      </c>
      <c r="AA273">
        <v>149245.1</v>
      </c>
      <c r="AC273">
        <v>63430.6</v>
      </c>
      <c r="AE273">
        <v>266347.3</v>
      </c>
      <c r="AG273">
        <v>1371.5</v>
      </c>
      <c r="AI273">
        <v>3417.8</v>
      </c>
      <c r="AK273">
        <v>494.4</v>
      </c>
      <c r="AM273">
        <v>222.2</v>
      </c>
      <c r="AO273">
        <v>83.3</v>
      </c>
      <c r="AQ273">
        <v>25.1</v>
      </c>
      <c r="AS273">
        <v>60.9</v>
      </c>
      <c r="AU273">
        <v>9.5</v>
      </c>
      <c r="AW273">
        <v>55.1</v>
      </c>
      <c r="AY273">
        <v>224.2</v>
      </c>
      <c r="BA273">
        <v>2659.2</v>
      </c>
      <c r="BC273">
        <v>66.7</v>
      </c>
      <c r="BE273">
        <v>2128.4</v>
      </c>
      <c r="BG273">
        <v>34442.6</v>
      </c>
      <c r="BI273">
        <v>34952.5</v>
      </c>
      <c r="BK273">
        <v>80217.2</v>
      </c>
      <c r="BM273">
        <v>2871.7</v>
      </c>
      <c r="BO273">
        <v>412562</v>
      </c>
      <c r="BQ273">
        <v>503.3</v>
      </c>
      <c r="BS273">
        <v>4153</v>
      </c>
      <c r="BU273">
        <v>69654.399999999994</v>
      </c>
      <c r="BW273">
        <v>3384.4</v>
      </c>
      <c r="BY273">
        <v>22319.599999999999</v>
      </c>
      <c r="CA273">
        <v>434.2</v>
      </c>
      <c r="CC273">
        <v>40.5</v>
      </c>
      <c r="CE273">
        <v>45.2</v>
      </c>
      <c r="CG273">
        <v>226.6</v>
      </c>
      <c r="CI273">
        <v>1756.1</v>
      </c>
      <c r="CK273">
        <v>5012.5</v>
      </c>
      <c r="CM273">
        <v>414.8</v>
      </c>
      <c r="CO273">
        <v>73.900000000000006</v>
      </c>
      <c r="CQ273">
        <v>6817.7</v>
      </c>
      <c r="CS273">
        <v>170316</v>
      </c>
      <c r="CU273">
        <v>12240.9</v>
      </c>
      <c r="CW273">
        <v>55698</v>
      </c>
      <c r="CY273">
        <v>2263.8000000000002</v>
      </c>
      <c r="DA273">
        <v>37762.300000000003</v>
      </c>
      <c r="DC273">
        <v>9.1999999999999993</v>
      </c>
      <c r="DE273">
        <v>3889.9</v>
      </c>
      <c r="DG273">
        <v>35.700000000000003</v>
      </c>
      <c r="DI273">
        <v>220.3</v>
      </c>
      <c r="DK273">
        <v>19.7</v>
      </c>
      <c r="DM273">
        <v>5100.8999999999996</v>
      </c>
      <c r="DO273">
        <v>1974.6</v>
      </c>
      <c r="DQ273">
        <v>261.2</v>
      </c>
    </row>
    <row r="274" spans="1:121" x14ac:dyDescent="0.2">
      <c r="D274" t="s">
        <v>63</v>
      </c>
      <c r="G274">
        <v>0.31415999999999999</v>
      </c>
      <c r="H274" t="s">
        <v>75</v>
      </c>
      <c r="I274">
        <v>1.4590000000000001E-2</v>
      </c>
      <c r="J274" t="s">
        <v>75</v>
      </c>
      <c r="K274">
        <v>3.5887199999999999</v>
      </c>
      <c r="L274" t="s">
        <v>75</v>
      </c>
      <c r="M274">
        <v>9.042E-2</v>
      </c>
      <c r="N274" t="s">
        <v>75</v>
      </c>
      <c r="O274">
        <v>4.1099999999999999E-3</v>
      </c>
      <c r="P274" t="s">
        <v>75</v>
      </c>
      <c r="Q274">
        <v>0.20108000000000001</v>
      </c>
      <c r="R274" t="s">
        <v>75</v>
      </c>
      <c r="S274">
        <v>1.2800000000000001E-3</v>
      </c>
      <c r="T274" t="s">
        <v>75</v>
      </c>
      <c r="U274">
        <v>1.273E-2</v>
      </c>
      <c r="V274" t="s">
        <v>75</v>
      </c>
      <c r="W274">
        <v>0.12978000000000001</v>
      </c>
      <c r="X274" t="s">
        <v>75</v>
      </c>
      <c r="Y274">
        <v>1.0079100000000001</v>
      </c>
      <c r="Z274" t="s">
        <v>75</v>
      </c>
      <c r="AB274" t="s">
        <v>76</v>
      </c>
      <c r="AC274">
        <v>60.705719999999999</v>
      </c>
      <c r="AD274" t="s">
        <v>75</v>
      </c>
      <c r="AE274">
        <v>290.44018</v>
      </c>
      <c r="AF274" t="s">
        <v>75</v>
      </c>
      <c r="AG274">
        <v>0.13108</v>
      </c>
      <c r="AH274" t="s">
        <v>75</v>
      </c>
      <c r="AI274">
        <v>1.7424599999999999</v>
      </c>
      <c r="AJ274" t="s">
        <v>75</v>
      </c>
      <c r="AK274">
        <v>2.2190000000000001E-2</v>
      </c>
      <c r="AL274" t="s">
        <v>75</v>
      </c>
      <c r="AM274">
        <v>-2.5600000000000002E-3</v>
      </c>
      <c r="AN274" t="s">
        <v>75</v>
      </c>
      <c r="AO274">
        <v>3.0000000000000001E-3</v>
      </c>
      <c r="AP274" t="s">
        <v>75</v>
      </c>
      <c r="AQ274">
        <v>5.1000000000000004E-4</v>
      </c>
      <c r="AR274" t="s">
        <v>75</v>
      </c>
      <c r="AS274">
        <v>6.9999999999999999E-4</v>
      </c>
      <c r="AT274" t="s">
        <v>75</v>
      </c>
      <c r="AU274">
        <v>1.5299999999999999E-3</v>
      </c>
      <c r="AV274" t="s">
        <v>75</v>
      </c>
      <c r="AW274">
        <v>-1.2999999999999999E-4</v>
      </c>
      <c r="AX274" t="s">
        <v>75</v>
      </c>
      <c r="AY274">
        <v>5.45E-3</v>
      </c>
      <c r="AZ274" t="s">
        <v>75</v>
      </c>
      <c r="BC274">
        <v>-2.0514399999999999</v>
      </c>
      <c r="BD274" t="s">
        <v>75</v>
      </c>
      <c r="BE274">
        <v>9.9669999999999995E-2</v>
      </c>
      <c r="BF274" t="s">
        <v>75</v>
      </c>
      <c r="BG274">
        <v>11.920030000000001</v>
      </c>
      <c r="BH274" t="s">
        <v>75</v>
      </c>
      <c r="BI274">
        <v>12.45387</v>
      </c>
      <c r="BJ274" t="s">
        <v>75</v>
      </c>
      <c r="BK274">
        <v>11.94614</v>
      </c>
      <c r="BL274" t="s">
        <v>75</v>
      </c>
      <c r="BM274">
        <v>2.5006400000000002</v>
      </c>
      <c r="BN274" t="s">
        <v>75</v>
      </c>
      <c r="BO274">
        <v>677.63090999999997</v>
      </c>
      <c r="BP274" t="s">
        <v>75</v>
      </c>
      <c r="BQ274">
        <v>1.5402899999999999</v>
      </c>
      <c r="BR274" t="s">
        <v>75</v>
      </c>
      <c r="BS274">
        <v>2.8477999999999999</v>
      </c>
      <c r="BT274" t="s">
        <v>75</v>
      </c>
      <c r="BU274">
        <v>195.74615</v>
      </c>
      <c r="BV274" t="s">
        <v>75</v>
      </c>
      <c r="BW274">
        <v>137.87325999999999</v>
      </c>
      <c r="BX274" t="s">
        <v>75</v>
      </c>
      <c r="BY274">
        <v>673.63165000000004</v>
      </c>
      <c r="BZ274" t="s">
        <v>75</v>
      </c>
      <c r="CA274">
        <v>26.115860000000001</v>
      </c>
      <c r="CB274" t="s">
        <v>75</v>
      </c>
      <c r="CC274">
        <v>6.9610000000000005E-2</v>
      </c>
      <c r="CD274" t="s">
        <v>75</v>
      </c>
      <c r="CE274">
        <v>7.1900000000000002E-3</v>
      </c>
      <c r="CF274" t="s">
        <v>75</v>
      </c>
      <c r="CG274">
        <v>0.32380999999999999</v>
      </c>
      <c r="CH274" t="s">
        <v>75</v>
      </c>
      <c r="CI274">
        <v>1.00786</v>
      </c>
      <c r="CJ274" t="s">
        <v>75</v>
      </c>
      <c r="CK274">
        <v>9.0236199999999993</v>
      </c>
      <c r="CL274" t="s">
        <v>75</v>
      </c>
      <c r="CM274">
        <v>0.39983999999999997</v>
      </c>
      <c r="CN274" t="s">
        <v>75</v>
      </c>
      <c r="CO274">
        <v>0.40078999999999998</v>
      </c>
      <c r="CP274" t="s">
        <v>75</v>
      </c>
      <c r="CQ274">
        <v>13.54477</v>
      </c>
      <c r="CR274" t="s">
        <v>75</v>
      </c>
      <c r="CS274">
        <v>2654.4677099999999</v>
      </c>
      <c r="CT274" t="s">
        <v>75</v>
      </c>
      <c r="CV274" t="s">
        <v>76</v>
      </c>
      <c r="CW274">
        <v>74.032690000000002</v>
      </c>
      <c r="CX274" t="s">
        <v>75</v>
      </c>
      <c r="DA274">
        <v>962.48104999999998</v>
      </c>
      <c r="DB274" t="s">
        <v>75</v>
      </c>
      <c r="DC274">
        <v>0.27544999999999997</v>
      </c>
      <c r="DD274" t="s">
        <v>75</v>
      </c>
      <c r="DE274">
        <v>245.09532999999999</v>
      </c>
      <c r="DF274" t="s">
        <v>75</v>
      </c>
      <c r="DG274">
        <v>5.1064100000000003</v>
      </c>
      <c r="DH274" t="s">
        <v>75</v>
      </c>
      <c r="DI274">
        <v>7.2463499999999996</v>
      </c>
      <c r="DJ274" t="s">
        <v>75</v>
      </c>
      <c r="DL274" t="s">
        <v>76</v>
      </c>
      <c r="DN274" t="s">
        <v>76</v>
      </c>
      <c r="DO274">
        <v>72.484830000000002</v>
      </c>
      <c r="DP274" t="s">
        <v>75</v>
      </c>
    </row>
    <row r="275" spans="1:121" x14ac:dyDescent="0.2">
      <c r="D275" t="s">
        <v>64</v>
      </c>
      <c r="G275">
        <v>5.0899999999999999E-3</v>
      </c>
      <c r="H275" t="s">
        <v>75</v>
      </c>
      <c r="I275">
        <v>4.6699999999999997E-3</v>
      </c>
      <c r="J275" t="s">
        <v>75</v>
      </c>
      <c r="K275">
        <v>3.3300000000000003E-2</v>
      </c>
      <c r="L275" t="s">
        <v>75</v>
      </c>
      <c r="M275">
        <v>1.0300000000000001E-3</v>
      </c>
      <c r="N275" t="s">
        <v>75</v>
      </c>
      <c r="O275">
        <v>6.9999999999999994E-5</v>
      </c>
      <c r="P275" t="s">
        <v>75</v>
      </c>
      <c r="Q275">
        <v>2.65E-3</v>
      </c>
      <c r="R275" t="s">
        <v>75</v>
      </c>
      <c r="S275">
        <v>6.0000000000000002E-5</v>
      </c>
      <c r="T275" t="s">
        <v>75</v>
      </c>
      <c r="U275">
        <v>3.8000000000000002E-4</v>
      </c>
      <c r="V275" t="s">
        <v>75</v>
      </c>
      <c r="W275">
        <v>3.3800000000000002E-3</v>
      </c>
      <c r="X275" t="s">
        <v>75</v>
      </c>
      <c r="Y275">
        <v>5.4999999999999997E-3</v>
      </c>
      <c r="Z275" t="s">
        <v>75</v>
      </c>
      <c r="AC275">
        <v>0.40256999999999998</v>
      </c>
      <c r="AD275" t="s">
        <v>75</v>
      </c>
      <c r="AE275">
        <v>1.2108000000000001</v>
      </c>
      <c r="AF275" t="s">
        <v>75</v>
      </c>
      <c r="AG275">
        <v>7.1000000000000002E-4</v>
      </c>
      <c r="AH275" t="s">
        <v>75</v>
      </c>
      <c r="AI275">
        <v>1.9220000000000001E-2</v>
      </c>
      <c r="AJ275" t="s">
        <v>75</v>
      </c>
      <c r="AK275">
        <v>3.6999999999999999E-4</v>
      </c>
      <c r="AL275" t="s">
        <v>75</v>
      </c>
      <c r="AM275">
        <v>1.8000000000000001E-4</v>
      </c>
      <c r="AN275" t="s">
        <v>75</v>
      </c>
      <c r="AO275">
        <v>3.1E-4</v>
      </c>
      <c r="AP275" t="s">
        <v>75</v>
      </c>
      <c r="AQ275">
        <v>1.1E-4</v>
      </c>
      <c r="AR275" t="s">
        <v>75</v>
      </c>
      <c r="AS275">
        <v>2.7999999999999998E-4</v>
      </c>
      <c r="AT275" t="s">
        <v>75</v>
      </c>
      <c r="AU275">
        <v>1.0000000000000001E-5</v>
      </c>
      <c r="AV275" t="s">
        <v>75</v>
      </c>
      <c r="AW275">
        <v>1.2999999999999999E-4</v>
      </c>
      <c r="AX275" t="s">
        <v>75</v>
      </c>
      <c r="AY275">
        <v>7.6999999999999996E-4</v>
      </c>
      <c r="AZ275" t="s">
        <v>75</v>
      </c>
      <c r="BC275">
        <v>2.3000000000000001E-4</v>
      </c>
      <c r="BD275" t="s">
        <v>75</v>
      </c>
      <c r="BE275">
        <v>2.0999999999999999E-3</v>
      </c>
      <c r="BF275" t="s">
        <v>75</v>
      </c>
      <c r="BG275">
        <v>0.11706</v>
      </c>
      <c r="BH275" t="s">
        <v>75</v>
      </c>
      <c r="BI275">
        <v>0.14504</v>
      </c>
      <c r="BJ275" t="s">
        <v>75</v>
      </c>
      <c r="BK275">
        <v>0.13885</v>
      </c>
      <c r="BL275" t="s">
        <v>75</v>
      </c>
      <c r="BM275">
        <v>1.264E-2</v>
      </c>
      <c r="BN275" t="s">
        <v>75</v>
      </c>
      <c r="BO275">
        <v>34.559980000000003</v>
      </c>
      <c r="BP275" t="s">
        <v>75</v>
      </c>
      <c r="BQ275">
        <v>8.9260000000000006E-2</v>
      </c>
      <c r="BR275" t="s">
        <v>75</v>
      </c>
      <c r="BS275">
        <v>0.15462999999999999</v>
      </c>
      <c r="BT275" t="s">
        <v>75</v>
      </c>
      <c r="BU275">
        <v>10.59412</v>
      </c>
      <c r="BV275" t="s">
        <v>75</v>
      </c>
      <c r="BW275">
        <v>6.6596900000000003</v>
      </c>
      <c r="BX275" t="s">
        <v>75</v>
      </c>
      <c r="BY275">
        <v>19.958120000000001</v>
      </c>
      <c r="BZ275" t="s">
        <v>75</v>
      </c>
      <c r="CA275">
        <v>0.96611000000000002</v>
      </c>
      <c r="CB275" t="s">
        <v>75</v>
      </c>
      <c r="CC275">
        <v>1.128E-2</v>
      </c>
      <c r="CD275" t="s">
        <v>75</v>
      </c>
      <c r="CE275">
        <v>9.7000000000000005E-4</v>
      </c>
      <c r="CF275" t="s">
        <v>75</v>
      </c>
      <c r="CG275">
        <v>1.0699999999999999E-2</v>
      </c>
      <c r="CH275" t="s">
        <v>75</v>
      </c>
      <c r="CI275">
        <v>5.8749999999999997E-2</v>
      </c>
      <c r="CJ275" t="s">
        <v>75</v>
      </c>
      <c r="CK275">
        <v>0.41121999999999997</v>
      </c>
      <c r="CL275" t="s">
        <v>75</v>
      </c>
      <c r="CM275">
        <v>9.8399999999999998E-3</v>
      </c>
      <c r="CN275" t="s">
        <v>75</v>
      </c>
      <c r="CO275">
        <v>1.5140000000000001E-2</v>
      </c>
      <c r="CP275" t="s">
        <v>75</v>
      </c>
      <c r="CQ275">
        <v>0.65378000000000003</v>
      </c>
      <c r="CR275" t="s">
        <v>75</v>
      </c>
      <c r="CS275">
        <v>146.76259999999999</v>
      </c>
      <c r="CT275" t="s">
        <v>75</v>
      </c>
      <c r="CW275">
        <v>4.4335100000000001</v>
      </c>
      <c r="CX275" t="s">
        <v>75</v>
      </c>
      <c r="DA275">
        <v>17.011109999999999</v>
      </c>
      <c r="DB275" t="s">
        <v>75</v>
      </c>
      <c r="DC275">
        <v>8.6400000000000001E-3</v>
      </c>
      <c r="DD275" t="s">
        <v>75</v>
      </c>
      <c r="DE275">
        <v>2.2493400000000001</v>
      </c>
      <c r="DF275" t="s">
        <v>75</v>
      </c>
      <c r="DG275">
        <v>0.27634999999999998</v>
      </c>
      <c r="DH275" t="s">
        <v>75</v>
      </c>
      <c r="DI275">
        <v>0.37113000000000002</v>
      </c>
      <c r="DJ275" t="s">
        <v>75</v>
      </c>
      <c r="DO275">
        <v>1.43164</v>
      </c>
      <c r="DP275" t="s">
        <v>75</v>
      </c>
    </row>
    <row r="276" spans="1:121" x14ac:dyDescent="0.2">
      <c r="D276" t="s">
        <v>65</v>
      </c>
      <c r="G276" t="s">
        <v>66</v>
      </c>
      <c r="I276" t="s">
        <v>66</v>
      </c>
      <c r="K276" t="s">
        <v>66</v>
      </c>
      <c r="M276" t="s">
        <v>66</v>
      </c>
      <c r="O276" t="s">
        <v>66</v>
      </c>
      <c r="Q276" t="s">
        <v>66</v>
      </c>
      <c r="S276" t="s">
        <v>66</v>
      </c>
      <c r="U276" t="s">
        <v>66</v>
      </c>
      <c r="W276" t="s">
        <v>66</v>
      </c>
      <c r="Y276" t="s">
        <v>66</v>
      </c>
      <c r="AA276" t="s">
        <v>66</v>
      </c>
      <c r="AC276" t="s">
        <v>66</v>
      </c>
      <c r="AE276" t="s">
        <v>66</v>
      </c>
      <c r="AG276" t="s">
        <v>66</v>
      </c>
      <c r="AI276" t="s">
        <v>66</v>
      </c>
      <c r="AK276" t="s">
        <v>66</v>
      </c>
      <c r="AM276" t="s">
        <v>66</v>
      </c>
      <c r="AO276" t="s">
        <v>66</v>
      </c>
      <c r="AQ276" t="s">
        <v>66</v>
      </c>
      <c r="AS276" t="s">
        <v>66</v>
      </c>
      <c r="AU276" t="s">
        <v>66</v>
      </c>
      <c r="AW276" t="s">
        <v>66</v>
      </c>
      <c r="AY276" t="s">
        <v>66</v>
      </c>
      <c r="BA276" t="s">
        <v>66</v>
      </c>
      <c r="BC276" t="s">
        <v>66</v>
      </c>
      <c r="BE276" t="s">
        <v>66</v>
      </c>
      <c r="BG276" t="s">
        <v>66</v>
      </c>
      <c r="BI276" t="s">
        <v>66</v>
      </c>
      <c r="BK276" t="s">
        <v>66</v>
      </c>
      <c r="BM276" t="s">
        <v>66</v>
      </c>
      <c r="BO276" t="s">
        <v>66</v>
      </c>
      <c r="BQ276" t="s">
        <v>66</v>
      </c>
      <c r="BS276" t="s">
        <v>66</v>
      </c>
      <c r="BU276" t="s">
        <v>66</v>
      </c>
      <c r="BW276" t="s">
        <v>66</v>
      </c>
      <c r="BY276" t="s">
        <v>66</v>
      </c>
      <c r="CA276" t="s">
        <v>66</v>
      </c>
      <c r="CC276" t="s">
        <v>66</v>
      </c>
      <c r="CE276" t="s">
        <v>66</v>
      </c>
      <c r="CG276" t="s">
        <v>66</v>
      </c>
      <c r="CI276" t="s">
        <v>66</v>
      </c>
      <c r="CK276" t="s">
        <v>66</v>
      </c>
      <c r="CM276" t="s">
        <v>66</v>
      </c>
      <c r="CO276" t="s">
        <v>66</v>
      </c>
      <c r="CQ276" t="s">
        <v>66</v>
      </c>
      <c r="CS276" t="s">
        <v>66</v>
      </c>
      <c r="CU276" t="s">
        <v>66</v>
      </c>
      <c r="CW276" t="s">
        <v>66</v>
      </c>
      <c r="CY276" t="s">
        <v>66</v>
      </c>
      <c r="DA276" t="s">
        <v>66</v>
      </c>
      <c r="DC276" t="s">
        <v>66</v>
      </c>
      <c r="DE276" t="s">
        <v>66</v>
      </c>
      <c r="DG276" t="s">
        <v>66</v>
      </c>
      <c r="DI276" t="s">
        <v>66</v>
      </c>
      <c r="DK276" t="s">
        <v>66</v>
      </c>
      <c r="DM276" t="s">
        <v>66</v>
      </c>
      <c r="DO276" t="s">
        <v>66</v>
      </c>
      <c r="DQ276" t="s">
        <v>66</v>
      </c>
    </row>
    <row r="277" spans="1:121" x14ac:dyDescent="0.2">
      <c r="A277" t="s">
        <v>625</v>
      </c>
      <c r="D277" t="s">
        <v>60</v>
      </c>
      <c r="E277" t="s">
        <v>61</v>
      </c>
      <c r="G277">
        <v>36001.800000000003</v>
      </c>
      <c r="I277">
        <v>772.6</v>
      </c>
      <c r="K277">
        <v>2251945.7000000002</v>
      </c>
      <c r="M277">
        <v>101875.6</v>
      </c>
      <c r="O277">
        <v>8106.4</v>
      </c>
      <c r="Q277">
        <v>21310.7</v>
      </c>
      <c r="S277">
        <v>2316.6</v>
      </c>
      <c r="U277">
        <v>1911.9</v>
      </c>
      <c r="W277">
        <v>70040.399999999994</v>
      </c>
      <c r="Y277">
        <v>57460.800000000003</v>
      </c>
      <c r="AA277">
        <v>11492661.800000001</v>
      </c>
      <c r="AC277">
        <v>19659391.600000001</v>
      </c>
      <c r="AE277">
        <v>82028853.299999997</v>
      </c>
      <c r="AG277">
        <v>152013.1</v>
      </c>
      <c r="AI277">
        <v>222150.39999999999</v>
      </c>
      <c r="AK277">
        <v>35056.5</v>
      </c>
      <c r="AM277">
        <v>3047.6</v>
      </c>
      <c r="AO277">
        <v>265.60000000000002</v>
      </c>
      <c r="AQ277">
        <v>364.6</v>
      </c>
      <c r="AS277">
        <v>384.4</v>
      </c>
      <c r="AU277">
        <v>235.4</v>
      </c>
      <c r="AW277">
        <v>265.60000000000002</v>
      </c>
      <c r="AY277">
        <v>5118.8999999999996</v>
      </c>
      <c r="BA277">
        <v>676844.8</v>
      </c>
      <c r="BC277">
        <v>2857.8</v>
      </c>
      <c r="BE277">
        <v>65803.3</v>
      </c>
      <c r="BG277">
        <v>3682677.1</v>
      </c>
      <c r="BI277">
        <v>3260021</v>
      </c>
      <c r="BK277">
        <v>7078800.4000000004</v>
      </c>
      <c r="BM277">
        <v>2670940</v>
      </c>
      <c r="BO277">
        <v>29018362.100000001</v>
      </c>
      <c r="BQ277">
        <v>61276.4</v>
      </c>
      <c r="BS277">
        <v>156971.70000000001</v>
      </c>
      <c r="BU277">
        <v>4654220.9000000004</v>
      </c>
      <c r="BW277">
        <v>726225.2</v>
      </c>
      <c r="BY277">
        <v>1892823.7</v>
      </c>
      <c r="CA277">
        <v>38570.300000000003</v>
      </c>
      <c r="CC277">
        <v>405.6</v>
      </c>
      <c r="CE277">
        <v>514</v>
      </c>
      <c r="CG277">
        <v>13107</v>
      </c>
      <c r="CI277">
        <v>49559.1</v>
      </c>
      <c r="CK277">
        <v>422609.1</v>
      </c>
      <c r="CM277">
        <v>27788.5</v>
      </c>
      <c r="CO277">
        <v>4916.3</v>
      </c>
      <c r="CQ277">
        <v>375713.6</v>
      </c>
      <c r="CS277">
        <v>7788729.4000000004</v>
      </c>
      <c r="CU277">
        <v>1203907.6000000001</v>
      </c>
      <c r="CW277">
        <v>2364983.1</v>
      </c>
      <c r="CY277">
        <v>60377.5</v>
      </c>
      <c r="DA277">
        <v>15376564.6</v>
      </c>
      <c r="DC277">
        <v>389.6</v>
      </c>
      <c r="DE277">
        <v>267501.8</v>
      </c>
      <c r="DG277">
        <v>780.2</v>
      </c>
      <c r="DI277">
        <v>3222.7</v>
      </c>
      <c r="DK277">
        <v>868.1</v>
      </c>
      <c r="DM277">
        <v>325901.59999999998</v>
      </c>
      <c r="DO277">
        <v>578342.19999999995</v>
      </c>
      <c r="DQ277">
        <v>15817.3</v>
      </c>
    </row>
    <row r="278" spans="1:121" x14ac:dyDescent="0.2">
      <c r="D278" t="s">
        <v>62</v>
      </c>
      <c r="E278" t="s">
        <v>61</v>
      </c>
      <c r="G278">
        <v>177.2</v>
      </c>
      <c r="I278">
        <v>48.7</v>
      </c>
      <c r="K278">
        <v>3664.3</v>
      </c>
      <c r="M278">
        <v>446.6</v>
      </c>
      <c r="O278">
        <v>265.60000000000002</v>
      </c>
      <c r="Q278">
        <v>167.5</v>
      </c>
      <c r="S278">
        <v>26</v>
      </c>
      <c r="U278">
        <v>73.099999999999994</v>
      </c>
      <c r="W278">
        <v>541.29999999999995</v>
      </c>
      <c r="Y278">
        <v>673</v>
      </c>
      <c r="AA278">
        <v>86625.9</v>
      </c>
      <c r="AC278">
        <v>300943.2</v>
      </c>
      <c r="AE278">
        <v>1527006.6</v>
      </c>
      <c r="AG278">
        <v>1488.9</v>
      </c>
      <c r="AI278">
        <v>945.7</v>
      </c>
      <c r="AK278">
        <v>432.7</v>
      </c>
      <c r="AM278">
        <v>98.1</v>
      </c>
      <c r="AO278">
        <v>56.5</v>
      </c>
      <c r="AQ278">
        <v>37.299999999999997</v>
      </c>
      <c r="AS278">
        <v>60.3</v>
      </c>
      <c r="AU278">
        <v>3.6</v>
      </c>
      <c r="AW278">
        <v>14.3</v>
      </c>
      <c r="AY278">
        <v>182.9</v>
      </c>
      <c r="BA278">
        <v>9817</v>
      </c>
      <c r="BC278">
        <v>173.9</v>
      </c>
      <c r="BE278">
        <v>499.8</v>
      </c>
      <c r="BG278">
        <v>100167.8</v>
      </c>
      <c r="BI278">
        <v>35428.400000000001</v>
      </c>
      <c r="BK278">
        <v>43755.4</v>
      </c>
      <c r="BM278">
        <v>22095</v>
      </c>
      <c r="BO278">
        <v>272216.8</v>
      </c>
      <c r="BQ278">
        <v>2480.8000000000002</v>
      </c>
      <c r="BS278">
        <v>1016.2</v>
      </c>
      <c r="BU278">
        <v>13995.8</v>
      </c>
      <c r="BW278">
        <v>4097.3999999999996</v>
      </c>
      <c r="BY278">
        <v>5799</v>
      </c>
      <c r="CA278">
        <v>804.4</v>
      </c>
      <c r="CC278">
        <v>16.7</v>
      </c>
      <c r="CE278">
        <v>44.7</v>
      </c>
      <c r="CG278">
        <v>126.2</v>
      </c>
      <c r="CI278">
        <v>350.8</v>
      </c>
      <c r="CK278">
        <v>4487.8999999999996</v>
      </c>
      <c r="CM278">
        <v>190.6</v>
      </c>
      <c r="CO278">
        <v>178.6</v>
      </c>
      <c r="CQ278">
        <v>6560.2</v>
      </c>
      <c r="CS278">
        <v>77574.7</v>
      </c>
      <c r="CU278">
        <v>11967.1</v>
      </c>
      <c r="CW278">
        <v>17492</v>
      </c>
      <c r="CY278">
        <v>1099</v>
      </c>
      <c r="DA278">
        <v>221103.6</v>
      </c>
      <c r="DC278">
        <v>46.4</v>
      </c>
      <c r="DE278">
        <v>5339.6</v>
      </c>
      <c r="DG278">
        <v>66.400000000000006</v>
      </c>
      <c r="DI278">
        <v>109</v>
      </c>
      <c r="DK278">
        <v>58.1</v>
      </c>
      <c r="DM278">
        <v>1735.3</v>
      </c>
      <c r="DO278">
        <v>28979</v>
      </c>
      <c r="DQ278">
        <v>912.5</v>
      </c>
    </row>
    <row r="279" spans="1:121" x14ac:dyDescent="0.2">
      <c r="D279" t="s">
        <v>63</v>
      </c>
      <c r="G279">
        <v>0.25213000000000002</v>
      </c>
      <c r="H279" t="s">
        <v>75</v>
      </c>
      <c r="I279">
        <v>1.44E-2</v>
      </c>
      <c r="J279" t="s">
        <v>75</v>
      </c>
      <c r="K279">
        <v>2.8656000000000001</v>
      </c>
      <c r="L279" t="s">
        <v>75</v>
      </c>
      <c r="M279">
        <v>6.9470000000000004E-2</v>
      </c>
      <c r="N279" t="s">
        <v>75</v>
      </c>
      <c r="O279">
        <v>9.7000000000000003E-3</v>
      </c>
      <c r="P279" t="s">
        <v>75</v>
      </c>
      <c r="Q279">
        <v>0.15883</v>
      </c>
      <c r="R279" t="s">
        <v>75</v>
      </c>
      <c r="S279">
        <v>1.34E-3</v>
      </c>
      <c r="T279" t="s">
        <v>75</v>
      </c>
      <c r="U279">
        <v>1.357E-2</v>
      </c>
      <c r="V279" t="s">
        <v>75</v>
      </c>
      <c r="W279">
        <v>0.15236</v>
      </c>
      <c r="X279" t="s">
        <v>75</v>
      </c>
      <c r="Y279">
        <v>0.85458000000000001</v>
      </c>
      <c r="Z279" t="s">
        <v>75</v>
      </c>
      <c r="AB279" t="s">
        <v>76</v>
      </c>
      <c r="AC279">
        <v>70.106350000000006</v>
      </c>
      <c r="AD279" t="s">
        <v>75</v>
      </c>
      <c r="AE279">
        <v>307.83255000000003</v>
      </c>
      <c r="AF279" t="s">
        <v>75</v>
      </c>
      <c r="AG279">
        <v>0.1032</v>
      </c>
      <c r="AH279" t="s">
        <v>75</v>
      </c>
      <c r="AI279">
        <v>1.40652</v>
      </c>
      <c r="AJ279" t="s">
        <v>75</v>
      </c>
      <c r="AK279">
        <v>2.1950000000000001E-2</v>
      </c>
      <c r="AL279" t="s">
        <v>75</v>
      </c>
      <c r="AM279">
        <v>-3.3899999999999998E-3</v>
      </c>
      <c r="AN279" t="s">
        <v>75</v>
      </c>
      <c r="AO279">
        <v>2.3999999999999998E-3</v>
      </c>
      <c r="AP279" t="s">
        <v>75</v>
      </c>
      <c r="AQ279">
        <v>6.0999999999999997E-4</v>
      </c>
      <c r="AR279" t="s">
        <v>75</v>
      </c>
      <c r="AS279">
        <v>6.8000000000000005E-4</v>
      </c>
      <c r="AT279" t="s">
        <v>75</v>
      </c>
      <c r="AU279">
        <v>1.5100000000000001E-3</v>
      </c>
      <c r="AV279" t="s">
        <v>75</v>
      </c>
      <c r="AW279">
        <v>-1.6000000000000001E-4</v>
      </c>
      <c r="AX279" t="s">
        <v>75</v>
      </c>
      <c r="AY279">
        <v>6.1799999999999997E-3</v>
      </c>
      <c r="AZ279" t="s">
        <v>75</v>
      </c>
      <c r="BC279">
        <v>-2.0513499999999998</v>
      </c>
      <c r="BD279" t="s">
        <v>75</v>
      </c>
      <c r="BE279">
        <v>6.5509999999999999E-2</v>
      </c>
      <c r="BF279" t="s">
        <v>75</v>
      </c>
      <c r="BG279">
        <v>10.568110000000001</v>
      </c>
      <c r="BH279" t="s">
        <v>75</v>
      </c>
      <c r="BI279">
        <v>10.777749999999999</v>
      </c>
      <c r="BJ279" t="s">
        <v>75</v>
      </c>
      <c r="BK279">
        <v>10.289020000000001</v>
      </c>
      <c r="BL279" t="s">
        <v>75</v>
      </c>
      <c r="BM279">
        <v>2.5045000000000002</v>
      </c>
      <c r="BN279" t="s">
        <v>75</v>
      </c>
      <c r="BO279">
        <v>631.00444000000005</v>
      </c>
      <c r="BP279" t="s">
        <v>75</v>
      </c>
      <c r="BQ279">
        <v>1.6296600000000001</v>
      </c>
      <c r="BR279" t="s">
        <v>75</v>
      </c>
      <c r="BS279">
        <v>3.0150299999999999</v>
      </c>
      <c r="BT279" t="s">
        <v>75</v>
      </c>
      <c r="BU279">
        <v>169.65450000000001</v>
      </c>
      <c r="BV279" t="s">
        <v>75</v>
      </c>
      <c r="BW279">
        <v>304.24603000000002</v>
      </c>
      <c r="BX279" t="s">
        <v>75</v>
      </c>
      <c r="BY279">
        <v>517.09007999999994</v>
      </c>
      <c r="BZ279" t="s">
        <v>75</v>
      </c>
      <c r="CA279">
        <v>16.801079999999999</v>
      </c>
      <c r="CB279" t="s">
        <v>75</v>
      </c>
      <c r="CC279">
        <v>7.1260000000000004E-2</v>
      </c>
      <c r="CD279" t="s">
        <v>75</v>
      </c>
      <c r="CE279">
        <v>5.9199999999999999E-3</v>
      </c>
      <c r="CF279" t="s">
        <v>75</v>
      </c>
      <c r="CG279">
        <v>0.20332</v>
      </c>
      <c r="CH279" t="s">
        <v>75</v>
      </c>
      <c r="CI279">
        <v>0.60992000000000002</v>
      </c>
      <c r="CJ279" t="s">
        <v>75</v>
      </c>
      <c r="CK279">
        <v>5.5802800000000001</v>
      </c>
      <c r="CL279" t="s">
        <v>75</v>
      </c>
      <c r="CM279">
        <v>0.38278000000000001</v>
      </c>
      <c r="CN279" t="s">
        <v>75</v>
      </c>
      <c r="CO279">
        <v>0.28492000000000001</v>
      </c>
      <c r="CP279" t="s">
        <v>75</v>
      </c>
      <c r="CQ279">
        <v>11.195819999999999</v>
      </c>
      <c r="CR279" t="s">
        <v>75</v>
      </c>
      <c r="CS279">
        <v>2012.18506</v>
      </c>
      <c r="CT279" t="s">
        <v>75</v>
      </c>
      <c r="CV279" t="s">
        <v>76</v>
      </c>
      <c r="CW279">
        <v>86.698419999999999</v>
      </c>
      <c r="CX279" t="s">
        <v>75</v>
      </c>
      <c r="DA279">
        <v>947.22506999999996</v>
      </c>
      <c r="DB279" t="s">
        <v>75</v>
      </c>
      <c r="DC279">
        <v>0.17671000000000001</v>
      </c>
      <c r="DD279" t="s">
        <v>75</v>
      </c>
      <c r="DE279">
        <v>125.1422</v>
      </c>
      <c r="DF279" t="s">
        <v>75</v>
      </c>
      <c r="DG279">
        <v>4.1918800000000003</v>
      </c>
      <c r="DH279" t="s">
        <v>75</v>
      </c>
      <c r="DI279">
        <v>5.4164199999999996</v>
      </c>
      <c r="DJ279" t="s">
        <v>75</v>
      </c>
      <c r="DL279" t="s">
        <v>76</v>
      </c>
      <c r="DN279" t="s">
        <v>76</v>
      </c>
      <c r="DO279">
        <v>88.547790000000006</v>
      </c>
      <c r="DP279" t="s">
        <v>75</v>
      </c>
    </row>
    <row r="280" spans="1:121" x14ac:dyDescent="0.2">
      <c r="D280" t="s">
        <v>64</v>
      </c>
      <c r="G280">
        <v>5.5700000000000003E-3</v>
      </c>
      <c r="H280" t="s">
        <v>75</v>
      </c>
      <c r="I280">
        <v>2.0999999999999999E-3</v>
      </c>
      <c r="J280" t="s">
        <v>75</v>
      </c>
      <c r="K280">
        <v>4.3279999999999999E-2</v>
      </c>
      <c r="L280" t="s">
        <v>75</v>
      </c>
      <c r="M280">
        <v>1.65E-3</v>
      </c>
      <c r="N280" t="s">
        <v>75</v>
      </c>
      <c r="O280">
        <v>3.2000000000000003E-4</v>
      </c>
      <c r="P280" t="s">
        <v>75</v>
      </c>
      <c r="Q280">
        <v>2.5799999999999998E-3</v>
      </c>
      <c r="R280" t="s">
        <v>75</v>
      </c>
      <c r="S280">
        <v>5.0000000000000002E-5</v>
      </c>
      <c r="T280" t="s">
        <v>75</v>
      </c>
      <c r="U280">
        <v>3.6999999999999999E-4</v>
      </c>
      <c r="V280" t="s">
        <v>75</v>
      </c>
      <c r="W280">
        <v>2.1199999999999999E-3</v>
      </c>
      <c r="X280" t="s">
        <v>75</v>
      </c>
      <c r="Y280">
        <v>3.2299999999999998E-3</v>
      </c>
      <c r="Z280" t="s">
        <v>75</v>
      </c>
      <c r="AC280">
        <v>1.9943200000000001</v>
      </c>
      <c r="AD280" t="s">
        <v>75</v>
      </c>
      <c r="AE280">
        <v>9.8912700000000005</v>
      </c>
      <c r="AF280" t="s">
        <v>75</v>
      </c>
      <c r="AG280">
        <v>2.4299999999999999E-3</v>
      </c>
      <c r="AH280" t="s">
        <v>75</v>
      </c>
      <c r="AI280">
        <v>2.282E-2</v>
      </c>
      <c r="AJ280" t="s">
        <v>75</v>
      </c>
      <c r="AK280">
        <v>1.2E-4</v>
      </c>
      <c r="AL280" t="s">
        <v>75</v>
      </c>
      <c r="AM280">
        <v>6.0000000000000002E-5</v>
      </c>
      <c r="AN280" t="s">
        <v>75</v>
      </c>
      <c r="AO280">
        <v>2.2000000000000001E-4</v>
      </c>
      <c r="AP280" t="s">
        <v>75</v>
      </c>
      <c r="AQ280">
        <v>1.3999999999999999E-4</v>
      </c>
      <c r="AR280" t="s">
        <v>75</v>
      </c>
      <c r="AS280">
        <v>2.7999999999999998E-4</v>
      </c>
      <c r="AT280" t="s">
        <v>75</v>
      </c>
      <c r="AU280">
        <v>0</v>
      </c>
      <c r="AV280" t="s">
        <v>75</v>
      </c>
      <c r="AW280">
        <v>3.0000000000000001E-5</v>
      </c>
      <c r="AX280" t="s">
        <v>75</v>
      </c>
      <c r="AY280">
        <v>3.6999999999999999E-4</v>
      </c>
      <c r="AZ280" t="s">
        <v>75</v>
      </c>
      <c r="BC280">
        <v>4.2999999999999999E-4</v>
      </c>
      <c r="BD280" t="s">
        <v>75</v>
      </c>
      <c r="BE280">
        <v>9.7999999999999997E-4</v>
      </c>
      <c r="BF280" t="s">
        <v>75</v>
      </c>
      <c r="BG280">
        <v>0.36153999999999997</v>
      </c>
      <c r="BH280" t="s">
        <v>75</v>
      </c>
      <c r="BI280">
        <v>0.19636999999999999</v>
      </c>
      <c r="BJ280" t="s">
        <v>75</v>
      </c>
      <c r="BK280">
        <v>0.16608000000000001</v>
      </c>
      <c r="BL280" t="s">
        <v>75</v>
      </c>
      <c r="BM280">
        <v>3.3399999999999999E-2</v>
      </c>
      <c r="BN280" t="s">
        <v>75</v>
      </c>
      <c r="BO280">
        <v>6.8946699999999996</v>
      </c>
      <c r="BP280" t="s">
        <v>75</v>
      </c>
      <c r="BQ280">
        <v>0.11792</v>
      </c>
      <c r="BR280" t="s">
        <v>75</v>
      </c>
      <c r="BS280">
        <v>5.7029999999999997E-2</v>
      </c>
      <c r="BT280" t="s">
        <v>75</v>
      </c>
      <c r="BU280">
        <v>2.8597600000000001</v>
      </c>
      <c r="BV280" t="s">
        <v>75</v>
      </c>
      <c r="BW280">
        <v>6.8878700000000004</v>
      </c>
      <c r="BX280" t="s">
        <v>75</v>
      </c>
      <c r="BY280">
        <v>9.9235000000000007</v>
      </c>
      <c r="BZ280" t="s">
        <v>75</v>
      </c>
      <c r="CA280">
        <v>5.3589999999999999E-2</v>
      </c>
      <c r="CB280" t="s">
        <v>75</v>
      </c>
      <c r="CC280">
        <v>4.9100000000000003E-3</v>
      </c>
      <c r="CD280" t="s">
        <v>75</v>
      </c>
      <c r="CE280">
        <v>6.6E-4</v>
      </c>
      <c r="CF280" t="s">
        <v>75</v>
      </c>
      <c r="CG280">
        <v>6.0000000000000001E-3</v>
      </c>
      <c r="CH280" t="s">
        <v>75</v>
      </c>
      <c r="CI280">
        <v>9.6600000000000002E-3</v>
      </c>
      <c r="CJ280" t="s">
        <v>75</v>
      </c>
      <c r="CK280">
        <v>9.1560000000000002E-2</v>
      </c>
      <c r="CL280" t="s">
        <v>75</v>
      </c>
      <c r="CM280">
        <v>4.6100000000000004E-3</v>
      </c>
      <c r="CN280" t="s">
        <v>75</v>
      </c>
      <c r="CO280">
        <v>1.1979999999999999E-2</v>
      </c>
      <c r="CP280" t="s">
        <v>75</v>
      </c>
      <c r="CQ280">
        <v>2.3800000000000002E-2</v>
      </c>
      <c r="CR280" t="s">
        <v>75</v>
      </c>
      <c r="CS280">
        <v>17.876830000000002</v>
      </c>
      <c r="CT280" t="s">
        <v>75</v>
      </c>
      <c r="CW280">
        <v>2.0925500000000001</v>
      </c>
      <c r="CX280" t="s">
        <v>75</v>
      </c>
      <c r="DA280">
        <v>68.841980000000007</v>
      </c>
      <c r="DB280" t="s">
        <v>75</v>
      </c>
      <c r="DC280">
        <v>3.1829999999999997E-2</v>
      </c>
      <c r="DD280" t="s">
        <v>75</v>
      </c>
      <c r="DE280">
        <v>9.8561499999999995</v>
      </c>
      <c r="DF280" t="s">
        <v>75</v>
      </c>
      <c r="DG280">
        <v>0.61426000000000003</v>
      </c>
      <c r="DH280" t="s">
        <v>75</v>
      </c>
      <c r="DI280">
        <v>0.54249000000000003</v>
      </c>
      <c r="DJ280" t="s">
        <v>75</v>
      </c>
      <c r="DO280">
        <v>9.5713600000000003</v>
      </c>
      <c r="DP280" t="s">
        <v>75</v>
      </c>
    </row>
    <row r="281" spans="1:121" x14ac:dyDescent="0.2">
      <c r="D281" t="s">
        <v>65</v>
      </c>
      <c r="G281" t="s">
        <v>66</v>
      </c>
      <c r="I281" t="s">
        <v>66</v>
      </c>
      <c r="K281" t="s">
        <v>66</v>
      </c>
      <c r="M281" t="s">
        <v>66</v>
      </c>
      <c r="O281" t="s">
        <v>66</v>
      </c>
      <c r="Q281" t="s">
        <v>66</v>
      </c>
      <c r="S281" t="s">
        <v>66</v>
      </c>
      <c r="U281" t="s">
        <v>66</v>
      </c>
      <c r="W281" t="s">
        <v>66</v>
      </c>
      <c r="Y281" t="s">
        <v>66</v>
      </c>
      <c r="AA281" t="s">
        <v>66</v>
      </c>
      <c r="AC281" t="s">
        <v>66</v>
      </c>
      <c r="AE281" t="s">
        <v>66</v>
      </c>
      <c r="AG281" t="s">
        <v>66</v>
      </c>
      <c r="AI281" t="s">
        <v>66</v>
      </c>
      <c r="AK281" t="s">
        <v>66</v>
      </c>
      <c r="AM281" t="s">
        <v>66</v>
      </c>
      <c r="AO281" t="s">
        <v>66</v>
      </c>
      <c r="AQ281" t="s">
        <v>66</v>
      </c>
      <c r="AS281" t="s">
        <v>66</v>
      </c>
      <c r="AU281" t="s">
        <v>66</v>
      </c>
      <c r="AW281" t="s">
        <v>66</v>
      </c>
      <c r="AY281" t="s">
        <v>66</v>
      </c>
      <c r="BA281" t="s">
        <v>66</v>
      </c>
      <c r="BC281" t="s">
        <v>66</v>
      </c>
      <c r="BE281" t="s">
        <v>66</v>
      </c>
      <c r="BG281" t="s">
        <v>66</v>
      </c>
      <c r="BI281" t="s">
        <v>66</v>
      </c>
      <c r="BK281" t="s">
        <v>66</v>
      </c>
      <c r="BM281" t="s">
        <v>66</v>
      </c>
      <c r="BO281" t="s">
        <v>66</v>
      </c>
      <c r="BQ281" t="s">
        <v>66</v>
      </c>
      <c r="BS281" t="s">
        <v>66</v>
      </c>
      <c r="BU281" t="s">
        <v>66</v>
      </c>
      <c r="BW281" t="s">
        <v>66</v>
      </c>
      <c r="BY281" t="s">
        <v>66</v>
      </c>
      <c r="CA281" t="s">
        <v>66</v>
      </c>
      <c r="CC281" t="s">
        <v>66</v>
      </c>
      <c r="CE281" t="s">
        <v>66</v>
      </c>
      <c r="CG281" t="s">
        <v>66</v>
      </c>
      <c r="CI281" t="s">
        <v>66</v>
      </c>
      <c r="CK281" t="s">
        <v>66</v>
      </c>
      <c r="CM281" t="s">
        <v>66</v>
      </c>
      <c r="CO281" t="s">
        <v>66</v>
      </c>
      <c r="CQ281" t="s">
        <v>66</v>
      </c>
      <c r="CS281" t="s">
        <v>66</v>
      </c>
      <c r="CU281" t="s">
        <v>66</v>
      </c>
      <c r="CW281" t="s">
        <v>66</v>
      </c>
      <c r="CY281" t="s">
        <v>66</v>
      </c>
      <c r="DA281" t="s">
        <v>66</v>
      </c>
      <c r="DC281" t="s">
        <v>66</v>
      </c>
      <c r="DE281" t="s">
        <v>66</v>
      </c>
      <c r="DG281" t="s">
        <v>66</v>
      </c>
      <c r="DI281" t="s">
        <v>66</v>
      </c>
      <c r="DK281" t="s">
        <v>66</v>
      </c>
      <c r="DM281" t="s">
        <v>66</v>
      </c>
      <c r="DO281" t="s">
        <v>66</v>
      </c>
      <c r="DQ281" t="s">
        <v>66</v>
      </c>
    </row>
    <row r="282" spans="1:121" x14ac:dyDescent="0.2">
      <c r="A282" t="s">
        <v>626</v>
      </c>
      <c r="D282" t="s">
        <v>60</v>
      </c>
      <c r="E282" t="s">
        <v>61</v>
      </c>
      <c r="G282">
        <v>39558.800000000003</v>
      </c>
      <c r="I282">
        <v>805.5</v>
      </c>
      <c r="K282">
        <v>2273223</v>
      </c>
      <c r="M282">
        <v>128164.8</v>
      </c>
      <c r="O282">
        <v>1330.1</v>
      </c>
      <c r="Q282">
        <v>21080.9</v>
      </c>
      <c r="S282">
        <v>2017.2</v>
      </c>
      <c r="U282">
        <v>1764.9</v>
      </c>
      <c r="W282">
        <v>56348.5</v>
      </c>
      <c r="Y282">
        <v>72619.199999999997</v>
      </c>
      <c r="AA282">
        <v>13444022.5</v>
      </c>
      <c r="AC282">
        <v>17316691.699999999</v>
      </c>
      <c r="AE282">
        <v>87153192.5</v>
      </c>
      <c r="AG282">
        <v>151594.6</v>
      </c>
      <c r="AI282">
        <v>264314.59999999998</v>
      </c>
      <c r="AK282">
        <v>39597.599999999999</v>
      </c>
      <c r="AM282">
        <v>6919.2</v>
      </c>
      <c r="AO282">
        <v>686.7</v>
      </c>
      <c r="AQ282">
        <v>418.9</v>
      </c>
      <c r="AS282">
        <v>360.5</v>
      </c>
      <c r="AU282">
        <v>230.2</v>
      </c>
      <c r="AW282">
        <v>327.10000000000002</v>
      </c>
      <c r="AY282">
        <v>7259.4</v>
      </c>
      <c r="BA282">
        <v>677987.4</v>
      </c>
      <c r="BC282">
        <v>2720.1</v>
      </c>
      <c r="BE282">
        <v>76165.899999999994</v>
      </c>
      <c r="BG282">
        <v>3973630.1</v>
      </c>
      <c r="BI282">
        <v>3693388.7</v>
      </c>
      <c r="BK282">
        <v>8165567.0999999996</v>
      </c>
      <c r="BM282">
        <v>2859879</v>
      </c>
      <c r="BO282">
        <v>27409470.899999999</v>
      </c>
      <c r="BQ282">
        <v>106837.1</v>
      </c>
      <c r="BS282">
        <v>244231.8</v>
      </c>
      <c r="BU282">
        <v>6508147</v>
      </c>
      <c r="BW282">
        <v>206293.3</v>
      </c>
      <c r="BY282">
        <v>1703765.9</v>
      </c>
      <c r="CA282">
        <v>79316</v>
      </c>
      <c r="CC282">
        <v>509.3</v>
      </c>
      <c r="CE282">
        <v>536.20000000000005</v>
      </c>
      <c r="CG282">
        <v>14643.1</v>
      </c>
      <c r="CI282">
        <v>161445.1</v>
      </c>
      <c r="CK282">
        <v>1013120.7</v>
      </c>
      <c r="CM282">
        <v>40231.300000000003</v>
      </c>
      <c r="CO282">
        <v>5924</v>
      </c>
      <c r="CQ282">
        <v>318367.59999999998</v>
      </c>
      <c r="CS282">
        <v>9474939.5</v>
      </c>
      <c r="CU282">
        <v>1460812.4</v>
      </c>
      <c r="CW282">
        <v>2071196.4</v>
      </c>
      <c r="CY282">
        <v>61007.1</v>
      </c>
      <c r="DA282">
        <v>13717908.4</v>
      </c>
      <c r="DC282">
        <v>315.10000000000002</v>
      </c>
      <c r="DE282">
        <v>296528.8</v>
      </c>
      <c r="DG282">
        <v>877.6</v>
      </c>
      <c r="DI282">
        <v>3265.1</v>
      </c>
      <c r="DK282">
        <v>849.2</v>
      </c>
      <c r="DM282">
        <v>394945.5</v>
      </c>
      <c r="DO282">
        <v>497998.5</v>
      </c>
      <c r="DQ282">
        <v>16428.099999999999</v>
      </c>
    </row>
    <row r="283" spans="1:121" x14ac:dyDescent="0.2">
      <c r="D283" t="s">
        <v>62</v>
      </c>
      <c r="E283" t="s">
        <v>61</v>
      </c>
      <c r="G283">
        <v>181.8</v>
      </c>
      <c r="I283">
        <v>74.5</v>
      </c>
      <c r="K283">
        <v>11925.8</v>
      </c>
      <c r="M283">
        <v>1876.7</v>
      </c>
      <c r="O283">
        <v>158.4</v>
      </c>
      <c r="Q283">
        <v>407.3</v>
      </c>
      <c r="S283">
        <v>18.899999999999999</v>
      </c>
      <c r="U283">
        <v>176.6</v>
      </c>
      <c r="W283">
        <v>680.3</v>
      </c>
      <c r="Y283">
        <v>1059.4000000000001</v>
      </c>
      <c r="AA283">
        <v>75915.7</v>
      </c>
      <c r="AC283">
        <v>115912.1</v>
      </c>
      <c r="AE283">
        <v>382471.2</v>
      </c>
      <c r="AG283">
        <v>1880.3</v>
      </c>
      <c r="AI283">
        <v>1050.8</v>
      </c>
      <c r="AK283">
        <v>158.19999999999999</v>
      </c>
      <c r="AM283">
        <v>386.8</v>
      </c>
      <c r="AO283">
        <v>36.1</v>
      </c>
      <c r="AQ283">
        <v>80.400000000000006</v>
      </c>
      <c r="AS283">
        <v>47.9</v>
      </c>
      <c r="AU283">
        <v>37.799999999999997</v>
      </c>
      <c r="AW283">
        <v>38.6</v>
      </c>
      <c r="AY283">
        <v>295.10000000000002</v>
      </c>
      <c r="BA283">
        <v>14129.7</v>
      </c>
      <c r="BC283">
        <v>201.2</v>
      </c>
      <c r="BE283">
        <v>1412.4</v>
      </c>
      <c r="BG283">
        <v>59701</v>
      </c>
      <c r="BI283">
        <v>88010.3</v>
      </c>
      <c r="BK283">
        <v>69356.100000000006</v>
      </c>
      <c r="BM283">
        <v>23019.1</v>
      </c>
      <c r="BO283">
        <v>229551.3</v>
      </c>
      <c r="BQ283">
        <v>1592.8</v>
      </c>
      <c r="BS283">
        <v>5371.2</v>
      </c>
      <c r="BU283">
        <v>85785.7</v>
      </c>
      <c r="BW283">
        <v>3326.6</v>
      </c>
      <c r="BY283">
        <v>31677.4</v>
      </c>
      <c r="CA283">
        <v>1360.7</v>
      </c>
      <c r="CC283">
        <v>18.5</v>
      </c>
      <c r="CE283">
        <v>77.400000000000006</v>
      </c>
      <c r="CG283">
        <v>317.2</v>
      </c>
      <c r="CI283">
        <v>464.6</v>
      </c>
      <c r="CK283">
        <v>7449</v>
      </c>
      <c r="CM283">
        <v>164.2</v>
      </c>
      <c r="CO283">
        <v>188</v>
      </c>
      <c r="CQ283">
        <v>1652.7</v>
      </c>
      <c r="CS283">
        <v>54758.8</v>
      </c>
      <c r="CU283">
        <v>15023.8</v>
      </c>
      <c r="CW283">
        <v>25757.9</v>
      </c>
      <c r="CY283">
        <v>454</v>
      </c>
      <c r="DA283">
        <v>184764.6</v>
      </c>
      <c r="DC283">
        <v>12</v>
      </c>
      <c r="DE283">
        <v>4788</v>
      </c>
      <c r="DG283">
        <v>32</v>
      </c>
      <c r="DI283">
        <v>192.6</v>
      </c>
      <c r="DK283">
        <v>48.7</v>
      </c>
      <c r="DM283">
        <v>5121.2</v>
      </c>
      <c r="DO283">
        <v>17858.599999999999</v>
      </c>
      <c r="DQ283">
        <v>341.2</v>
      </c>
    </row>
    <row r="284" spans="1:121" x14ac:dyDescent="0.2">
      <c r="D284" t="s">
        <v>63</v>
      </c>
      <c r="G284">
        <v>0.27992</v>
      </c>
      <c r="H284" t="s">
        <v>75</v>
      </c>
      <c r="I284">
        <v>1.549E-2</v>
      </c>
      <c r="J284" t="s">
        <v>75</v>
      </c>
      <c r="K284">
        <v>2.8882099999999999</v>
      </c>
      <c r="L284" t="s">
        <v>75</v>
      </c>
      <c r="M284">
        <v>9.6009999999999998E-2</v>
      </c>
      <c r="N284" t="s">
        <v>75</v>
      </c>
      <c r="O284">
        <v>4.0400000000000002E-3</v>
      </c>
      <c r="P284" t="s">
        <v>75</v>
      </c>
      <c r="Q284">
        <v>0.15712000000000001</v>
      </c>
      <c r="R284" t="s">
        <v>75</v>
      </c>
      <c r="S284">
        <v>1.07E-3</v>
      </c>
      <c r="T284" t="s">
        <v>75</v>
      </c>
      <c r="U284">
        <v>1.295E-2</v>
      </c>
      <c r="V284" t="s">
        <v>75</v>
      </c>
      <c r="W284">
        <v>0.1231</v>
      </c>
      <c r="X284" t="s">
        <v>75</v>
      </c>
      <c r="Y284">
        <v>1.0786500000000001</v>
      </c>
      <c r="Z284" t="s">
        <v>75</v>
      </c>
      <c r="AB284" t="s">
        <v>76</v>
      </c>
      <c r="AC284">
        <v>61.655760000000001</v>
      </c>
      <c r="AD284" t="s">
        <v>75</v>
      </c>
      <c r="AE284">
        <v>326.51283999999998</v>
      </c>
      <c r="AF284" t="s">
        <v>75</v>
      </c>
      <c r="AG284">
        <v>0.10266</v>
      </c>
      <c r="AH284" t="s">
        <v>75</v>
      </c>
      <c r="AI284">
        <v>1.67092</v>
      </c>
      <c r="AJ284" t="s">
        <v>75</v>
      </c>
      <c r="AK284">
        <v>2.503E-2</v>
      </c>
      <c r="AL284" t="s">
        <v>75</v>
      </c>
      <c r="AM284">
        <v>-4.8000000000000001E-4</v>
      </c>
      <c r="AN284" t="s">
        <v>75</v>
      </c>
      <c r="AO284">
        <v>3.9399999999999999E-3</v>
      </c>
      <c r="AP284" t="s">
        <v>75</v>
      </c>
      <c r="AQ284">
        <v>8.4000000000000003E-4</v>
      </c>
      <c r="AR284" t="s">
        <v>75</v>
      </c>
      <c r="AS284">
        <v>5.5999999999999995E-4</v>
      </c>
      <c r="AT284" t="s">
        <v>75</v>
      </c>
      <c r="AU284">
        <v>1.5E-3</v>
      </c>
      <c r="AV284" t="s">
        <v>75</v>
      </c>
      <c r="AW284">
        <v>-1.0000000000000001E-5</v>
      </c>
      <c r="AX284" t="s">
        <v>75</v>
      </c>
      <c r="AY284">
        <v>1.308E-2</v>
      </c>
      <c r="AZ284" t="s">
        <v>75</v>
      </c>
      <c r="BC284">
        <v>-2.0517599999999998</v>
      </c>
      <c r="BD284" t="s">
        <v>75</v>
      </c>
      <c r="BE284">
        <v>7.5319999999999998E-2</v>
      </c>
      <c r="BF284" t="s">
        <v>75</v>
      </c>
      <c r="BG284">
        <v>11.389670000000001</v>
      </c>
      <c r="BH284" t="s">
        <v>75</v>
      </c>
      <c r="BI284">
        <v>12.191409999999999</v>
      </c>
      <c r="BJ284" t="s">
        <v>75</v>
      </c>
      <c r="BK284">
        <v>11.60615</v>
      </c>
      <c r="BL284" t="s">
        <v>75</v>
      </c>
      <c r="BM284">
        <v>2.6786099999999999</v>
      </c>
      <c r="BN284" t="s">
        <v>75</v>
      </c>
      <c r="BO284">
        <v>589.72251000000006</v>
      </c>
      <c r="BP284" t="s">
        <v>75</v>
      </c>
      <c r="BQ284">
        <v>3.1143700000000001</v>
      </c>
      <c r="BR284" t="s">
        <v>75</v>
      </c>
      <c r="BS284">
        <v>4.8906400000000003</v>
      </c>
      <c r="BT284" t="s">
        <v>75</v>
      </c>
      <c r="BU284">
        <v>242.62062</v>
      </c>
      <c r="BV284" t="s">
        <v>75</v>
      </c>
      <c r="BW284">
        <v>85.338539999999995</v>
      </c>
      <c r="BX284" t="s">
        <v>75</v>
      </c>
      <c r="BY284">
        <v>459.68239999999997</v>
      </c>
      <c r="BZ284" t="s">
        <v>75</v>
      </c>
      <c r="CA284">
        <v>37.929760000000002</v>
      </c>
      <c r="CB284" t="s">
        <v>75</v>
      </c>
      <c r="CC284">
        <v>9.196E-2</v>
      </c>
      <c r="CD284" t="s">
        <v>75</v>
      </c>
      <c r="CE284">
        <v>6.1700000000000001E-3</v>
      </c>
      <c r="CF284" t="s">
        <v>75</v>
      </c>
      <c r="CG284">
        <v>0.22659000000000001</v>
      </c>
      <c r="CH284" t="s">
        <v>75</v>
      </c>
      <c r="CI284">
        <v>2.0299900000000002</v>
      </c>
      <c r="CJ284" t="s">
        <v>75</v>
      </c>
      <c r="CK284">
        <v>13.690860000000001</v>
      </c>
      <c r="CL284" t="s">
        <v>75</v>
      </c>
      <c r="CM284">
        <v>0.55142999999999998</v>
      </c>
      <c r="CN284" t="s">
        <v>75</v>
      </c>
      <c r="CO284">
        <v>0.33776</v>
      </c>
      <c r="CP284" t="s">
        <v>75</v>
      </c>
      <c r="CQ284">
        <v>9.3849300000000007</v>
      </c>
      <c r="CR284" t="s">
        <v>75</v>
      </c>
      <c r="CS284">
        <v>2422.47741</v>
      </c>
      <c r="CT284" t="s">
        <v>75</v>
      </c>
      <c r="CV284" t="s">
        <v>76</v>
      </c>
      <c r="CW284">
        <v>75.118160000000003</v>
      </c>
      <c r="CX284" t="s">
        <v>75</v>
      </c>
      <c r="DA284">
        <v>811.65042000000005</v>
      </c>
      <c r="DB284" t="s">
        <v>75</v>
      </c>
      <c r="DC284">
        <v>0.13642000000000001</v>
      </c>
      <c r="DD284" t="s">
        <v>75</v>
      </c>
      <c r="DE284">
        <v>133.16999000000001</v>
      </c>
      <c r="DF284" t="s">
        <v>75</v>
      </c>
      <c r="DG284">
        <v>4.52135</v>
      </c>
      <c r="DH284" t="s">
        <v>75</v>
      </c>
      <c r="DI284">
        <v>5.25197</v>
      </c>
      <c r="DJ284" t="s">
        <v>75</v>
      </c>
      <c r="DL284" t="s">
        <v>76</v>
      </c>
      <c r="DN284" t="s">
        <v>76</v>
      </c>
      <c r="DO284">
        <v>73.153570000000002</v>
      </c>
      <c r="DP284" t="s">
        <v>75</v>
      </c>
    </row>
    <row r="285" spans="1:121" x14ac:dyDescent="0.2">
      <c r="D285" t="s">
        <v>64</v>
      </c>
      <c r="G285">
        <v>5.3699999999999998E-3</v>
      </c>
      <c r="H285" t="s">
        <v>75</v>
      </c>
      <c r="I285">
        <v>2.5799999999999998E-3</v>
      </c>
      <c r="J285" t="s">
        <v>75</v>
      </c>
      <c r="K285">
        <v>5.9479999999999998E-2</v>
      </c>
      <c r="L285" t="s">
        <v>75</v>
      </c>
      <c r="M285">
        <v>2.8500000000000001E-3</v>
      </c>
      <c r="N285" t="s">
        <v>75</v>
      </c>
      <c r="O285">
        <v>1.4999999999999999E-4</v>
      </c>
      <c r="P285" t="s">
        <v>75</v>
      </c>
      <c r="Q285">
        <v>3.2499999999999999E-3</v>
      </c>
      <c r="R285" t="s">
        <v>75</v>
      </c>
      <c r="S285">
        <v>5.0000000000000002E-5</v>
      </c>
      <c r="T285" t="s">
        <v>75</v>
      </c>
      <c r="U285">
        <v>7.7999999999999999E-4</v>
      </c>
      <c r="V285" t="s">
        <v>75</v>
      </c>
      <c r="W285">
        <v>3.7799999999999999E-3</v>
      </c>
      <c r="X285" t="s">
        <v>75</v>
      </c>
      <c r="Y285">
        <v>3.61E-2</v>
      </c>
      <c r="Z285" t="s">
        <v>75</v>
      </c>
      <c r="AC285">
        <v>1.3984399999999999</v>
      </c>
      <c r="AD285" t="s">
        <v>75</v>
      </c>
      <c r="AE285">
        <v>7.3227200000000003</v>
      </c>
      <c r="AF285" t="s">
        <v>75</v>
      </c>
      <c r="AG285">
        <v>1.1199999999999999E-3</v>
      </c>
      <c r="AH285" t="s">
        <v>75</v>
      </c>
      <c r="AI285">
        <v>3.7350000000000001E-2</v>
      </c>
      <c r="AJ285" t="s">
        <v>75</v>
      </c>
      <c r="AK285">
        <v>6.2E-4</v>
      </c>
      <c r="AL285" t="s">
        <v>75</v>
      </c>
      <c r="AM285">
        <v>4.0000000000000002E-4</v>
      </c>
      <c r="AN285" t="s">
        <v>75</v>
      </c>
      <c r="AO285">
        <v>1.8000000000000001E-4</v>
      </c>
      <c r="AP285" t="s">
        <v>75</v>
      </c>
      <c r="AQ285">
        <v>3.6000000000000002E-4</v>
      </c>
      <c r="AR285" t="s">
        <v>75</v>
      </c>
      <c r="AS285">
        <v>2.0000000000000001E-4</v>
      </c>
      <c r="AT285" t="s">
        <v>75</v>
      </c>
      <c r="AU285">
        <v>2.0000000000000002E-5</v>
      </c>
      <c r="AV285" t="s">
        <v>75</v>
      </c>
      <c r="AW285">
        <v>1.1E-4</v>
      </c>
      <c r="AX285" t="s">
        <v>75</v>
      </c>
      <c r="AY285">
        <v>1.4300000000000001E-3</v>
      </c>
      <c r="AZ285" t="s">
        <v>75</v>
      </c>
      <c r="BC285">
        <v>7.2000000000000005E-4</v>
      </c>
      <c r="BD285" t="s">
        <v>75</v>
      </c>
      <c r="BE285">
        <v>2.4299999999999999E-3</v>
      </c>
      <c r="BF285" t="s">
        <v>75</v>
      </c>
      <c r="BG285">
        <v>0.38740000000000002</v>
      </c>
      <c r="BH285" t="s">
        <v>75</v>
      </c>
      <c r="BI285">
        <v>0.2485</v>
      </c>
      <c r="BJ285" t="s">
        <v>75</v>
      </c>
      <c r="BK285">
        <v>0.24759</v>
      </c>
      <c r="BL285" t="s">
        <v>75</v>
      </c>
      <c r="BM285">
        <v>7.6490000000000002E-2</v>
      </c>
      <c r="BN285" t="s">
        <v>75</v>
      </c>
      <c r="BO285">
        <v>8.4959500000000006</v>
      </c>
      <c r="BP285" t="s">
        <v>75</v>
      </c>
      <c r="BQ285">
        <v>7.4459999999999998E-2</v>
      </c>
      <c r="BR285" t="s">
        <v>75</v>
      </c>
      <c r="BS285">
        <v>0.15143000000000001</v>
      </c>
      <c r="BT285" t="s">
        <v>75</v>
      </c>
      <c r="BU285">
        <v>5.2135199999999999</v>
      </c>
      <c r="BV285" t="s">
        <v>75</v>
      </c>
      <c r="BW285">
        <v>1.9950000000000001</v>
      </c>
      <c r="BX285" t="s">
        <v>75</v>
      </c>
      <c r="BY285">
        <v>10.688800000000001</v>
      </c>
      <c r="BZ285" t="s">
        <v>75</v>
      </c>
      <c r="CA285">
        <v>0.84225000000000005</v>
      </c>
      <c r="CB285" t="s">
        <v>75</v>
      </c>
      <c r="CC285">
        <v>3.8400000000000001E-3</v>
      </c>
      <c r="CD285" t="s">
        <v>75</v>
      </c>
      <c r="CE285">
        <v>1.1800000000000001E-3</v>
      </c>
      <c r="CF285" t="s">
        <v>75</v>
      </c>
      <c r="CG285">
        <v>6.9800000000000001E-3</v>
      </c>
      <c r="CH285" t="s">
        <v>75</v>
      </c>
      <c r="CI285">
        <v>2.0539999999999999E-2</v>
      </c>
      <c r="CJ285" t="s">
        <v>75</v>
      </c>
      <c r="CK285">
        <v>0.20609</v>
      </c>
      <c r="CL285" t="s">
        <v>75</v>
      </c>
      <c r="CM285">
        <v>6.0600000000000003E-3</v>
      </c>
      <c r="CN285" t="s">
        <v>75</v>
      </c>
      <c r="CO285">
        <v>1.281E-2</v>
      </c>
      <c r="CP285" t="s">
        <v>75</v>
      </c>
      <c r="CQ285">
        <v>8.7730000000000002E-2</v>
      </c>
      <c r="CR285" t="s">
        <v>75</v>
      </c>
      <c r="CS285">
        <v>31.890750000000001</v>
      </c>
      <c r="CT285" t="s">
        <v>75</v>
      </c>
      <c r="CW285">
        <v>0.41975000000000001</v>
      </c>
      <c r="CX285" t="s">
        <v>75</v>
      </c>
      <c r="DA285">
        <v>24.703790000000001</v>
      </c>
      <c r="DB285" t="s">
        <v>75</v>
      </c>
      <c r="DC285">
        <v>4.1799999999999997E-3</v>
      </c>
      <c r="DD285" t="s">
        <v>75</v>
      </c>
      <c r="DE285">
        <v>0.64231000000000005</v>
      </c>
      <c r="DF285" t="s">
        <v>75</v>
      </c>
      <c r="DG285">
        <v>0.21296000000000001</v>
      </c>
      <c r="DH285" t="s">
        <v>75</v>
      </c>
      <c r="DI285">
        <v>0.22126999999999999</v>
      </c>
      <c r="DJ285" t="s">
        <v>75</v>
      </c>
      <c r="DO285">
        <v>3.9059900000000001</v>
      </c>
      <c r="DP285" t="s">
        <v>75</v>
      </c>
    </row>
    <row r="286" spans="1:121" x14ac:dyDescent="0.2">
      <c r="D286" t="s">
        <v>65</v>
      </c>
      <c r="G286" t="s">
        <v>66</v>
      </c>
      <c r="I286" t="s">
        <v>66</v>
      </c>
      <c r="K286" t="s">
        <v>66</v>
      </c>
      <c r="M286" t="s">
        <v>66</v>
      </c>
      <c r="O286" t="s">
        <v>66</v>
      </c>
      <c r="Q286" t="s">
        <v>66</v>
      </c>
      <c r="S286" t="s">
        <v>66</v>
      </c>
      <c r="U286" t="s">
        <v>66</v>
      </c>
      <c r="W286" t="s">
        <v>66</v>
      </c>
      <c r="Y286" t="s">
        <v>66</v>
      </c>
      <c r="AA286" t="s">
        <v>66</v>
      </c>
      <c r="AC286" t="s">
        <v>66</v>
      </c>
      <c r="AE286" t="s">
        <v>66</v>
      </c>
      <c r="AG286" t="s">
        <v>66</v>
      </c>
      <c r="AI286" t="s">
        <v>66</v>
      </c>
      <c r="AK286" t="s">
        <v>66</v>
      </c>
      <c r="AM286" t="s">
        <v>66</v>
      </c>
      <c r="AO286" t="s">
        <v>66</v>
      </c>
      <c r="AQ286" t="s">
        <v>66</v>
      </c>
      <c r="AS286" t="s">
        <v>66</v>
      </c>
      <c r="AU286" t="s">
        <v>66</v>
      </c>
      <c r="AW286" t="s">
        <v>66</v>
      </c>
      <c r="AY286" t="s">
        <v>66</v>
      </c>
      <c r="BA286" t="s">
        <v>66</v>
      </c>
      <c r="BC286" t="s">
        <v>66</v>
      </c>
      <c r="BE286" t="s">
        <v>66</v>
      </c>
      <c r="BG286" t="s">
        <v>66</v>
      </c>
      <c r="BI286" t="s">
        <v>66</v>
      </c>
      <c r="BK286" t="s">
        <v>66</v>
      </c>
      <c r="BM286" t="s">
        <v>66</v>
      </c>
      <c r="BO286" t="s">
        <v>66</v>
      </c>
      <c r="BQ286" t="s">
        <v>66</v>
      </c>
      <c r="BS286" t="s">
        <v>66</v>
      </c>
      <c r="BU286" t="s">
        <v>66</v>
      </c>
      <c r="BW286" t="s">
        <v>66</v>
      </c>
      <c r="BY286" t="s">
        <v>66</v>
      </c>
      <c r="CA286" t="s">
        <v>66</v>
      </c>
      <c r="CC286" t="s">
        <v>66</v>
      </c>
      <c r="CE286" t="s">
        <v>66</v>
      </c>
      <c r="CG286" t="s">
        <v>66</v>
      </c>
      <c r="CI286" t="s">
        <v>66</v>
      </c>
      <c r="CK286" t="s">
        <v>66</v>
      </c>
      <c r="CM286" t="s">
        <v>66</v>
      </c>
      <c r="CO286" t="s">
        <v>66</v>
      </c>
      <c r="CQ286" t="s">
        <v>66</v>
      </c>
      <c r="CS286" t="s">
        <v>66</v>
      </c>
      <c r="CU286" t="s">
        <v>66</v>
      </c>
      <c r="CW286" t="s">
        <v>66</v>
      </c>
      <c r="CY286" t="s">
        <v>66</v>
      </c>
      <c r="DA286" t="s">
        <v>66</v>
      </c>
      <c r="DC286" t="s">
        <v>66</v>
      </c>
      <c r="DE286" t="s">
        <v>66</v>
      </c>
      <c r="DG286" t="s">
        <v>66</v>
      </c>
      <c r="DI286" t="s">
        <v>66</v>
      </c>
      <c r="DK286" t="s">
        <v>66</v>
      </c>
      <c r="DM286" t="s">
        <v>66</v>
      </c>
      <c r="DO286" t="s">
        <v>66</v>
      </c>
      <c r="DQ286" t="s">
        <v>66</v>
      </c>
    </row>
    <row r="287" spans="1:121" x14ac:dyDescent="0.2">
      <c r="A287" t="s">
        <v>627</v>
      </c>
      <c r="D287" t="s">
        <v>60</v>
      </c>
      <c r="E287" t="s">
        <v>61</v>
      </c>
      <c r="G287">
        <v>157754.4</v>
      </c>
      <c r="I287">
        <v>35721.199999999997</v>
      </c>
      <c r="K287">
        <v>947082.2</v>
      </c>
      <c r="M287">
        <v>1263021.7</v>
      </c>
      <c r="O287">
        <v>1470038.2</v>
      </c>
      <c r="Q287">
        <v>179318.6</v>
      </c>
      <c r="S287">
        <v>1369064.8</v>
      </c>
      <c r="U287">
        <v>280942.5</v>
      </c>
      <c r="W287">
        <v>559554</v>
      </c>
      <c r="Y287">
        <v>80591.399999999994</v>
      </c>
      <c r="AA287">
        <v>3049255</v>
      </c>
      <c r="AC287">
        <v>323228</v>
      </c>
      <c r="AE287">
        <v>319893</v>
      </c>
      <c r="AG287">
        <v>1574262.7</v>
      </c>
      <c r="AI287">
        <v>651537.19999999995</v>
      </c>
      <c r="AK287">
        <v>1747209.5</v>
      </c>
      <c r="AM287">
        <v>1597748.7</v>
      </c>
      <c r="AO287">
        <v>331228.5</v>
      </c>
      <c r="AQ287">
        <v>285365.7</v>
      </c>
      <c r="AS287">
        <v>274668.7</v>
      </c>
      <c r="AU287">
        <v>1929415.3</v>
      </c>
      <c r="AW287">
        <v>514187.3</v>
      </c>
      <c r="AY287">
        <v>388444.3</v>
      </c>
      <c r="BA287">
        <v>684323.3</v>
      </c>
      <c r="BC287">
        <v>307297.09999999998</v>
      </c>
      <c r="BE287">
        <v>1264135.3</v>
      </c>
      <c r="BG287">
        <v>426955.7</v>
      </c>
      <c r="BI287">
        <v>360242</v>
      </c>
      <c r="BK287">
        <v>897657.8</v>
      </c>
      <c r="BM287">
        <v>1363125</v>
      </c>
      <c r="BO287">
        <v>433815.6</v>
      </c>
      <c r="BQ287">
        <v>255636.6</v>
      </c>
      <c r="BS287">
        <v>198851.6</v>
      </c>
      <c r="BU287">
        <v>744524.1</v>
      </c>
      <c r="BW287">
        <v>3741.6</v>
      </c>
      <c r="BY287">
        <v>112265.9</v>
      </c>
      <c r="CA287">
        <v>23352.7</v>
      </c>
      <c r="CC287">
        <v>5611.5</v>
      </c>
      <c r="CE287">
        <v>78263.899999999994</v>
      </c>
      <c r="CG287">
        <v>70280.600000000006</v>
      </c>
      <c r="CI287">
        <v>90548.800000000003</v>
      </c>
      <c r="CK287">
        <v>287365.3</v>
      </c>
      <c r="CM287">
        <v>83901.3</v>
      </c>
      <c r="CO287">
        <v>18880.7</v>
      </c>
      <c r="CQ287">
        <v>39939.800000000003</v>
      </c>
      <c r="CS287">
        <v>22623.1</v>
      </c>
      <c r="CU287">
        <v>268764.3</v>
      </c>
      <c r="CW287">
        <v>34311.4</v>
      </c>
      <c r="CY287">
        <v>61393.2</v>
      </c>
      <c r="DA287">
        <v>203996.6</v>
      </c>
      <c r="DC287">
        <v>3257.2</v>
      </c>
      <c r="DE287">
        <v>3104.9</v>
      </c>
      <c r="DG287">
        <v>389.1</v>
      </c>
      <c r="DI287">
        <v>3131.8</v>
      </c>
      <c r="DK287">
        <v>928.8</v>
      </c>
      <c r="DM287">
        <v>72642.7</v>
      </c>
      <c r="DO287">
        <v>8761.7999999999993</v>
      </c>
      <c r="DQ287">
        <v>15901.8</v>
      </c>
    </row>
    <row r="288" spans="1:121" x14ac:dyDescent="0.2">
      <c r="D288" t="s">
        <v>62</v>
      </c>
      <c r="E288" t="s">
        <v>61</v>
      </c>
      <c r="G288">
        <v>983.9</v>
      </c>
      <c r="I288">
        <v>227.7</v>
      </c>
      <c r="K288">
        <v>7469.2</v>
      </c>
      <c r="M288">
        <v>5766.7</v>
      </c>
      <c r="O288">
        <v>2749.7</v>
      </c>
      <c r="Q288">
        <v>1295.4000000000001</v>
      </c>
      <c r="S288">
        <v>27677.5</v>
      </c>
      <c r="U288">
        <v>4236</v>
      </c>
      <c r="W288">
        <v>12749.5</v>
      </c>
      <c r="Y288">
        <v>1065.8</v>
      </c>
      <c r="AA288">
        <v>28347.7</v>
      </c>
      <c r="AC288">
        <v>3647.4</v>
      </c>
      <c r="AE288">
        <v>4949.2</v>
      </c>
      <c r="AG288">
        <v>13772.7</v>
      </c>
      <c r="AI288">
        <v>2547.1</v>
      </c>
      <c r="AK288">
        <v>17503.8</v>
      </c>
      <c r="AM288">
        <v>11252.4</v>
      </c>
      <c r="AO288">
        <v>1181</v>
      </c>
      <c r="AQ288">
        <v>4869.7</v>
      </c>
      <c r="AS288">
        <v>2058.9</v>
      </c>
      <c r="AU288">
        <v>15137.6</v>
      </c>
      <c r="AW288">
        <v>5394.2</v>
      </c>
      <c r="AY288">
        <v>836.7</v>
      </c>
      <c r="BA288">
        <v>4109.8999999999996</v>
      </c>
      <c r="BC288">
        <v>2182.6</v>
      </c>
      <c r="BE288">
        <v>10914.8</v>
      </c>
      <c r="BG288">
        <v>7046.5</v>
      </c>
      <c r="BI288">
        <v>3799.8</v>
      </c>
      <c r="BK288">
        <v>13353.8</v>
      </c>
      <c r="BM288">
        <v>12630.7</v>
      </c>
      <c r="BO288">
        <v>7815.9</v>
      </c>
      <c r="BQ288">
        <v>2678.5</v>
      </c>
      <c r="BS288">
        <v>5076.8</v>
      </c>
      <c r="BU288">
        <v>8282.4</v>
      </c>
      <c r="BW288">
        <v>140.30000000000001</v>
      </c>
      <c r="BY288">
        <v>585.20000000000005</v>
      </c>
      <c r="CA288">
        <v>530.29999999999995</v>
      </c>
      <c r="CC288">
        <v>376.2</v>
      </c>
      <c r="CE288">
        <v>2650.3</v>
      </c>
      <c r="CG288">
        <v>3418.3</v>
      </c>
      <c r="CI288">
        <v>441.3</v>
      </c>
      <c r="CK288">
        <v>7660.9</v>
      </c>
      <c r="CM288">
        <v>1757.1</v>
      </c>
      <c r="CO288">
        <v>1101.7</v>
      </c>
      <c r="CQ288">
        <v>490.1</v>
      </c>
      <c r="CS288">
        <v>1502.5</v>
      </c>
      <c r="CU288">
        <v>5668.1</v>
      </c>
      <c r="CW288">
        <v>920.6</v>
      </c>
      <c r="CY288">
        <v>1069.0999999999999</v>
      </c>
      <c r="DA288">
        <v>866.6</v>
      </c>
      <c r="DC288">
        <v>128.4</v>
      </c>
      <c r="DE288">
        <v>70</v>
      </c>
      <c r="DG288">
        <v>56.1</v>
      </c>
      <c r="DI288">
        <v>270</v>
      </c>
      <c r="DK288">
        <v>24.3</v>
      </c>
      <c r="DM288">
        <v>1292</v>
      </c>
      <c r="DO288">
        <v>282.2</v>
      </c>
      <c r="DQ288">
        <v>112.2</v>
      </c>
    </row>
    <row r="289" spans="1:121" x14ac:dyDescent="0.2">
      <c r="D289" t="s">
        <v>63</v>
      </c>
      <c r="G289">
        <v>1.20709</v>
      </c>
      <c r="H289" t="s">
        <v>75</v>
      </c>
      <c r="I289">
        <v>1.2241</v>
      </c>
      <c r="J289" t="s">
        <v>75</v>
      </c>
      <c r="K289">
        <v>1.1898</v>
      </c>
      <c r="L289" t="s">
        <v>75</v>
      </c>
      <c r="M289">
        <v>1.23695</v>
      </c>
      <c r="N289" t="s">
        <v>75</v>
      </c>
      <c r="O289">
        <v>1.2167699999999999</v>
      </c>
      <c r="P289" t="s">
        <v>75</v>
      </c>
      <c r="Q289">
        <v>1.1679900000000001</v>
      </c>
      <c r="R289" t="s">
        <v>75</v>
      </c>
      <c r="S289">
        <v>1.18553</v>
      </c>
      <c r="T289" t="s">
        <v>75</v>
      </c>
      <c r="U289">
        <v>1.1569700000000001</v>
      </c>
      <c r="V289" t="s">
        <v>75</v>
      </c>
      <c r="W289">
        <v>1.1792499999999999</v>
      </c>
      <c r="X289" t="s">
        <v>75</v>
      </c>
      <c r="Y289">
        <v>1.18553</v>
      </c>
      <c r="Z289" t="s">
        <v>75</v>
      </c>
      <c r="AB289" t="s">
        <v>76</v>
      </c>
      <c r="AC289">
        <v>1.18076</v>
      </c>
      <c r="AD289" t="s">
        <v>75</v>
      </c>
      <c r="AE289">
        <v>1.22603</v>
      </c>
      <c r="AF289" t="s">
        <v>75</v>
      </c>
      <c r="AG289">
        <v>1.2080500000000001</v>
      </c>
      <c r="AH289" t="s">
        <v>75</v>
      </c>
      <c r="AI289">
        <v>4.0796000000000001</v>
      </c>
      <c r="AJ289" t="s">
        <v>75</v>
      </c>
      <c r="AK289">
        <v>1.18553</v>
      </c>
      <c r="AL289" t="s">
        <v>75</v>
      </c>
      <c r="AM289">
        <v>1.1834899999999999</v>
      </c>
      <c r="AN289" t="s">
        <v>75</v>
      </c>
      <c r="AO289">
        <v>1.1995899999999999</v>
      </c>
      <c r="AP289" t="s">
        <v>75</v>
      </c>
      <c r="AQ289">
        <v>1.2113799999999999</v>
      </c>
      <c r="AR289" t="s">
        <v>75</v>
      </c>
      <c r="AS289">
        <v>1.20695</v>
      </c>
      <c r="AT289" t="s">
        <v>75</v>
      </c>
      <c r="AU289">
        <v>1.2591399999999999</v>
      </c>
      <c r="AV289" t="s">
        <v>75</v>
      </c>
      <c r="AW289">
        <v>1.2268300000000001</v>
      </c>
      <c r="AX289" t="s">
        <v>75</v>
      </c>
      <c r="AY289">
        <v>1.23143</v>
      </c>
      <c r="AZ289" t="s">
        <v>75</v>
      </c>
      <c r="BC289">
        <v>-1.14886</v>
      </c>
      <c r="BD289" t="s">
        <v>75</v>
      </c>
      <c r="BE289">
        <v>1.1983600000000001</v>
      </c>
      <c r="BF289" t="s">
        <v>75</v>
      </c>
      <c r="BG289">
        <v>1.1773400000000001</v>
      </c>
      <c r="BH289" t="s">
        <v>75</v>
      </c>
      <c r="BI289">
        <v>1.1635</v>
      </c>
      <c r="BJ289" t="s">
        <v>75</v>
      </c>
      <c r="BK289">
        <v>1.18045</v>
      </c>
      <c r="BL289" t="s">
        <v>75</v>
      </c>
      <c r="BM289">
        <v>1.2592000000000001</v>
      </c>
      <c r="BN289" t="s">
        <v>75</v>
      </c>
      <c r="BO289">
        <v>7.57348</v>
      </c>
      <c r="BP289" t="s">
        <v>75</v>
      </c>
      <c r="BQ289">
        <v>7.9845499999999996</v>
      </c>
      <c r="BR289" t="s">
        <v>75</v>
      </c>
      <c r="BS289">
        <v>3.8689800000000001</v>
      </c>
      <c r="BT289" t="s">
        <v>75</v>
      </c>
      <c r="BU289">
        <v>9.4427199999999996</v>
      </c>
      <c r="BV289" t="s">
        <v>75</v>
      </c>
      <c r="BW289">
        <v>1.2917400000000001</v>
      </c>
      <c r="BX289" t="s">
        <v>75</v>
      </c>
      <c r="BY289">
        <v>22.50695</v>
      </c>
      <c r="BZ289" t="s">
        <v>75</v>
      </c>
      <c r="CA289">
        <v>8.5479800000000008</v>
      </c>
      <c r="CB289" t="s">
        <v>75</v>
      </c>
      <c r="CC289">
        <v>1.1488100000000001</v>
      </c>
      <c r="CD289" t="s">
        <v>75</v>
      </c>
      <c r="CE289">
        <v>1.13106</v>
      </c>
      <c r="CF289" t="s">
        <v>75</v>
      </c>
      <c r="CG289">
        <v>1.1466799999999999</v>
      </c>
      <c r="CH289" t="s">
        <v>75</v>
      </c>
      <c r="CI289">
        <v>1.1188499999999999</v>
      </c>
      <c r="CJ289" t="s">
        <v>75</v>
      </c>
      <c r="CK289">
        <v>3.6233599999999999</v>
      </c>
      <c r="CL289" t="s">
        <v>75</v>
      </c>
      <c r="CM289">
        <v>1.15069</v>
      </c>
      <c r="CN289" t="s">
        <v>75</v>
      </c>
      <c r="CO289">
        <v>1.0480700000000001</v>
      </c>
      <c r="CP289" t="s">
        <v>75</v>
      </c>
      <c r="CQ289">
        <v>1.14635</v>
      </c>
      <c r="CR289" t="s">
        <v>75</v>
      </c>
      <c r="CS289">
        <v>5.6512200000000004</v>
      </c>
      <c r="CT289" t="s">
        <v>75</v>
      </c>
      <c r="CV289" t="s">
        <v>76</v>
      </c>
      <c r="CW289">
        <v>1.2119500000000001</v>
      </c>
      <c r="CX289" t="s">
        <v>75</v>
      </c>
      <c r="DA289">
        <v>12.24098</v>
      </c>
      <c r="DB289" t="s">
        <v>75</v>
      </c>
      <c r="DC289">
        <v>1.4674499999999999</v>
      </c>
      <c r="DD289" t="s">
        <v>75</v>
      </c>
      <c r="DE289">
        <v>1.42238</v>
      </c>
      <c r="DF289" t="s">
        <v>75</v>
      </c>
      <c r="DG289">
        <v>2.0382400000000001</v>
      </c>
      <c r="DH289" t="s">
        <v>75</v>
      </c>
      <c r="DI289">
        <v>5.1995899999999997</v>
      </c>
      <c r="DJ289" t="s">
        <v>75</v>
      </c>
      <c r="DL289" t="s">
        <v>76</v>
      </c>
      <c r="DN289" t="s">
        <v>76</v>
      </c>
      <c r="DO289">
        <v>1.321</v>
      </c>
      <c r="DP289" t="s">
        <v>75</v>
      </c>
    </row>
    <row r="290" spans="1:121" x14ac:dyDescent="0.2">
      <c r="D290" t="s">
        <v>64</v>
      </c>
      <c r="G290">
        <v>1.2880000000000001E-2</v>
      </c>
      <c r="H290" t="s">
        <v>75</v>
      </c>
      <c r="I290">
        <v>1.5169999999999999E-2</v>
      </c>
      <c r="J290" t="s">
        <v>75</v>
      </c>
      <c r="K290">
        <v>9.3600000000000003E-3</v>
      </c>
      <c r="L290" t="s">
        <v>75</v>
      </c>
      <c r="M290">
        <v>1.078E-2</v>
      </c>
      <c r="N290" t="s">
        <v>75</v>
      </c>
      <c r="O290">
        <v>8.8599999999999998E-3</v>
      </c>
      <c r="P290" t="s">
        <v>75</v>
      </c>
      <c r="Q290">
        <v>1.4970000000000001E-2</v>
      </c>
      <c r="R290" t="s">
        <v>75</v>
      </c>
      <c r="S290">
        <v>2.5069999999999999E-2</v>
      </c>
      <c r="T290" t="s">
        <v>75</v>
      </c>
      <c r="U290">
        <v>2.1610000000000001E-2</v>
      </c>
      <c r="V290" t="s">
        <v>75</v>
      </c>
      <c r="W290">
        <v>2.4330000000000001E-2</v>
      </c>
      <c r="X290" t="s">
        <v>75</v>
      </c>
      <c r="Y290">
        <v>2.1669999999999998E-2</v>
      </c>
      <c r="Z290" t="s">
        <v>75</v>
      </c>
      <c r="AC290">
        <v>7.1799999999999998E-3</v>
      </c>
      <c r="AD290" t="s">
        <v>75</v>
      </c>
      <c r="AE290">
        <v>1.1350000000000001E-2</v>
      </c>
      <c r="AF290" t="s">
        <v>75</v>
      </c>
      <c r="AG290">
        <v>1.626E-2</v>
      </c>
      <c r="AH290" t="s">
        <v>75</v>
      </c>
      <c r="AI290">
        <v>3.986E-2</v>
      </c>
      <c r="AJ290" t="s">
        <v>75</v>
      </c>
      <c r="AK290">
        <v>1.553E-2</v>
      </c>
      <c r="AL290" t="s">
        <v>75</v>
      </c>
      <c r="AM290">
        <v>1.366E-2</v>
      </c>
      <c r="AN290" t="s">
        <v>75</v>
      </c>
      <c r="AO290">
        <v>9.8399999999999998E-3</v>
      </c>
      <c r="AP290" t="s">
        <v>75</v>
      </c>
      <c r="AQ290">
        <v>2.605E-2</v>
      </c>
      <c r="AR290" t="s">
        <v>75</v>
      </c>
      <c r="AS290">
        <v>1.217E-2</v>
      </c>
      <c r="AT290" t="s">
        <v>75</v>
      </c>
      <c r="AU290">
        <v>7.7000000000000002E-3</v>
      </c>
      <c r="AV290" t="s">
        <v>75</v>
      </c>
      <c r="AW290">
        <v>6.45E-3</v>
      </c>
      <c r="AX290" t="s">
        <v>75</v>
      </c>
      <c r="AY290">
        <v>1.01E-2</v>
      </c>
      <c r="AZ290" t="s">
        <v>75</v>
      </c>
      <c r="BC290">
        <v>1.1900000000000001E-2</v>
      </c>
      <c r="BD290" t="s">
        <v>75</v>
      </c>
      <c r="BE290">
        <v>1.745E-2</v>
      </c>
      <c r="BF290" t="s">
        <v>75</v>
      </c>
      <c r="BG290">
        <v>2.7279999999999999E-2</v>
      </c>
      <c r="BH290" t="s">
        <v>75</v>
      </c>
      <c r="BI290">
        <v>1.9449999999999999E-2</v>
      </c>
      <c r="BJ290" t="s">
        <v>75</v>
      </c>
      <c r="BK290">
        <v>2.24E-2</v>
      </c>
      <c r="BL290" t="s">
        <v>75</v>
      </c>
      <c r="BM290">
        <v>1.9310000000000001E-2</v>
      </c>
      <c r="BN290" t="s">
        <v>75</v>
      </c>
      <c r="BO290">
        <v>0.25683</v>
      </c>
      <c r="BP290" t="s">
        <v>75</v>
      </c>
      <c r="BQ290">
        <v>0.20161000000000001</v>
      </c>
      <c r="BR290" t="s">
        <v>75</v>
      </c>
      <c r="BS290">
        <v>0.11057</v>
      </c>
      <c r="BT290" t="s">
        <v>75</v>
      </c>
      <c r="BU290">
        <v>0.83306000000000002</v>
      </c>
      <c r="BV290" t="s">
        <v>75</v>
      </c>
      <c r="BW290">
        <v>8.5370000000000001E-2</v>
      </c>
      <c r="BX290" t="s">
        <v>75</v>
      </c>
      <c r="BY290">
        <v>0.69333</v>
      </c>
      <c r="BZ290" t="s">
        <v>75</v>
      </c>
      <c r="CA290">
        <v>0.34178999999999998</v>
      </c>
      <c r="CB290" t="s">
        <v>75</v>
      </c>
      <c r="CC290">
        <v>7.7439999999999995E-2</v>
      </c>
      <c r="CD290" t="s">
        <v>75</v>
      </c>
      <c r="CE290">
        <v>5.0950000000000002E-2</v>
      </c>
      <c r="CF290" t="s">
        <v>75</v>
      </c>
      <c r="CG290">
        <v>7.2289999999999993E-2</v>
      </c>
      <c r="CH290" t="s">
        <v>75</v>
      </c>
      <c r="CI290">
        <v>2.0199999999999999E-2</v>
      </c>
      <c r="CJ290" t="s">
        <v>75</v>
      </c>
      <c r="CK290">
        <v>0.15362999999999999</v>
      </c>
      <c r="CL290" t="s">
        <v>75</v>
      </c>
      <c r="CM290">
        <v>4.3740000000000001E-2</v>
      </c>
      <c r="CN290" t="s">
        <v>75</v>
      </c>
      <c r="CO290">
        <v>7.8049999999999994E-2</v>
      </c>
      <c r="CP290" t="s">
        <v>75</v>
      </c>
      <c r="CQ290">
        <v>3.5180000000000003E-2</v>
      </c>
      <c r="CR290" t="s">
        <v>75</v>
      </c>
      <c r="CS290">
        <v>0.42477999999999999</v>
      </c>
      <c r="CT290" t="s">
        <v>75</v>
      </c>
      <c r="CW290">
        <v>5.5230000000000001E-2</v>
      </c>
      <c r="CX290" t="s">
        <v>75</v>
      </c>
      <c r="DA290">
        <v>0.10792</v>
      </c>
      <c r="DB290" t="s">
        <v>75</v>
      </c>
      <c r="DC290">
        <v>6.4380000000000007E-2</v>
      </c>
      <c r="DD290" t="s">
        <v>75</v>
      </c>
      <c r="DE290">
        <v>3.0689999999999999E-2</v>
      </c>
      <c r="DF290" t="s">
        <v>75</v>
      </c>
      <c r="DG290">
        <v>0.31738</v>
      </c>
      <c r="DH290" t="s">
        <v>75</v>
      </c>
      <c r="DI290">
        <v>0.52780000000000005</v>
      </c>
      <c r="DJ290" t="s">
        <v>75</v>
      </c>
      <c r="DO290">
        <v>5.1369999999999999E-2</v>
      </c>
      <c r="DP290" t="s">
        <v>75</v>
      </c>
    </row>
    <row r="291" spans="1:121" x14ac:dyDescent="0.2">
      <c r="D291" t="s">
        <v>65</v>
      </c>
      <c r="G291" t="s">
        <v>66</v>
      </c>
      <c r="I291" t="s">
        <v>66</v>
      </c>
      <c r="K291" t="s">
        <v>66</v>
      </c>
      <c r="M291" t="s">
        <v>66</v>
      </c>
      <c r="O291" t="s">
        <v>66</v>
      </c>
      <c r="Q291" t="s">
        <v>66</v>
      </c>
      <c r="S291" t="s">
        <v>66</v>
      </c>
      <c r="U291" t="s">
        <v>66</v>
      </c>
      <c r="W291" t="s">
        <v>66</v>
      </c>
      <c r="Y291" t="s">
        <v>66</v>
      </c>
      <c r="AA291" t="s">
        <v>66</v>
      </c>
      <c r="AC291" t="s">
        <v>66</v>
      </c>
      <c r="AE291" t="s">
        <v>66</v>
      </c>
      <c r="AG291" t="s">
        <v>66</v>
      </c>
      <c r="AI291" t="s">
        <v>66</v>
      </c>
      <c r="AK291" t="s">
        <v>66</v>
      </c>
      <c r="AM291" t="s">
        <v>66</v>
      </c>
      <c r="AO291" t="s">
        <v>66</v>
      </c>
      <c r="AQ291" t="s">
        <v>66</v>
      </c>
      <c r="AS291" t="s">
        <v>66</v>
      </c>
      <c r="AU291" t="s">
        <v>66</v>
      </c>
      <c r="AW291" t="s">
        <v>66</v>
      </c>
      <c r="AY291" t="s">
        <v>66</v>
      </c>
      <c r="BA291" t="s">
        <v>66</v>
      </c>
      <c r="BC291" t="s">
        <v>66</v>
      </c>
      <c r="BE291" t="s">
        <v>66</v>
      </c>
      <c r="BG291" t="s">
        <v>66</v>
      </c>
      <c r="BI291" t="s">
        <v>66</v>
      </c>
      <c r="BK291" t="s">
        <v>66</v>
      </c>
      <c r="BM291" t="s">
        <v>66</v>
      </c>
      <c r="BO291" t="s">
        <v>66</v>
      </c>
      <c r="BQ291" t="s">
        <v>66</v>
      </c>
      <c r="BS291" t="s">
        <v>66</v>
      </c>
      <c r="BU291" t="s">
        <v>66</v>
      </c>
      <c r="BW291" t="s">
        <v>66</v>
      </c>
      <c r="BY291" t="s">
        <v>66</v>
      </c>
      <c r="CA291" t="s">
        <v>66</v>
      </c>
      <c r="CC291" t="s">
        <v>66</v>
      </c>
      <c r="CE291" t="s">
        <v>66</v>
      </c>
      <c r="CG291" t="s">
        <v>66</v>
      </c>
      <c r="CI291" t="s">
        <v>66</v>
      </c>
      <c r="CK291" t="s">
        <v>66</v>
      </c>
      <c r="CM291" t="s">
        <v>66</v>
      </c>
      <c r="CO291" t="s">
        <v>66</v>
      </c>
      <c r="CQ291" t="s">
        <v>66</v>
      </c>
      <c r="CS291" t="s">
        <v>66</v>
      </c>
      <c r="CU291" t="s">
        <v>66</v>
      </c>
      <c r="CW291" t="s">
        <v>66</v>
      </c>
      <c r="CY291" t="s">
        <v>66</v>
      </c>
      <c r="DA291" t="s">
        <v>66</v>
      </c>
      <c r="DC291" t="s">
        <v>66</v>
      </c>
      <c r="DE291" t="s">
        <v>66</v>
      </c>
      <c r="DG291" t="s">
        <v>66</v>
      </c>
      <c r="DI291" t="s">
        <v>66</v>
      </c>
      <c r="DK291" t="s">
        <v>66</v>
      </c>
      <c r="DM291" t="s">
        <v>66</v>
      </c>
      <c r="DO291" t="s">
        <v>66</v>
      </c>
      <c r="DQ291" t="s">
        <v>66</v>
      </c>
    </row>
    <row r="292" spans="1:121" x14ac:dyDescent="0.2">
      <c r="A292" t="s">
        <v>628</v>
      </c>
      <c r="D292" t="s">
        <v>60</v>
      </c>
      <c r="E292" t="s">
        <v>61</v>
      </c>
      <c r="G292">
        <v>10353.700000000001</v>
      </c>
      <c r="I292">
        <v>783.8</v>
      </c>
      <c r="K292">
        <v>10384.799999999999</v>
      </c>
      <c r="M292">
        <v>37361.599999999999</v>
      </c>
      <c r="O292">
        <v>233.3</v>
      </c>
      <c r="Q292">
        <v>636.70000000000005</v>
      </c>
      <c r="S292">
        <v>1683.5</v>
      </c>
      <c r="U292">
        <v>1409.2</v>
      </c>
      <c r="W292">
        <v>1476</v>
      </c>
      <c r="Y292">
        <v>56.3</v>
      </c>
      <c r="AA292">
        <v>2989613.7</v>
      </c>
      <c r="AC292">
        <v>3748.5</v>
      </c>
      <c r="AE292">
        <v>6559.4</v>
      </c>
      <c r="AG292">
        <v>2650.3</v>
      </c>
      <c r="AI292">
        <v>6870.3</v>
      </c>
      <c r="AK292">
        <v>350</v>
      </c>
      <c r="AM292">
        <v>253.2</v>
      </c>
      <c r="AO292">
        <v>141.69999999999999</v>
      </c>
      <c r="AQ292">
        <v>387.6</v>
      </c>
      <c r="AS292">
        <v>346.9</v>
      </c>
      <c r="AU292">
        <v>354.2</v>
      </c>
      <c r="AW292">
        <v>155.19999999999999</v>
      </c>
      <c r="AY292">
        <v>1813.9</v>
      </c>
      <c r="BA292">
        <v>658168.30000000005</v>
      </c>
      <c r="BC292">
        <v>3269.7</v>
      </c>
      <c r="BE292">
        <v>453.2</v>
      </c>
      <c r="BG292">
        <v>567.9</v>
      </c>
      <c r="BI292">
        <v>605.4</v>
      </c>
      <c r="BK292">
        <v>1427</v>
      </c>
      <c r="BM292">
        <v>1148.5999999999999</v>
      </c>
      <c r="BO292">
        <v>46449.9</v>
      </c>
      <c r="BQ292">
        <v>10421.200000000001</v>
      </c>
      <c r="BS292">
        <v>13742.5</v>
      </c>
      <c r="BU292">
        <v>506233.3</v>
      </c>
      <c r="BW292">
        <v>570.5</v>
      </c>
      <c r="BY292">
        <v>26061.1</v>
      </c>
      <c r="CA292">
        <v>8142</v>
      </c>
      <c r="CC292">
        <v>25</v>
      </c>
      <c r="CE292">
        <v>185.2</v>
      </c>
      <c r="CG292">
        <v>712.3</v>
      </c>
      <c r="CI292">
        <v>147.19999999999999</v>
      </c>
      <c r="CK292">
        <v>2634.8</v>
      </c>
      <c r="CM292">
        <v>51.9</v>
      </c>
      <c r="CO292">
        <v>152.80000000000001</v>
      </c>
      <c r="CQ292">
        <v>342.6</v>
      </c>
      <c r="CS292">
        <v>739.2</v>
      </c>
      <c r="CU292">
        <v>265915.40000000002</v>
      </c>
      <c r="CW292">
        <v>427.3</v>
      </c>
      <c r="CY292">
        <v>60525.7</v>
      </c>
      <c r="DA292">
        <v>26773.5</v>
      </c>
      <c r="DC292">
        <v>0.6</v>
      </c>
      <c r="DE292">
        <v>58.6</v>
      </c>
      <c r="DG292">
        <v>45.9</v>
      </c>
      <c r="DI292">
        <v>1299.9000000000001</v>
      </c>
      <c r="DK292">
        <v>934.3</v>
      </c>
      <c r="DM292">
        <v>72773.2</v>
      </c>
      <c r="DO292">
        <v>85.6</v>
      </c>
      <c r="DQ292">
        <v>15736.7</v>
      </c>
    </row>
    <row r="293" spans="1:121" x14ac:dyDescent="0.2">
      <c r="D293" t="s">
        <v>62</v>
      </c>
      <c r="E293" t="s">
        <v>61</v>
      </c>
      <c r="G293">
        <v>396.6</v>
      </c>
      <c r="I293">
        <v>88.8</v>
      </c>
      <c r="K293">
        <v>186.5</v>
      </c>
      <c r="M293">
        <v>466.2</v>
      </c>
      <c r="O293">
        <v>57.8</v>
      </c>
      <c r="Q293">
        <v>70</v>
      </c>
      <c r="S293">
        <v>153</v>
      </c>
      <c r="U293">
        <v>178.6</v>
      </c>
      <c r="W293">
        <v>52.3</v>
      </c>
      <c r="Y293">
        <v>23.6</v>
      </c>
      <c r="AA293">
        <v>61184.2</v>
      </c>
      <c r="AC293">
        <v>118.4</v>
      </c>
      <c r="AE293">
        <v>269</v>
      </c>
      <c r="AG293">
        <v>81.8</v>
      </c>
      <c r="AI293">
        <v>166.9</v>
      </c>
      <c r="AK293">
        <v>22.5</v>
      </c>
      <c r="AM293">
        <v>3.1</v>
      </c>
      <c r="AO293">
        <v>23.9</v>
      </c>
      <c r="AQ293">
        <v>60.9</v>
      </c>
      <c r="AS293">
        <v>20.5</v>
      </c>
      <c r="AU293">
        <v>16</v>
      </c>
      <c r="AW293">
        <v>33.4</v>
      </c>
      <c r="AY293">
        <v>92.1</v>
      </c>
      <c r="BA293">
        <v>20625.2</v>
      </c>
      <c r="BC293">
        <v>203.8</v>
      </c>
      <c r="BE293">
        <v>72.099999999999994</v>
      </c>
      <c r="BG293">
        <v>49.5</v>
      </c>
      <c r="BI293">
        <v>59.2</v>
      </c>
      <c r="BK293">
        <v>36.299999999999997</v>
      </c>
      <c r="BM293">
        <v>86.3</v>
      </c>
      <c r="BO293">
        <v>878.1</v>
      </c>
      <c r="BQ293">
        <v>322.8</v>
      </c>
      <c r="BS293">
        <v>154.69999999999999</v>
      </c>
      <c r="BU293">
        <v>9966.2999999999993</v>
      </c>
      <c r="BW293">
        <v>37.1</v>
      </c>
      <c r="BY293">
        <v>723.1</v>
      </c>
      <c r="CA293">
        <v>118.1</v>
      </c>
      <c r="CC293">
        <v>14.7</v>
      </c>
      <c r="CE293">
        <v>11.2</v>
      </c>
      <c r="CG293">
        <v>35.799999999999997</v>
      </c>
      <c r="CI293">
        <v>38.6</v>
      </c>
      <c r="CK293">
        <v>109.4</v>
      </c>
      <c r="CM293">
        <v>11.6</v>
      </c>
      <c r="CO293">
        <v>22.2</v>
      </c>
      <c r="CQ293">
        <v>51.3</v>
      </c>
      <c r="CS293">
        <v>126</v>
      </c>
      <c r="CU293">
        <v>2308.9</v>
      </c>
      <c r="CW293">
        <v>35.299999999999997</v>
      </c>
      <c r="CY293">
        <v>397.7</v>
      </c>
      <c r="DA293">
        <v>650.4</v>
      </c>
      <c r="DC293">
        <v>1</v>
      </c>
      <c r="DE293">
        <v>4.8</v>
      </c>
      <c r="DG293">
        <v>17.600000000000001</v>
      </c>
      <c r="DI293">
        <v>78.099999999999994</v>
      </c>
      <c r="DK293">
        <v>27.5</v>
      </c>
      <c r="DM293">
        <v>372</v>
      </c>
      <c r="DO293">
        <v>2.5</v>
      </c>
      <c r="DQ293">
        <v>80.900000000000006</v>
      </c>
    </row>
    <row r="294" spans="1:121" x14ac:dyDescent="0.2">
      <c r="D294" t="s">
        <v>63</v>
      </c>
      <c r="G294">
        <v>5.0410000000000003E-2</v>
      </c>
      <c r="H294" t="s">
        <v>75</v>
      </c>
      <c r="I294">
        <v>1.5630000000000002E-2</v>
      </c>
      <c r="J294" t="s">
        <v>75</v>
      </c>
      <c r="K294">
        <v>1.013E-2</v>
      </c>
      <c r="L294" t="s">
        <v>75</v>
      </c>
      <c r="M294">
        <v>4.9100000000000003E-3</v>
      </c>
      <c r="N294" t="s">
        <v>75</v>
      </c>
      <c r="O294">
        <v>3.13E-3</v>
      </c>
      <c r="P294" t="s">
        <v>75</v>
      </c>
      <c r="Q294">
        <v>2.5229999999999999E-2</v>
      </c>
      <c r="R294" t="s">
        <v>75</v>
      </c>
      <c r="S294">
        <v>8.3000000000000001E-4</v>
      </c>
      <c r="T294" t="s">
        <v>75</v>
      </c>
      <c r="U294">
        <v>1.1650000000000001E-2</v>
      </c>
      <c r="V294" t="s">
        <v>75</v>
      </c>
      <c r="W294">
        <v>6.77E-3</v>
      </c>
      <c r="X294" t="s">
        <v>75</v>
      </c>
      <c r="Y294">
        <v>8.4999999999999995E-4</v>
      </c>
      <c r="Z294" t="s">
        <v>75</v>
      </c>
      <c r="AB294" t="s">
        <v>76</v>
      </c>
      <c r="AC294">
        <v>5.5440000000000003E-2</v>
      </c>
      <c r="AD294" t="s">
        <v>75</v>
      </c>
      <c r="AE294">
        <v>6.454E-2</v>
      </c>
      <c r="AF294" t="s">
        <v>75</v>
      </c>
      <c r="AG294">
        <v>-1.421E-2</v>
      </c>
      <c r="AH294" t="s">
        <v>75</v>
      </c>
      <c r="AI294">
        <v>4.478E-2</v>
      </c>
      <c r="AJ294" t="s">
        <v>75</v>
      </c>
      <c r="AK294">
        <v>-1.9E-3</v>
      </c>
      <c r="AL294" t="s">
        <v>75</v>
      </c>
      <c r="AM294">
        <v>-5.4900000000000001E-3</v>
      </c>
      <c r="AN294" t="s">
        <v>75</v>
      </c>
      <c r="AO294">
        <v>1.9599999999999999E-3</v>
      </c>
      <c r="AP294" t="s">
        <v>75</v>
      </c>
      <c r="AQ294">
        <v>7.5000000000000002E-4</v>
      </c>
      <c r="AR294" t="s">
        <v>75</v>
      </c>
      <c r="AS294">
        <v>5.5000000000000003E-4</v>
      </c>
      <c r="AT294" t="s">
        <v>75</v>
      </c>
      <c r="AU294">
        <v>1.5900000000000001E-3</v>
      </c>
      <c r="AV294" t="s">
        <v>75</v>
      </c>
      <c r="AW294">
        <v>-4.0999999999999999E-4</v>
      </c>
      <c r="AX294" t="s">
        <v>75</v>
      </c>
      <c r="AY294">
        <v>-4.3299999999999996E-3</v>
      </c>
      <c r="AZ294" t="s">
        <v>75</v>
      </c>
      <c r="BC294">
        <v>-2.0498099999999999</v>
      </c>
      <c r="BD294" t="s">
        <v>75</v>
      </c>
      <c r="BE294">
        <v>3.0100000000000001E-3</v>
      </c>
      <c r="BF294" t="s">
        <v>75</v>
      </c>
      <c r="BG294">
        <v>-3.712E-2</v>
      </c>
      <c r="BH294" t="s">
        <v>75</v>
      </c>
      <c r="BI294">
        <v>-1.406E-2</v>
      </c>
      <c r="BJ294" t="s">
        <v>75</v>
      </c>
      <c r="BK294">
        <v>-4.6039999999999998E-2</v>
      </c>
      <c r="BL294" t="s">
        <v>75</v>
      </c>
      <c r="BM294">
        <v>-8.8900000000000003E-3</v>
      </c>
      <c r="BN294" t="s">
        <v>75</v>
      </c>
      <c r="BO294">
        <v>-0.72016999999999998</v>
      </c>
      <c r="BP294" t="s">
        <v>75</v>
      </c>
      <c r="BQ294">
        <v>-7.22E-2</v>
      </c>
      <c r="BR294" t="s">
        <v>75</v>
      </c>
      <c r="BS294">
        <v>-0.15651999999999999</v>
      </c>
      <c r="BT294" t="s">
        <v>75</v>
      </c>
      <c r="BU294">
        <v>0.15365999999999999</v>
      </c>
      <c r="BV294" t="s">
        <v>75</v>
      </c>
      <c r="BW294">
        <v>-1.303E-2</v>
      </c>
      <c r="BX294" t="s">
        <v>75</v>
      </c>
      <c r="BY294">
        <v>-0.91876000000000002</v>
      </c>
      <c r="BZ294" t="s">
        <v>75</v>
      </c>
      <c r="CA294">
        <v>0.69181000000000004</v>
      </c>
      <c r="CB294" t="s">
        <v>75</v>
      </c>
      <c r="CC294">
        <v>-9.0299999999999998E-3</v>
      </c>
      <c r="CD294" t="s">
        <v>75</v>
      </c>
      <c r="CE294">
        <v>1.07E-3</v>
      </c>
      <c r="CF294" t="s">
        <v>75</v>
      </c>
      <c r="CG294">
        <v>-5.4000000000000003E-3</v>
      </c>
      <c r="CH294" t="s">
        <v>75</v>
      </c>
      <c r="CI294">
        <v>-2.682E-2</v>
      </c>
      <c r="CJ294" t="s">
        <v>75</v>
      </c>
      <c r="CK294">
        <v>-0.29287000000000002</v>
      </c>
      <c r="CL294" t="s">
        <v>75</v>
      </c>
      <c r="CM294">
        <v>-6.2599999999999999E-3</v>
      </c>
      <c r="CN294" t="s">
        <v>75</v>
      </c>
      <c r="CO294">
        <v>1.8800000000000001E-2</v>
      </c>
      <c r="CP294" t="s">
        <v>75</v>
      </c>
      <c r="CQ294">
        <v>-1.7170000000000001E-2</v>
      </c>
      <c r="CR294" t="s">
        <v>75</v>
      </c>
      <c r="CS294">
        <v>9.1490000000000002E-2</v>
      </c>
      <c r="CT294" t="s">
        <v>75</v>
      </c>
      <c r="CV294" t="s">
        <v>76</v>
      </c>
      <c r="CW294">
        <v>-1.009E-2</v>
      </c>
      <c r="CX294" t="s">
        <v>75</v>
      </c>
      <c r="DA294">
        <v>1.42614</v>
      </c>
      <c r="DB294" t="s">
        <v>75</v>
      </c>
      <c r="DC294">
        <v>-8.1999999999999998E-4</v>
      </c>
      <c r="DD294" t="s">
        <v>75</v>
      </c>
      <c r="DE294">
        <v>9.1999999999999998E-3</v>
      </c>
      <c r="DF294" t="s">
        <v>75</v>
      </c>
      <c r="DG294">
        <v>0.18847</v>
      </c>
      <c r="DH294" t="s">
        <v>75</v>
      </c>
      <c r="DI294">
        <v>1.9113899999999999</v>
      </c>
      <c r="DJ294" t="s">
        <v>75</v>
      </c>
      <c r="DL294" t="s">
        <v>76</v>
      </c>
      <c r="DN294" t="s">
        <v>76</v>
      </c>
      <c r="DO294">
        <v>4.9500000000000004E-3</v>
      </c>
      <c r="DP294" t="s">
        <v>75</v>
      </c>
    </row>
    <row r="295" spans="1:121" x14ac:dyDescent="0.2">
      <c r="D295" t="s">
        <v>64</v>
      </c>
      <c r="G295">
        <v>4.4600000000000004E-3</v>
      </c>
      <c r="H295" t="s">
        <v>75</v>
      </c>
      <c r="I295">
        <v>3.96E-3</v>
      </c>
      <c r="J295" t="s">
        <v>75</v>
      </c>
      <c r="K295">
        <v>4.6999999999999999E-4</v>
      </c>
      <c r="L295" t="s">
        <v>75</v>
      </c>
      <c r="M295">
        <v>1.5100000000000001E-3</v>
      </c>
      <c r="N295" t="s">
        <v>75</v>
      </c>
      <c r="O295">
        <v>4.0000000000000003E-5</v>
      </c>
      <c r="P295" t="s">
        <v>75</v>
      </c>
      <c r="Q295">
        <v>3.8999999999999999E-4</v>
      </c>
      <c r="R295" t="s">
        <v>75</v>
      </c>
      <c r="S295">
        <v>1.8000000000000001E-4</v>
      </c>
      <c r="T295" t="s">
        <v>75</v>
      </c>
      <c r="U295">
        <v>7.6000000000000004E-4</v>
      </c>
      <c r="V295" t="s">
        <v>75</v>
      </c>
      <c r="W295">
        <v>6.0000000000000002E-5</v>
      </c>
      <c r="X295" t="s">
        <v>75</v>
      </c>
      <c r="Y295">
        <v>3.4000000000000002E-4</v>
      </c>
      <c r="Z295" t="s">
        <v>75</v>
      </c>
      <c r="AC295">
        <v>6.9999999999999994E-5</v>
      </c>
      <c r="AD295" t="s">
        <v>75</v>
      </c>
      <c r="AE295">
        <v>1.1000000000000001E-3</v>
      </c>
      <c r="AF295" t="s">
        <v>75</v>
      </c>
      <c r="AG295">
        <v>1.1E-4</v>
      </c>
      <c r="AH295" t="s">
        <v>75</v>
      </c>
      <c r="AI295">
        <v>2.4199999999999998E-3</v>
      </c>
      <c r="AJ295" t="s">
        <v>75</v>
      </c>
      <c r="AK295">
        <v>2.0000000000000002E-5</v>
      </c>
      <c r="AL295" t="s">
        <v>75</v>
      </c>
      <c r="AM295">
        <v>1.0000000000000001E-5</v>
      </c>
      <c r="AN295" t="s">
        <v>75</v>
      </c>
      <c r="AO295">
        <v>1E-4</v>
      </c>
      <c r="AP295" t="s">
        <v>75</v>
      </c>
      <c r="AQ295">
        <v>2.2000000000000001E-4</v>
      </c>
      <c r="AR295" t="s">
        <v>75</v>
      </c>
      <c r="AS295">
        <v>1.2999999999999999E-4</v>
      </c>
      <c r="AT295" t="s">
        <v>75</v>
      </c>
      <c r="AU295">
        <v>1.0000000000000001E-5</v>
      </c>
      <c r="AV295" t="s">
        <v>75</v>
      </c>
      <c r="AW295">
        <v>8.0000000000000007E-5</v>
      </c>
      <c r="AX295" t="s">
        <v>75</v>
      </c>
      <c r="AY295">
        <v>4.8999999999999998E-4</v>
      </c>
      <c r="AZ295" t="s">
        <v>75</v>
      </c>
      <c r="BC295">
        <v>9.2000000000000003E-4</v>
      </c>
      <c r="BD295" t="s">
        <v>75</v>
      </c>
      <c r="BE295">
        <v>6.0000000000000002E-5</v>
      </c>
      <c r="BF295" t="s">
        <v>75</v>
      </c>
      <c r="BG295">
        <v>1.7000000000000001E-4</v>
      </c>
      <c r="BH295" t="s">
        <v>75</v>
      </c>
      <c r="BI295">
        <v>2.4000000000000001E-4</v>
      </c>
      <c r="BJ295" t="s">
        <v>75</v>
      </c>
      <c r="BK295">
        <v>1.2999999999999999E-4</v>
      </c>
      <c r="BL295" t="s">
        <v>75</v>
      </c>
      <c r="BM295">
        <v>8.0000000000000007E-5</v>
      </c>
      <c r="BN295" t="s">
        <v>75</v>
      </c>
      <c r="BO295">
        <v>1.9179999999999999E-2</v>
      </c>
      <c r="BP295" t="s">
        <v>75</v>
      </c>
      <c r="BQ295">
        <v>8.6499999999999997E-3</v>
      </c>
      <c r="BR295" t="s">
        <v>75</v>
      </c>
      <c r="BS295">
        <v>1.5200000000000001E-3</v>
      </c>
      <c r="BT295" t="s">
        <v>75</v>
      </c>
      <c r="BU295">
        <v>0.4199</v>
      </c>
      <c r="BV295" t="s">
        <v>75</v>
      </c>
      <c r="BW295">
        <v>1.686E-2</v>
      </c>
      <c r="BX295" t="s">
        <v>75</v>
      </c>
      <c r="BY295">
        <v>0.16137000000000001</v>
      </c>
      <c r="BZ295" t="s">
        <v>75</v>
      </c>
      <c r="CA295">
        <v>9.0370000000000006E-2</v>
      </c>
      <c r="CB295" t="s">
        <v>75</v>
      </c>
      <c r="CC295">
        <v>3.0699999999999998E-3</v>
      </c>
      <c r="CD295" t="s">
        <v>75</v>
      </c>
      <c r="CE295">
        <v>1.6000000000000001E-4</v>
      </c>
      <c r="CF295" t="s">
        <v>75</v>
      </c>
      <c r="CG295">
        <v>5.2999999999999998E-4</v>
      </c>
      <c r="CH295" t="s">
        <v>75</v>
      </c>
      <c r="CI295">
        <v>4.8000000000000001E-4</v>
      </c>
      <c r="CJ295" t="s">
        <v>75</v>
      </c>
      <c r="CK295">
        <v>1.75E-3</v>
      </c>
      <c r="CL295" t="s">
        <v>75</v>
      </c>
      <c r="CM295">
        <v>1.6000000000000001E-4</v>
      </c>
      <c r="CN295" t="s">
        <v>75</v>
      </c>
      <c r="CO295">
        <v>1.1800000000000001E-3</v>
      </c>
      <c r="CP295" t="s">
        <v>75</v>
      </c>
      <c r="CQ295">
        <v>1.5200000000000001E-3</v>
      </c>
      <c r="CR295" t="s">
        <v>75</v>
      </c>
      <c r="CS295">
        <v>3.2800000000000003E-2</v>
      </c>
      <c r="CT295" t="s">
        <v>75</v>
      </c>
      <c r="CW295">
        <v>1.32E-3</v>
      </c>
      <c r="CX295" t="s">
        <v>75</v>
      </c>
      <c r="DA295">
        <v>4.2860000000000002E-2</v>
      </c>
      <c r="DB295" t="s">
        <v>75</v>
      </c>
      <c r="DC295">
        <v>4.4000000000000002E-4</v>
      </c>
      <c r="DD295" t="s">
        <v>75</v>
      </c>
      <c r="DE295">
        <v>2.3900000000000002E-3</v>
      </c>
      <c r="DF295" t="s">
        <v>75</v>
      </c>
      <c r="DG295">
        <v>9.5880000000000007E-2</v>
      </c>
      <c r="DH295" t="s">
        <v>75</v>
      </c>
      <c r="DI295">
        <v>0.13750000000000001</v>
      </c>
      <c r="DJ295" t="s">
        <v>75</v>
      </c>
      <c r="DO295">
        <v>3.2000000000000003E-4</v>
      </c>
      <c r="DP295" t="s">
        <v>75</v>
      </c>
    </row>
    <row r="296" spans="1:121" x14ac:dyDescent="0.2">
      <c r="D296" t="s">
        <v>65</v>
      </c>
      <c r="G296" t="s">
        <v>66</v>
      </c>
      <c r="I296" t="s">
        <v>66</v>
      </c>
      <c r="K296" t="s">
        <v>66</v>
      </c>
      <c r="M296" t="s">
        <v>66</v>
      </c>
      <c r="O296" t="s">
        <v>66</v>
      </c>
      <c r="Q296" t="s">
        <v>66</v>
      </c>
      <c r="S296" t="s">
        <v>66</v>
      </c>
      <c r="U296" t="s">
        <v>66</v>
      </c>
      <c r="W296" t="s">
        <v>66</v>
      </c>
      <c r="Y296" t="s">
        <v>66</v>
      </c>
      <c r="AA296" t="s">
        <v>66</v>
      </c>
      <c r="AC296" t="s">
        <v>66</v>
      </c>
      <c r="AE296" t="s">
        <v>66</v>
      </c>
      <c r="AG296" t="s">
        <v>66</v>
      </c>
      <c r="AI296" t="s">
        <v>66</v>
      </c>
      <c r="AK296" t="s">
        <v>66</v>
      </c>
      <c r="AM296" t="s">
        <v>66</v>
      </c>
      <c r="AO296" t="s">
        <v>66</v>
      </c>
      <c r="AQ296" t="s">
        <v>66</v>
      </c>
      <c r="AS296" t="s">
        <v>66</v>
      </c>
      <c r="AU296" t="s">
        <v>66</v>
      </c>
      <c r="AW296" t="s">
        <v>66</v>
      </c>
      <c r="AY296" t="s">
        <v>66</v>
      </c>
      <c r="BA296" t="s">
        <v>66</v>
      </c>
      <c r="BC296" t="s">
        <v>66</v>
      </c>
      <c r="BE296" t="s">
        <v>66</v>
      </c>
      <c r="BG296" t="s">
        <v>66</v>
      </c>
      <c r="BI296" t="s">
        <v>66</v>
      </c>
      <c r="BK296" t="s">
        <v>66</v>
      </c>
      <c r="BM296" t="s">
        <v>66</v>
      </c>
      <c r="BO296" t="s">
        <v>66</v>
      </c>
      <c r="BQ296" t="s">
        <v>66</v>
      </c>
      <c r="BS296" t="s">
        <v>66</v>
      </c>
      <c r="BU296" t="s">
        <v>66</v>
      </c>
      <c r="BW296" t="s">
        <v>66</v>
      </c>
      <c r="BY296" t="s">
        <v>66</v>
      </c>
      <c r="CA296" t="s">
        <v>66</v>
      </c>
      <c r="CC296" t="s">
        <v>66</v>
      </c>
      <c r="CE296" t="s">
        <v>66</v>
      </c>
      <c r="CG296" t="s">
        <v>66</v>
      </c>
      <c r="CI296" t="s">
        <v>66</v>
      </c>
      <c r="CK296" t="s">
        <v>66</v>
      </c>
      <c r="CM296" t="s">
        <v>66</v>
      </c>
      <c r="CO296" t="s">
        <v>66</v>
      </c>
      <c r="CQ296" t="s">
        <v>66</v>
      </c>
      <c r="CS296" t="s">
        <v>66</v>
      </c>
      <c r="CU296" t="s">
        <v>66</v>
      </c>
      <c r="CW296" t="s">
        <v>66</v>
      </c>
      <c r="CY296" t="s">
        <v>66</v>
      </c>
      <c r="DA296" t="s">
        <v>66</v>
      </c>
      <c r="DC296" t="s">
        <v>66</v>
      </c>
      <c r="DE296" t="s">
        <v>66</v>
      </c>
      <c r="DG296" t="s">
        <v>66</v>
      </c>
      <c r="DI296" t="s">
        <v>66</v>
      </c>
      <c r="DK296" t="s">
        <v>66</v>
      </c>
      <c r="DM296" t="s">
        <v>66</v>
      </c>
      <c r="DO296" t="s">
        <v>66</v>
      </c>
      <c r="DQ296" t="s">
        <v>66</v>
      </c>
    </row>
    <row r="297" spans="1:121" x14ac:dyDescent="0.2">
      <c r="A297" t="s">
        <v>629</v>
      </c>
      <c r="D297" t="s">
        <v>60</v>
      </c>
      <c r="E297" t="s">
        <v>61</v>
      </c>
      <c r="G297">
        <v>29386.2</v>
      </c>
      <c r="I297">
        <v>704.5</v>
      </c>
      <c r="K297">
        <v>1510528</v>
      </c>
      <c r="M297">
        <v>101242.5</v>
      </c>
      <c r="O297">
        <v>1180.9000000000001</v>
      </c>
      <c r="Q297">
        <v>13876.1</v>
      </c>
      <c r="S297">
        <v>1851.4</v>
      </c>
      <c r="U297">
        <v>1562.6</v>
      </c>
      <c r="W297">
        <v>34562.199999999997</v>
      </c>
      <c r="Y297">
        <v>48001.2</v>
      </c>
      <c r="AA297">
        <v>11075761.9</v>
      </c>
      <c r="AC297">
        <v>11888473.1</v>
      </c>
      <c r="AE297">
        <v>49882151.200000003</v>
      </c>
      <c r="AG297">
        <v>101859.3</v>
      </c>
      <c r="AI297">
        <v>149633.79999999999</v>
      </c>
      <c r="AK297">
        <v>22088.400000000001</v>
      </c>
      <c r="AM297">
        <v>3379.3</v>
      </c>
      <c r="AO297">
        <v>523</v>
      </c>
      <c r="AQ297">
        <v>326.10000000000002</v>
      </c>
      <c r="AS297">
        <v>437.6</v>
      </c>
      <c r="AU297">
        <v>382.4</v>
      </c>
      <c r="AW297">
        <v>326.10000000000002</v>
      </c>
      <c r="AY297">
        <v>5285.8</v>
      </c>
      <c r="BA297">
        <v>678773.3</v>
      </c>
      <c r="BC297">
        <v>2517.8000000000002</v>
      </c>
      <c r="BE297">
        <v>71012.600000000006</v>
      </c>
      <c r="BG297">
        <v>3047201</v>
      </c>
      <c r="BI297">
        <v>2570110</v>
      </c>
      <c r="BK297">
        <v>5662259.2000000002</v>
      </c>
      <c r="BM297">
        <v>1745022.3</v>
      </c>
      <c r="BO297">
        <v>19264845.899999999</v>
      </c>
      <c r="BQ297">
        <v>44959.4</v>
      </c>
      <c r="BS297">
        <v>162987.20000000001</v>
      </c>
      <c r="BU297">
        <v>5317016</v>
      </c>
      <c r="BW297">
        <v>140015.20000000001</v>
      </c>
      <c r="BY297">
        <v>1083425.8</v>
      </c>
      <c r="CA297">
        <v>45593.599999999999</v>
      </c>
      <c r="CC297">
        <v>277.8</v>
      </c>
      <c r="CE297">
        <v>406.5</v>
      </c>
      <c r="CG297">
        <v>10820</v>
      </c>
      <c r="CI297">
        <v>43378.400000000001</v>
      </c>
      <c r="CK297">
        <v>339383.5</v>
      </c>
      <c r="CM297">
        <v>33532.6</v>
      </c>
      <c r="CO297">
        <v>8242.9</v>
      </c>
      <c r="CQ297">
        <v>201546.8</v>
      </c>
      <c r="CS297">
        <v>6739715.7000000002</v>
      </c>
      <c r="CU297">
        <v>1119853.2</v>
      </c>
      <c r="CW297">
        <v>1335208.6000000001</v>
      </c>
      <c r="CY297">
        <v>60876.1</v>
      </c>
      <c r="DA297">
        <v>9483292.3000000007</v>
      </c>
      <c r="DC297">
        <v>207.3</v>
      </c>
      <c r="DE297">
        <v>176290.5</v>
      </c>
      <c r="DG297">
        <v>577.6</v>
      </c>
      <c r="DI297">
        <v>3224.2</v>
      </c>
      <c r="DK297">
        <v>789.1</v>
      </c>
      <c r="DM297">
        <v>303433.59999999998</v>
      </c>
      <c r="DO297">
        <v>327040.90000000002</v>
      </c>
      <c r="DQ297">
        <v>16125</v>
      </c>
    </row>
    <row r="298" spans="1:121" x14ac:dyDescent="0.2">
      <c r="D298" t="s">
        <v>62</v>
      </c>
      <c r="E298" t="s">
        <v>61</v>
      </c>
      <c r="G298">
        <v>473.6</v>
      </c>
      <c r="I298">
        <v>14.4</v>
      </c>
      <c r="K298">
        <v>4624.8</v>
      </c>
      <c r="M298">
        <v>823.1</v>
      </c>
      <c r="O298">
        <v>73.8</v>
      </c>
      <c r="Q298">
        <v>493.1</v>
      </c>
      <c r="S298">
        <v>48.6</v>
      </c>
      <c r="U298">
        <v>97</v>
      </c>
      <c r="W298">
        <v>221.5</v>
      </c>
      <c r="Y298">
        <v>464.9</v>
      </c>
      <c r="AA298">
        <v>19465.900000000001</v>
      </c>
      <c r="AC298">
        <v>93634.8</v>
      </c>
      <c r="AE298">
        <v>376669.8</v>
      </c>
      <c r="AG298">
        <v>583.6</v>
      </c>
      <c r="AI298">
        <v>1110.7</v>
      </c>
      <c r="AK298">
        <v>311.89999999999998</v>
      </c>
      <c r="AM298">
        <v>90</v>
      </c>
      <c r="AO298">
        <v>87.7</v>
      </c>
      <c r="AQ298">
        <v>11</v>
      </c>
      <c r="AS298">
        <v>59.4</v>
      </c>
      <c r="AU298">
        <v>80.7</v>
      </c>
      <c r="AW298">
        <v>20.8</v>
      </c>
      <c r="AY298">
        <v>104.2</v>
      </c>
      <c r="BA298">
        <v>5036.6000000000004</v>
      </c>
      <c r="BC298">
        <v>195.4</v>
      </c>
      <c r="BE298">
        <v>613.29999999999995</v>
      </c>
      <c r="BG298">
        <v>25635.4</v>
      </c>
      <c r="BI298">
        <v>21657.4</v>
      </c>
      <c r="BK298">
        <v>70153.3</v>
      </c>
      <c r="BM298">
        <v>6850</v>
      </c>
      <c r="BO298">
        <v>242160.4</v>
      </c>
      <c r="BQ298">
        <v>935.1</v>
      </c>
      <c r="BS298">
        <v>1752.8</v>
      </c>
      <c r="BU298">
        <v>40050.9</v>
      </c>
      <c r="BW298">
        <v>3519.1</v>
      </c>
      <c r="BY298">
        <v>19190.900000000001</v>
      </c>
      <c r="CA298">
        <v>683.1</v>
      </c>
      <c r="CC298">
        <v>36.299999999999997</v>
      </c>
      <c r="CE298">
        <v>37</v>
      </c>
      <c r="CG298">
        <v>198.4</v>
      </c>
      <c r="CI298">
        <v>312.60000000000002</v>
      </c>
      <c r="CK298">
        <v>2484</v>
      </c>
      <c r="CM298">
        <v>125.5</v>
      </c>
      <c r="CO298">
        <v>90</v>
      </c>
      <c r="CQ298">
        <v>752.6</v>
      </c>
      <c r="CS298">
        <v>39871.699999999997</v>
      </c>
      <c r="CU298">
        <v>9390.1</v>
      </c>
      <c r="CW298">
        <v>26375.7</v>
      </c>
      <c r="CY298">
        <v>1182.5999999999999</v>
      </c>
      <c r="DA298">
        <v>55150.5</v>
      </c>
      <c r="DC298">
        <v>38.4</v>
      </c>
      <c r="DE298">
        <v>2077.6</v>
      </c>
      <c r="DG298">
        <v>48.6</v>
      </c>
      <c r="DI298">
        <v>195.3</v>
      </c>
      <c r="DK298">
        <v>43.4</v>
      </c>
      <c r="DM298">
        <v>3602.6</v>
      </c>
      <c r="DO298">
        <v>1153.8</v>
      </c>
      <c r="DQ298">
        <v>180.2</v>
      </c>
    </row>
    <row r="299" spans="1:121" x14ac:dyDescent="0.2">
      <c r="D299" t="s">
        <v>63</v>
      </c>
      <c r="G299">
        <v>0.19877</v>
      </c>
      <c r="H299" t="s">
        <v>75</v>
      </c>
      <c r="I299">
        <v>1.193E-2</v>
      </c>
      <c r="J299" t="s">
        <v>75</v>
      </c>
      <c r="K299">
        <v>1.9153</v>
      </c>
      <c r="L299" t="s">
        <v>75</v>
      </c>
      <c r="M299">
        <v>6.8510000000000001E-2</v>
      </c>
      <c r="N299" t="s">
        <v>75</v>
      </c>
      <c r="O299">
        <v>3.9100000000000003E-3</v>
      </c>
      <c r="P299" t="s">
        <v>75</v>
      </c>
      <c r="Q299">
        <v>0.11047999999999999</v>
      </c>
      <c r="R299" t="s">
        <v>75</v>
      </c>
      <c r="S299">
        <v>9.3000000000000005E-4</v>
      </c>
      <c r="T299" t="s">
        <v>75</v>
      </c>
      <c r="U299">
        <v>1.21E-2</v>
      </c>
      <c r="V299" t="s">
        <v>75</v>
      </c>
      <c r="W299">
        <v>7.6759999999999995E-2</v>
      </c>
      <c r="X299" t="s">
        <v>75</v>
      </c>
      <c r="Y299">
        <v>0.71184999999999998</v>
      </c>
      <c r="Z299" t="s">
        <v>75</v>
      </c>
      <c r="AB299" t="s">
        <v>76</v>
      </c>
      <c r="AC299">
        <v>42.280099999999997</v>
      </c>
      <c r="AD299" t="s">
        <v>75</v>
      </c>
      <c r="AE299">
        <v>186.63025999999999</v>
      </c>
      <c r="AF299" t="s">
        <v>75</v>
      </c>
      <c r="AG299">
        <v>6.3509999999999997E-2</v>
      </c>
      <c r="AH299" t="s">
        <v>75</v>
      </c>
      <c r="AI299">
        <v>0.94455999999999996</v>
      </c>
      <c r="AJ299" t="s">
        <v>75</v>
      </c>
      <c r="AK299">
        <v>1.299E-2</v>
      </c>
      <c r="AL299" t="s">
        <v>75</v>
      </c>
      <c r="AM299">
        <v>-3.15E-3</v>
      </c>
      <c r="AN299" t="s">
        <v>75</v>
      </c>
      <c r="AO299">
        <v>3.3400000000000001E-3</v>
      </c>
      <c r="AP299" t="s">
        <v>75</v>
      </c>
      <c r="AQ299">
        <v>4.4000000000000002E-4</v>
      </c>
      <c r="AR299" t="s">
        <v>75</v>
      </c>
      <c r="AS299">
        <v>9.1E-4</v>
      </c>
      <c r="AT299" t="s">
        <v>75</v>
      </c>
      <c r="AU299">
        <v>1.6000000000000001E-3</v>
      </c>
      <c r="AV299" t="s">
        <v>75</v>
      </c>
      <c r="AW299">
        <v>-1.0000000000000001E-5</v>
      </c>
      <c r="AX299" t="s">
        <v>75</v>
      </c>
      <c r="AY299">
        <v>6.6699999999999997E-3</v>
      </c>
      <c r="AZ299" t="s">
        <v>75</v>
      </c>
      <c r="BC299">
        <v>-2.0523799999999999</v>
      </c>
      <c r="BD299" t="s">
        <v>75</v>
      </c>
      <c r="BE299">
        <v>7.0290000000000005E-2</v>
      </c>
      <c r="BF299" t="s">
        <v>75</v>
      </c>
      <c r="BG299">
        <v>8.7117199999999997</v>
      </c>
      <c r="BH299" t="s">
        <v>75</v>
      </c>
      <c r="BI299">
        <v>8.4682300000000001</v>
      </c>
      <c r="BJ299" t="s">
        <v>75</v>
      </c>
      <c r="BK299">
        <v>8.2431300000000007</v>
      </c>
      <c r="BL299" t="s">
        <v>75</v>
      </c>
      <c r="BM299">
        <v>1.62801</v>
      </c>
      <c r="BN299" t="s">
        <v>75</v>
      </c>
      <c r="BO299">
        <v>414.88249000000002</v>
      </c>
      <c r="BP299" t="s">
        <v>75</v>
      </c>
      <c r="BQ299">
        <v>1.0706800000000001</v>
      </c>
      <c r="BR299" t="s">
        <v>75</v>
      </c>
      <c r="BS299">
        <v>3.1187399999999998</v>
      </c>
      <c r="BT299" t="s">
        <v>75</v>
      </c>
      <c r="BU299">
        <v>194.95133000000001</v>
      </c>
      <c r="BV299" t="s">
        <v>75</v>
      </c>
      <c r="BW299">
        <v>57.975279999999998</v>
      </c>
      <c r="BX299" t="s">
        <v>75</v>
      </c>
      <c r="BY299">
        <v>290.04111</v>
      </c>
      <c r="BZ299" t="s">
        <v>75</v>
      </c>
      <c r="CA299">
        <v>20.324380000000001</v>
      </c>
      <c r="CB299" t="s">
        <v>75</v>
      </c>
      <c r="CC299">
        <v>4.3720000000000002E-2</v>
      </c>
      <c r="CD299" t="s">
        <v>75</v>
      </c>
      <c r="CE299">
        <v>4.2900000000000004E-3</v>
      </c>
      <c r="CF299" t="s">
        <v>75</v>
      </c>
      <c r="CG299">
        <v>0.16335</v>
      </c>
      <c r="CH299" t="s">
        <v>75</v>
      </c>
      <c r="CI299">
        <v>0.52576999999999996</v>
      </c>
      <c r="CJ299" t="s">
        <v>75</v>
      </c>
      <c r="CK299">
        <v>4.3783700000000003</v>
      </c>
      <c r="CL299" t="s">
        <v>75</v>
      </c>
      <c r="CM299">
        <v>0.45954</v>
      </c>
      <c r="CN299" t="s">
        <v>75</v>
      </c>
      <c r="CO299">
        <v>0.46688000000000002</v>
      </c>
      <c r="CP299" t="s">
        <v>75</v>
      </c>
      <c r="CQ299">
        <v>5.9454200000000004</v>
      </c>
      <c r="CR299" t="s">
        <v>75</v>
      </c>
      <c r="CS299">
        <v>1727.2362900000001</v>
      </c>
      <c r="CT299" t="s">
        <v>75</v>
      </c>
      <c r="CV299" t="s">
        <v>76</v>
      </c>
      <c r="CW299">
        <v>48.545879999999997</v>
      </c>
      <c r="CX299" t="s">
        <v>75</v>
      </c>
      <c r="DA299">
        <v>571.42556999999999</v>
      </c>
      <c r="DB299" t="s">
        <v>75</v>
      </c>
      <c r="DC299">
        <v>9.1200000000000003E-2</v>
      </c>
      <c r="DD299" t="s">
        <v>75</v>
      </c>
      <c r="DE299">
        <v>80.660150000000002</v>
      </c>
      <c r="DF299" t="s">
        <v>75</v>
      </c>
      <c r="DG299">
        <v>3.0101599999999999</v>
      </c>
      <c r="DH299" t="s">
        <v>75</v>
      </c>
      <c r="DI299">
        <v>5.29453</v>
      </c>
      <c r="DJ299" t="s">
        <v>75</v>
      </c>
      <c r="DL299" t="s">
        <v>76</v>
      </c>
      <c r="DN299" t="s">
        <v>76</v>
      </c>
      <c r="DO299">
        <v>48.913519999999998</v>
      </c>
      <c r="DP299" t="s">
        <v>75</v>
      </c>
    </row>
    <row r="300" spans="1:121" x14ac:dyDescent="0.2">
      <c r="D300" t="s">
        <v>64</v>
      </c>
      <c r="G300">
        <v>2.99E-3</v>
      </c>
      <c r="H300" t="s">
        <v>75</v>
      </c>
      <c r="I300">
        <v>5.1999999999999995E-4</v>
      </c>
      <c r="J300" t="s">
        <v>75</v>
      </c>
      <c r="K300">
        <v>8.5900000000000004E-3</v>
      </c>
      <c r="L300" t="s">
        <v>75</v>
      </c>
      <c r="M300">
        <v>1.8000000000000001E-4</v>
      </c>
      <c r="N300" t="s">
        <v>75</v>
      </c>
      <c r="O300">
        <v>6.9999999999999994E-5</v>
      </c>
      <c r="P300" t="s">
        <v>75</v>
      </c>
      <c r="Q300">
        <v>3.13E-3</v>
      </c>
      <c r="R300" t="s">
        <v>75</v>
      </c>
      <c r="S300">
        <v>3.0000000000000001E-5</v>
      </c>
      <c r="T300" t="s">
        <v>75</v>
      </c>
      <c r="U300">
        <v>4.4999999999999999E-4</v>
      </c>
      <c r="V300" t="s">
        <v>75</v>
      </c>
      <c r="W300">
        <v>6.4999999999999997E-4</v>
      </c>
      <c r="X300" t="s">
        <v>75</v>
      </c>
      <c r="Y300">
        <v>5.4999999999999997E-3</v>
      </c>
      <c r="Z300" t="s">
        <v>75</v>
      </c>
      <c r="AC300">
        <v>0.15615000000000001</v>
      </c>
      <c r="AD300" t="s">
        <v>75</v>
      </c>
      <c r="AE300">
        <v>2.0564300000000002</v>
      </c>
      <c r="AF300" t="s">
        <v>75</v>
      </c>
      <c r="AG300">
        <v>1.01E-3</v>
      </c>
      <c r="AH300" t="s">
        <v>75</v>
      </c>
      <c r="AI300">
        <v>3.0899999999999999E-3</v>
      </c>
      <c r="AJ300" t="s">
        <v>75</v>
      </c>
      <c r="AK300">
        <v>1.3999999999999999E-4</v>
      </c>
      <c r="AL300" t="s">
        <v>75</v>
      </c>
      <c r="AM300">
        <v>6.9999999999999994E-5</v>
      </c>
      <c r="AN300" t="s">
        <v>75</v>
      </c>
      <c r="AO300">
        <v>3.3E-4</v>
      </c>
      <c r="AP300" t="s">
        <v>75</v>
      </c>
      <c r="AQ300">
        <v>5.0000000000000002E-5</v>
      </c>
      <c r="AR300" t="s">
        <v>75</v>
      </c>
      <c r="AS300">
        <v>2.7E-4</v>
      </c>
      <c r="AT300" t="s">
        <v>75</v>
      </c>
      <c r="AU300">
        <v>5.0000000000000002E-5</v>
      </c>
      <c r="AV300" t="s">
        <v>75</v>
      </c>
      <c r="AW300">
        <v>6.0000000000000002E-5</v>
      </c>
      <c r="AX300" t="s">
        <v>75</v>
      </c>
      <c r="AY300">
        <v>2.2000000000000001E-4</v>
      </c>
      <c r="AZ300" t="s">
        <v>75</v>
      </c>
      <c r="BC300">
        <v>5.8E-4</v>
      </c>
      <c r="BD300" t="s">
        <v>75</v>
      </c>
      <c r="BE300">
        <v>1.1E-4</v>
      </c>
      <c r="BF300" t="s">
        <v>75</v>
      </c>
      <c r="BG300">
        <v>0.13819999999999999</v>
      </c>
      <c r="BH300" t="s">
        <v>75</v>
      </c>
      <c r="BI300">
        <v>7.1309999999999998E-2</v>
      </c>
      <c r="BJ300" t="s">
        <v>75</v>
      </c>
      <c r="BK300">
        <v>7.5079999999999994E-2</v>
      </c>
      <c r="BL300" t="s">
        <v>75</v>
      </c>
      <c r="BM300">
        <v>9.9500000000000005E-3</v>
      </c>
      <c r="BN300" t="s">
        <v>75</v>
      </c>
      <c r="BO300">
        <v>3.5713499999999998</v>
      </c>
      <c r="BP300" t="s">
        <v>75</v>
      </c>
      <c r="BQ300">
        <v>1.806E-2</v>
      </c>
      <c r="BR300" t="s">
        <v>75</v>
      </c>
      <c r="BS300">
        <v>6.9360000000000005E-2</v>
      </c>
      <c r="BT300" t="s">
        <v>75</v>
      </c>
      <c r="BU300">
        <v>3.2897699999999999</v>
      </c>
      <c r="BV300" t="s">
        <v>75</v>
      </c>
      <c r="BW300">
        <v>1.9535400000000001</v>
      </c>
      <c r="BX300" t="s">
        <v>75</v>
      </c>
      <c r="BY300">
        <v>7.7040300000000004</v>
      </c>
      <c r="BZ300" t="s">
        <v>75</v>
      </c>
      <c r="CA300">
        <v>0.46631</v>
      </c>
      <c r="CB300" t="s">
        <v>75</v>
      </c>
      <c r="CC300">
        <v>6.45E-3</v>
      </c>
      <c r="CD300" t="s">
        <v>75</v>
      </c>
      <c r="CE300">
        <v>5.9999999999999995E-4</v>
      </c>
      <c r="CF300" t="s">
        <v>75</v>
      </c>
      <c r="CG300">
        <v>6.7400000000000003E-3</v>
      </c>
      <c r="CH300" t="s">
        <v>75</v>
      </c>
      <c r="CI300">
        <v>1.363E-2</v>
      </c>
      <c r="CJ300" t="s">
        <v>75</v>
      </c>
      <c r="CK300">
        <v>0.12023</v>
      </c>
      <c r="CL300" t="s">
        <v>75</v>
      </c>
      <c r="CM300">
        <v>9.1500000000000001E-3</v>
      </c>
      <c r="CN300" t="s">
        <v>75</v>
      </c>
      <c r="CO300">
        <v>3.8500000000000001E-3</v>
      </c>
      <c r="CP300" t="s">
        <v>75</v>
      </c>
      <c r="CQ300">
        <v>0.12681000000000001</v>
      </c>
      <c r="CR300" t="s">
        <v>75</v>
      </c>
      <c r="CS300">
        <v>40.408540000000002</v>
      </c>
      <c r="CT300" t="s">
        <v>75</v>
      </c>
      <c r="CW300">
        <v>1.88103</v>
      </c>
      <c r="CX300" t="s">
        <v>75</v>
      </c>
      <c r="DA300">
        <v>9.4334000000000007</v>
      </c>
      <c r="DB300" t="s">
        <v>75</v>
      </c>
      <c r="DC300">
        <v>1.8030000000000001E-2</v>
      </c>
      <c r="DD300" t="s">
        <v>75</v>
      </c>
      <c r="DE300">
        <v>1.7993300000000001</v>
      </c>
      <c r="DF300" t="s">
        <v>75</v>
      </c>
      <c r="DG300">
        <v>0.25629000000000002</v>
      </c>
      <c r="DH300" t="s">
        <v>75</v>
      </c>
      <c r="DI300">
        <v>0.40236</v>
      </c>
      <c r="DJ300" t="s">
        <v>75</v>
      </c>
      <c r="DO300">
        <v>0.63529000000000002</v>
      </c>
      <c r="DP300" t="s">
        <v>75</v>
      </c>
    </row>
    <row r="301" spans="1:121" x14ac:dyDescent="0.2">
      <c r="D301" t="s">
        <v>65</v>
      </c>
      <c r="G301" t="s">
        <v>66</v>
      </c>
      <c r="I301" t="s">
        <v>66</v>
      </c>
      <c r="K301" t="s">
        <v>66</v>
      </c>
      <c r="M301" t="s">
        <v>66</v>
      </c>
      <c r="O301" t="s">
        <v>66</v>
      </c>
      <c r="Q301" t="s">
        <v>66</v>
      </c>
      <c r="S301" t="s">
        <v>66</v>
      </c>
      <c r="U301" t="s">
        <v>66</v>
      </c>
      <c r="W301" t="s">
        <v>66</v>
      </c>
      <c r="Y301" t="s">
        <v>66</v>
      </c>
      <c r="AA301" t="s">
        <v>66</v>
      </c>
      <c r="AC301" t="s">
        <v>66</v>
      </c>
      <c r="AE301" t="s">
        <v>66</v>
      </c>
      <c r="AG301" t="s">
        <v>66</v>
      </c>
      <c r="AI301" t="s">
        <v>66</v>
      </c>
      <c r="AK301" t="s">
        <v>66</v>
      </c>
      <c r="AM301" t="s">
        <v>66</v>
      </c>
      <c r="AO301" t="s">
        <v>66</v>
      </c>
      <c r="AQ301" t="s">
        <v>66</v>
      </c>
      <c r="AS301" t="s">
        <v>66</v>
      </c>
      <c r="AU301" t="s">
        <v>66</v>
      </c>
      <c r="AW301" t="s">
        <v>66</v>
      </c>
      <c r="AY301" t="s">
        <v>66</v>
      </c>
      <c r="BA301" t="s">
        <v>66</v>
      </c>
      <c r="BC301" t="s">
        <v>66</v>
      </c>
      <c r="BE301" t="s">
        <v>66</v>
      </c>
      <c r="BG301" t="s">
        <v>66</v>
      </c>
      <c r="BI301" t="s">
        <v>66</v>
      </c>
      <c r="BK301" t="s">
        <v>66</v>
      </c>
      <c r="BM301" t="s">
        <v>66</v>
      </c>
      <c r="BO301" t="s">
        <v>66</v>
      </c>
      <c r="BQ301" t="s">
        <v>66</v>
      </c>
      <c r="BS301" t="s">
        <v>66</v>
      </c>
      <c r="BU301" t="s">
        <v>66</v>
      </c>
      <c r="BW301" t="s">
        <v>66</v>
      </c>
      <c r="BY301" t="s">
        <v>66</v>
      </c>
      <c r="CA301" t="s">
        <v>66</v>
      </c>
      <c r="CC301" t="s">
        <v>66</v>
      </c>
      <c r="CE301" t="s">
        <v>66</v>
      </c>
      <c r="CG301" t="s">
        <v>66</v>
      </c>
      <c r="CI301" t="s">
        <v>66</v>
      </c>
      <c r="CK301" t="s">
        <v>66</v>
      </c>
      <c r="CM301" t="s">
        <v>66</v>
      </c>
      <c r="CO301" t="s">
        <v>66</v>
      </c>
      <c r="CQ301" t="s">
        <v>66</v>
      </c>
      <c r="CS301" t="s">
        <v>66</v>
      </c>
      <c r="CU301" t="s">
        <v>66</v>
      </c>
      <c r="CW301" t="s">
        <v>66</v>
      </c>
      <c r="CY301" t="s">
        <v>66</v>
      </c>
      <c r="DA301" t="s">
        <v>66</v>
      </c>
      <c r="DC301" t="s">
        <v>66</v>
      </c>
      <c r="DE301" t="s">
        <v>66</v>
      </c>
      <c r="DG301" t="s">
        <v>66</v>
      </c>
      <c r="DI301" t="s">
        <v>66</v>
      </c>
      <c r="DK301" t="s">
        <v>66</v>
      </c>
      <c r="DM301" t="s">
        <v>66</v>
      </c>
      <c r="DO301" t="s">
        <v>66</v>
      </c>
      <c r="DQ301" t="s">
        <v>66</v>
      </c>
    </row>
    <row r="302" spans="1:121" x14ac:dyDescent="0.2">
      <c r="A302" t="s">
        <v>630</v>
      </c>
      <c r="D302" t="s">
        <v>60</v>
      </c>
      <c r="E302" t="s">
        <v>61</v>
      </c>
      <c r="G302">
        <v>13141.1</v>
      </c>
      <c r="I302">
        <v>737.9</v>
      </c>
      <c r="K302">
        <v>431494.7</v>
      </c>
      <c r="M302">
        <v>61347.1</v>
      </c>
      <c r="O302">
        <v>1161.0999999999999</v>
      </c>
      <c r="Q302">
        <v>4074.9</v>
      </c>
      <c r="S302">
        <v>1346.8</v>
      </c>
      <c r="U302">
        <v>1335.3</v>
      </c>
      <c r="W302">
        <v>14861.1</v>
      </c>
      <c r="Y302">
        <v>12563.4</v>
      </c>
      <c r="AA302">
        <v>4889181.0999999996</v>
      </c>
      <c r="AC302">
        <v>3833343.1</v>
      </c>
      <c r="AE302">
        <v>12864791.5</v>
      </c>
      <c r="AG302">
        <v>31769.8</v>
      </c>
      <c r="AI302">
        <v>45508.1</v>
      </c>
      <c r="AK302">
        <v>6626.1</v>
      </c>
      <c r="AM302">
        <v>2418.6999999999998</v>
      </c>
      <c r="AO302">
        <v>306.3</v>
      </c>
      <c r="AQ302">
        <v>369.9</v>
      </c>
      <c r="AS302">
        <v>370.9</v>
      </c>
      <c r="AU302">
        <v>256.3</v>
      </c>
      <c r="AW302">
        <v>179.2</v>
      </c>
      <c r="AY302">
        <v>2416.6</v>
      </c>
      <c r="BA302">
        <v>682708.8</v>
      </c>
      <c r="BC302">
        <v>2622.1</v>
      </c>
      <c r="BE302">
        <v>40028.6</v>
      </c>
      <c r="BG302">
        <v>780690.2</v>
      </c>
      <c r="BI302">
        <v>649395.80000000005</v>
      </c>
      <c r="BK302">
        <v>1674394.7</v>
      </c>
      <c r="BM302">
        <v>481909.3</v>
      </c>
      <c r="BO302">
        <v>5324669.8</v>
      </c>
      <c r="BQ302">
        <v>46959.1</v>
      </c>
      <c r="BS302">
        <v>107547.4</v>
      </c>
      <c r="BU302">
        <v>2076770.4</v>
      </c>
      <c r="BW302">
        <v>44627.9</v>
      </c>
      <c r="BY302">
        <v>318251</v>
      </c>
      <c r="CA302">
        <v>28619.200000000001</v>
      </c>
      <c r="CC302">
        <v>191.7</v>
      </c>
      <c r="CE302">
        <v>288</v>
      </c>
      <c r="CG302">
        <v>10232</v>
      </c>
      <c r="CI302">
        <v>41400.5</v>
      </c>
      <c r="CK302">
        <v>185028.6</v>
      </c>
      <c r="CM302">
        <v>8249.4</v>
      </c>
      <c r="CO302">
        <v>1610.4</v>
      </c>
      <c r="CQ302">
        <v>68206.899999999994</v>
      </c>
      <c r="CS302">
        <v>1648367.4</v>
      </c>
      <c r="CU302">
        <v>478775.9</v>
      </c>
      <c r="CW302">
        <v>403504.6</v>
      </c>
      <c r="CY302">
        <v>60489.4</v>
      </c>
      <c r="DA302">
        <v>2824385.8</v>
      </c>
      <c r="DC302">
        <v>50</v>
      </c>
      <c r="DE302">
        <v>31350.9</v>
      </c>
      <c r="DG302">
        <v>205.5</v>
      </c>
      <c r="DI302">
        <v>1914.6</v>
      </c>
      <c r="DK302">
        <v>919.9</v>
      </c>
      <c r="DM302">
        <v>134630.79999999999</v>
      </c>
      <c r="DO302">
        <v>104079.2</v>
      </c>
      <c r="DQ302">
        <v>15945.4</v>
      </c>
    </row>
    <row r="303" spans="1:121" x14ac:dyDescent="0.2">
      <c r="D303" t="s">
        <v>62</v>
      </c>
      <c r="E303" t="s">
        <v>61</v>
      </c>
      <c r="G303">
        <v>134.80000000000001</v>
      </c>
      <c r="I303">
        <v>68.7</v>
      </c>
      <c r="K303">
        <v>2921.5</v>
      </c>
      <c r="M303">
        <v>724.4</v>
      </c>
      <c r="O303">
        <v>73.8</v>
      </c>
      <c r="Q303">
        <v>123.8</v>
      </c>
      <c r="S303">
        <v>103.5</v>
      </c>
      <c r="U303">
        <v>32.700000000000003</v>
      </c>
      <c r="W303">
        <v>230.9</v>
      </c>
      <c r="Y303">
        <v>84.1</v>
      </c>
      <c r="AA303">
        <v>22804.6</v>
      </c>
      <c r="AC303">
        <v>78320.399999999994</v>
      </c>
      <c r="AE303">
        <v>166196.70000000001</v>
      </c>
      <c r="AG303">
        <v>254</v>
      </c>
      <c r="AI303">
        <v>389.6</v>
      </c>
      <c r="AK303">
        <v>73.599999999999994</v>
      </c>
      <c r="AM303">
        <v>126.4</v>
      </c>
      <c r="AO303">
        <v>29.8</v>
      </c>
      <c r="AQ303">
        <v>65.900000000000006</v>
      </c>
      <c r="AS303">
        <v>21.3</v>
      </c>
      <c r="AU303">
        <v>34.799999999999997</v>
      </c>
      <c r="AW303">
        <v>48.1</v>
      </c>
      <c r="AY303">
        <v>160.69999999999999</v>
      </c>
      <c r="BA303">
        <v>10018.1</v>
      </c>
      <c r="BC303">
        <v>148.1</v>
      </c>
      <c r="BE303">
        <v>229.9</v>
      </c>
      <c r="BG303">
        <v>4463.5</v>
      </c>
      <c r="BI303">
        <v>4624.5</v>
      </c>
      <c r="BK303">
        <v>9638.9</v>
      </c>
      <c r="BM303">
        <v>3531.4</v>
      </c>
      <c r="BO303">
        <v>97529.3</v>
      </c>
      <c r="BQ303">
        <v>1201.5999999999999</v>
      </c>
      <c r="BS303">
        <v>3645.2</v>
      </c>
      <c r="BU303">
        <v>38213.300000000003</v>
      </c>
      <c r="BW303">
        <v>1373</v>
      </c>
      <c r="BY303">
        <v>7653</v>
      </c>
      <c r="CA303">
        <v>740.4</v>
      </c>
      <c r="CC303">
        <v>31.6</v>
      </c>
      <c r="CE303">
        <v>19.7</v>
      </c>
      <c r="CG303">
        <v>527.29999999999995</v>
      </c>
      <c r="CI303">
        <v>1569.9</v>
      </c>
      <c r="CK303">
        <v>8727.4</v>
      </c>
      <c r="CM303">
        <v>119.6</v>
      </c>
      <c r="CO303">
        <v>60.5</v>
      </c>
      <c r="CQ303">
        <v>2069.6</v>
      </c>
      <c r="CS303">
        <v>48420.5</v>
      </c>
      <c r="CU303">
        <v>3855.6</v>
      </c>
      <c r="CW303">
        <v>18655.099999999999</v>
      </c>
      <c r="CY303">
        <v>970.3</v>
      </c>
      <c r="DA303">
        <v>13881.2</v>
      </c>
      <c r="DC303">
        <v>10.1</v>
      </c>
      <c r="DE303">
        <v>480.4</v>
      </c>
      <c r="DG303">
        <v>29.8</v>
      </c>
      <c r="DI303">
        <v>244</v>
      </c>
      <c r="DK303">
        <v>34.4</v>
      </c>
      <c r="DM303">
        <v>1392.3</v>
      </c>
      <c r="DO303">
        <v>1441.3</v>
      </c>
      <c r="DQ303">
        <v>158.30000000000001</v>
      </c>
    </row>
    <row r="304" spans="1:121" x14ac:dyDescent="0.2">
      <c r="D304" t="s">
        <v>63</v>
      </c>
      <c r="G304">
        <v>6.93E-2</v>
      </c>
      <c r="H304" t="s">
        <v>75</v>
      </c>
      <c r="I304">
        <v>1.2930000000000001E-2</v>
      </c>
      <c r="J304" t="s">
        <v>75</v>
      </c>
      <c r="K304">
        <v>0.54152</v>
      </c>
      <c r="L304" t="s">
        <v>75</v>
      </c>
      <c r="M304">
        <v>2.768E-2</v>
      </c>
      <c r="N304" t="s">
        <v>75</v>
      </c>
      <c r="O304">
        <v>3.8899999999999998E-3</v>
      </c>
      <c r="P304" t="s">
        <v>75</v>
      </c>
      <c r="Q304">
        <v>4.7129999999999998E-2</v>
      </c>
      <c r="R304" t="s">
        <v>75</v>
      </c>
      <c r="S304">
        <v>4.8000000000000001E-4</v>
      </c>
      <c r="T304" t="s">
        <v>75</v>
      </c>
      <c r="U304">
        <v>1.1129999999999999E-2</v>
      </c>
      <c r="V304" t="s">
        <v>75</v>
      </c>
      <c r="W304">
        <v>3.4849999999999999E-2</v>
      </c>
      <c r="X304" t="s">
        <v>75</v>
      </c>
      <c r="Y304">
        <v>0.18526999999999999</v>
      </c>
      <c r="Z304" t="s">
        <v>75</v>
      </c>
      <c r="AB304" t="s">
        <v>76</v>
      </c>
      <c r="AC304">
        <v>13.585319999999999</v>
      </c>
      <c r="AD304" t="s">
        <v>75</v>
      </c>
      <c r="AE304">
        <v>47.894379999999998</v>
      </c>
      <c r="AF304" t="s">
        <v>75</v>
      </c>
      <c r="AG304">
        <v>8.4100000000000008E-3</v>
      </c>
      <c r="AH304" t="s">
        <v>75</v>
      </c>
      <c r="AI304">
        <v>0.28566999999999998</v>
      </c>
      <c r="AJ304" t="s">
        <v>75</v>
      </c>
      <c r="AK304">
        <v>2.3700000000000001E-3</v>
      </c>
      <c r="AL304" t="s">
        <v>75</v>
      </c>
      <c r="AM304">
        <v>-3.8800000000000002E-3</v>
      </c>
      <c r="AN304" t="s">
        <v>75</v>
      </c>
      <c r="AO304">
        <v>2.5400000000000002E-3</v>
      </c>
      <c r="AP304" t="s">
        <v>75</v>
      </c>
      <c r="AQ304">
        <v>6.0999999999999997E-4</v>
      </c>
      <c r="AR304" t="s">
        <v>75</v>
      </c>
      <c r="AS304">
        <v>5.9999999999999995E-4</v>
      </c>
      <c r="AT304" t="s">
        <v>75</v>
      </c>
      <c r="AU304">
        <v>1.5200000000000001E-3</v>
      </c>
      <c r="AV304" t="s">
        <v>75</v>
      </c>
      <c r="AW304">
        <v>-3.6999999999999999E-4</v>
      </c>
      <c r="AX304" t="s">
        <v>75</v>
      </c>
      <c r="AY304">
        <v>-2.6199999999999999E-3</v>
      </c>
      <c r="AZ304" t="s">
        <v>75</v>
      </c>
      <c r="BC304">
        <v>-2.0521199999999999</v>
      </c>
      <c r="BD304" t="s">
        <v>75</v>
      </c>
      <c r="BE304">
        <v>4.0529999999999997E-2</v>
      </c>
      <c r="BF304" t="s">
        <v>75</v>
      </c>
      <c r="BG304">
        <v>2.1901799999999998</v>
      </c>
      <c r="BH304" t="s">
        <v>75</v>
      </c>
      <c r="BI304">
        <v>2.1155900000000001</v>
      </c>
      <c r="BJ304" t="s">
        <v>75</v>
      </c>
      <c r="BK304">
        <v>2.2210000000000001</v>
      </c>
      <c r="BL304" t="s">
        <v>75</v>
      </c>
      <c r="BM304">
        <v>0.43983</v>
      </c>
      <c r="BN304" t="s">
        <v>75</v>
      </c>
      <c r="BO304">
        <v>114.18414</v>
      </c>
      <c r="BP304" t="s">
        <v>75</v>
      </c>
      <c r="BQ304">
        <v>1.14754</v>
      </c>
      <c r="BR304" t="s">
        <v>75</v>
      </c>
      <c r="BS304">
        <v>1.91717</v>
      </c>
      <c r="BT304" t="s">
        <v>75</v>
      </c>
      <c r="BU304">
        <v>64.220749999999995</v>
      </c>
      <c r="BV304" t="s">
        <v>75</v>
      </c>
      <c r="BW304">
        <v>18.427499999999998</v>
      </c>
      <c r="BX304" t="s">
        <v>75</v>
      </c>
      <c r="BY304">
        <v>80.029309999999995</v>
      </c>
      <c r="BZ304" t="s">
        <v>75</v>
      </c>
      <c r="CA304">
        <v>11.51435</v>
      </c>
      <c r="CB304" t="s">
        <v>75</v>
      </c>
      <c r="CC304">
        <v>2.6120000000000001E-2</v>
      </c>
      <c r="CD304" t="s">
        <v>75</v>
      </c>
      <c r="CE304">
        <v>2.5899999999999999E-3</v>
      </c>
      <c r="CF304" t="s">
        <v>75</v>
      </c>
      <c r="CG304">
        <v>0.15462000000000001</v>
      </c>
      <c r="CH304" t="s">
        <v>75</v>
      </c>
      <c r="CI304">
        <v>0.50392000000000003</v>
      </c>
      <c r="CJ304" t="s">
        <v>75</v>
      </c>
      <c r="CK304">
        <v>2.25387</v>
      </c>
      <c r="CL304" t="s">
        <v>75</v>
      </c>
      <c r="CM304">
        <v>0.10851</v>
      </c>
      <c r="CN304" t="s">
        <v>75</v>
      </c>
      <c r="CO304">
        <v>0.10007000000000001</v>
      </c>
      <c r="CP304" t="s">
        <v>75</v>
      </c>
      <c r="CQ304">
        <v>2.0071099999999999</v>
      </c>
      <c r="CR304" t="s">
        <v>75</v>
      </c>
      <c r="CS304">
        <v>425.14416</v>
      </c>
      <c r="CT304" t="s">
        <v>75</v>
      </c>
      <c r="CV304" t="s">
        <v>76</v>
      </c>
      <c r="CW304">
        <v>14.748950000000001</v>
      </c>
      <c r="CX304" t="s">
        <v>75</v>
      </c>
      <c r="DA304">
        <v>171.93289999999999</v>
      </c>
      <c r="DB304" t="s">
        <v>75</v>
      </c>
      <c r="DC304">
        <v>2.1420000000000002E-2</v>
      </c>
      <c r="DD304" t="s">
        <v>75</v>
      </c>
      <c r="DE304">
        <v>14.489190000000001</v>
      </c>
      <c r="DF304" t="s">
        <v>75</v>
      </c>
      <c r="DG304">
        <v>1.0423899999999999</v>
      </c>
      <c r="DH304" t="s">
        <v>75</v>
      </c>
      <c r="DI304">
        <v>2.9893299999999998</v>
      </c>
      <c r="DJ304" t="s">
        <v>75</v>
      </c>
      <c r="DL304" t="s">
        <v>76</v>
      </c>
      <c r="DN304" t="s">
        <v>76</v>
      </c>
      <c r="DO304">
        <v>15.736470000000001</v>
      </c>
      <c r="DP304" t="s">
        <v>75</v>
      </c>
    </row>
    <row r="305" spans="1:121" x14ac:dyDescent="0.2">
      <c r="D305" t="s">
        <v>64</v>
      </c>
      <c r="G305">
        <v>1.9300000000000001E-3</v>
      </c>
      <c r="H305" t="s">
        <v>75</v>
      </c>
      <c r="I305">
        <v>2.0799999999999998E-3</v>
      </c>
      <c r="J305" t="s">
        <v>75</v>
      </c>
      <c r="K305">
        <v>6.9199999999999999E-3</v>
      </c>
      <c r="L305" t="s">
        <v>75</v>
      </c>
      <c r="M305">
        <v>1.0200000000000001E-3</v>
      </c>
      <c r="N305" t="s">
        <v>75</v>
      </c>
      <c r="O305">
        <v>6.9999999999999994E-5</v>
      </c>
      <c r="P305" t="s">
        <v>75</v>
      </c>
      <c r="Q305">
        <v>1.0399999999999999E-3</v>
      </c>
      <c r="R305" t="s">
        <v>75</v>
      </c>
      <c r="S305">
        <v>8.0000000000000007E-5</v>
      </c>
      <c r="T305" t="s">
        <v>75</v>
      </c>
      <c r="U305">
        <v>8.0000000000000007E-5</v>
      </c>
      <c r="V305" t="s">
        <v>75</v>
      </c>
      <c r="W305">
        <v>6.9999999999999999E-4</v>
      </c>
      <c r="X305" t="s">
        <v>75</v>
      </c>
      <c r="Y305">
        <v>3.32E-3</v>
      </c>
      <c r="Z305" t="s">
        <v>75</v>
      </c>
      <c r="AC305">
        <v>0.38585999999999998</v>
      </c>
      <c r="AD305" t="s">
        <v>75</v>
      </c>
      <c r="AE305">
        <v>1.27016</v>
      </c>
      <c r="AF305" t="s">
        <v>75</v>
      </c>
      <c r="AG305">
        <v>5.5999999999999995E-4</v>
      </c>
      <c r="AH305" t="s">
        <v>75</v>
      </c>
      <c r="AI305">
        <v>6.3699999999999998E-3</v>
      </c>
      <c r="AJ305" t="s">
        <v>75</v>
      </c>
      <c r="AK305">
        <v>3.0000000000000001E-5</v>
      </c>
      <c r="AL305" t="s">
        <v>75</v>
      </c>
      <c r="AM305">
        <v>1.2E-4</v>
      </c>
      <c r="AN305" t="s">
        <v>75</v>
      </c>
      <c r="AO305">
        <v>1.2E-4</v>
      </c>
      <c r="AP305" t="s">
        <v>75</v>
      </c>
      <c r="AQ305">
        <v>2.7E-4</v>
      </c>
      <c r="AR305" t="s">
        <v>75</v>
      </c>
      <c r="AS305">
        <v>1.2E-4</v>
      </c>
      <c r="AT305" t="s">
        <v>75</v>
      </c>
      <c r="AU305">
        <v>2.0000000000000002E-5</v>
      </c>
      <c r="AV305" t="s">
        <v>75</v>
      </c>
      <c r="AW305">
        <v>1.2E-4</v>
      </c>
      <c r="AX305" t="s">
        <v>75</v>
      </c>
      <c r="AY305">
        <v>5.8E-4</v>
      </c>
      <c r="AZ305" t="s">
        <v>75</v>
      </c>
      <c r="BC305">
        <v>3.8000000000000002E-4</v>
      </c>
      <c r="BD305" t="s">
        <v>75</v>
      </c>
      <c r="BE305">
        <v>7.6999999999999996E-4</v>
      </c>
      <c r="BF305" t="s">
        <v>75</v>
      </c>
      <c r="BG305">
        <v>2.087E-2</v>
      </c>
      <c r="BH305" t="s">
        <v>75</v>
      </c>
      <c r="BI305">
        <v>3.9079999999999997E-2</v>
      </c>
      <c r="BJ305" t="s">
        <v>75</v>
      </c>
      <c r="BK305">
        <v>2.962E-2</v>
      </c>
      <c r="BL305" t="s">
        <v>75</v>
      </c>
      <c r="BM305">
        <v>9.2300000000000004E-3</v>
      </c>
      <c r="BN305" t="s">
        <v>75</v>
      </c>
      <c r="BO305">
        <v>3.8753799999999998</v>
      </c>
      <c r="BP305" t="s">
        <v>75</v>
      </c>
      <c r="BQ305">
        <v>6.3820000000000002E-2</v>
      </c>
      <c r="BR305" t="s">
        <v>75</v>
      </c>
      <c r="BS305">
        <v>0.1134</v>
      </c>
      <c r="BT305" t="s">
        <v>75</v>
      </c>
      <c r="BU305">
        <v>2.7801499999999999</v>
      </c>
      <c r="BV305" t="s">
        <v>75</v>
      </c>
      <c r="BW305">
        <v>0.78847</v>
      </c>
      <c r="BX305" t="s">
        <v>75</v>
      </c>
      <c r="BY305">
        <v>3.3945099999999999</v>
      </c>
      <c r="BZ305" t="s">
        <v>75</v>
      </c>
      <c r="CA305">
        <v>0.59499999999999997</v>
      </c>
      <c r="CB305" t="s">
        <v>75</v>
      </c>
      <c r="CC305">
        <v>7.1999999999999998E-3</v>
      </c>
      <c r="CD305" t="s">
        <v>75</v>
      </c>
      <c r="CE305">
        <v>3.5E-4</v>
      </c>
      <c r="CF305" t="s">
        <v>75</v>
      </c>
      <c r="CG305">
        <v>1.072E-2</v>
      </c>
      <c r="CH305" t="s">
        <v>75</v>
      </c>
      <c r="CI305">
        <v>2.589E-2</v>
      </c>
      <c r="CJ305" t="s">
        <v>75</v>
      </c>
      <c r="CK305">
        <v>0.14877000000000001</v>
      </c>
      <c r="CL305" t="s">
        <v>75</v>
      </c>
      <c r="CM305">
        <v>2.3999999999999998E-3</v>
      </c>
      <c r="CN305" t="s">
        <v>75</v>
      </c>
      <c r="CO305">
        <v>3.3500000000000001E-3</v>
      </c>
      <c r="CP305" t="s">
        <v>75</v>
      </c>
      <c r="CQ305">
        <v>8.7540000000000007E-2</v>
      </c>
      <c r="CR305" t="s">
        <v>75</v>
      </c>
      <c r="CS305">
        <v>19.13646</v>
      </c>
      <c r="CT305" t="s">
        <v>75</v>
      </c>
      <c r="CW305">
        <v>0.91127999999999998</v>
      </c>
      <c r="CX305" t="s">
        <v>75</v>
      </c>
      <c r="DA305">
        <v>1.6667099999999999</v>
      </c>
      <c r="DB305" t="s">
        <v>75</v>
      </c>
      <c r="DC305">
        <v>4.62E-3</v>
      </c>
      <c r="DD305" t="s">
        <v>75</v>
      </c>
      <c r="DE305">
        <v>0.23696999999999999</v>
      </c>
      <c r="DF305" t="s">
        <v>75</v>
      </c>
      <c r="DG305">
        <v>0.15085000000000001</v>
      </c>
      <c r="DH305" t="s">
        <v>75</v>
      </c>
      <c r="DI305">
        <v>0.43540000000000001</v>
      </c>
      <c r="DJ305" t="s">
        <v>75</v>
      </c>
      <c r="DO305">
        <v>0.31855</v>
      </c>
      <c r="DP305" t="s">
        <v>75</v>
      </c>
    </row>
    <row r="306" spans="1:121" x14ac:dyDescent="0.2">
      <c r="D306" t="s">
        <v>65</v>
      </c>
      <c r="G306" t="s">
        <v>66</v>
      </c>
      <c r="I306" t="s">
        <v>66</v>
      </c>
      <c r="K306" t="s">
        <v>66</v>
      </c>
      <c r="M306" t="s">
        <v>66</v>
      </c>
      <c r="O306" t="s">
        <v>66</v>
      </c>
      <c r="Q306" t="s">
        <v>66</v>
      </c>
      <c r="S306" t="s">
        <v>66</v>
      </c>
      <c r="U306" t="s">
        <v>66</v>
      </c>
      <c r="W306" t="s">
        <v>66</v>
      </c>
      <c r="Y306" t="s">
        <v>66</v>
      </c>
      <c r="AA306" t="s">
        <v>66</v>
      </c>
      <c r="AC306" t="s">
        <v>66</v>
      </c>
      <c r="AE306" t="s">
        <v>66</v>
      </c>
      <c r="AG306" t="s">
        <v>66</v>
      </c>
      <c r="AI306" t="s">
        <v>66</v>
      </c>
      <c r="AK306" t="s">
        <v>66</v>
      </c>
      <c r="AM306" t="s">
        <v>66</v>
      </c>
      <c r="AO306" t="s">
        <v>66</v>
      </c>
      <c r="AQ306" t="s">
        <v>66</v>
      </c>
      <c r="AS306" t="s">
        <v>66</v>
      </c>
      <c r="AU306" t="s">
        <v>66</v>
      </c>
      <c r="AW306" t="s">
        <v>66</v>
      </c>
      <c r="AY306" t="s">
        <v>66</v>
      </c>
      <c r="BA306" t="s">
        <v>66</v>
      </c>
      <c r="BC306" t="s">
        <v>66</v>
      </c>
      <c r="BE306" t="s">
        <v>66</v>
      </c>
      <c r="BG306" t="s">
        <v>66</v>
      </c>
      <c r="BI306" t="s">
        <v>66</v>
      </c>
      <c r="BK306" t="s">
        <v>66</v>
      </c>
      <c r="BM306" t="s">
        <v>66</v>
      </c>
      <c r="BO306" t="s">
        <v>66</v>
      </c>
      <c r="BQ306" t="s">
        <v>66</v>
      </c>
      <c r="BS306" t="s">
        <v>66</v>
      </c>
      <c r="BU306" t="s">
        <v>66</v>
      </c>
      <c r="BW306" t="s">
        <v>66</v>
      </c>
      <c r="BY306" t="s">
        <v>66</v>
      </c>
      <c r="CA306" t="s">
        <v>66</v>
      </c>
      <c r="CC306" t="s">
        <v>66</v>
      </c>
      <c r="CE306" t="s">
        <v>66</v>
      </c>
      <c r="CG306" t="s">
        <v>66</v>
      </c>
      <c r="CI306" t="s">
        <v>66</v>
      </c>
      <c r="CK306" t="s">
        <v>66</v>
      </c>
      <c r="CM306" t="s">
        <v>66</v>
      </c>
      <c r="CO306" t="s">
        <v>66</v>
      </c>
      <c r="CQ306" t="s">
        <v>66</v>
      </c>
      <c r="CS306" t="s">
        <v>66</v>
      </c>
      <c r="CU306" t="s">
        <v>66</v>
      </c>
      <c r="CW306" t="s">
        <v>66</v>
      </c>
      <c r="CY306" t="s">
        <v>66</v>
      </c>
      <c r="DA306" t="s">
        <v>66</v>
      </c>
      <c r="DC306" t="s">
        <v>66</v>
      </c>
      <c r="DE306" t="s">
        <v>66</v>
      </c>
      <c r="DG306" t="s">
        <v>66</v>
      </c>
      <c r="DI306" t="s">
        <v>66</v>
      </c>
      <c r="DK306" t="s">
        <v>66</v>
      </c>
      <c r="DM306" t="s">
        <v>66</v>
      </c>
      <c r="DO306" t="s">
        <v>66</v>
      </c>
      <c r="DQ306" t="s">
        <v>66</v>
      </c>
    </row>
    <row r="307" spans="1:121" x14ac:dyDescent="0.2">
      <c r="A307" t="s">
        <v>631</v>
      </c>
      <c r="D307" t="s">
        <v>60</v>
      </c>
      <c r="E307" t="s">
        <v>61</v>
      </c>
      <c r="G307">
        <v>10249.700000000001</v>
      </c>
      <c r="I307">
        <v>664.6</v>
      </c>
      <c r="K307">
        <v>115356.1</v>
      </c>
      <c r="M307">
        <v>53412</v>
      </c>
      <c r="O307">
        <v>679.4</v>
      </c>
      <c r="Q307">
        <v>1987.1</v>
      </c>
      <c r="S307">
        <v>1402</v>
      </c>
      <c r="U307">
        <v>1389.5</v>
      </c>
      <c r="W307">
        <v>12629.1</v>
      </c>
      <c r="Y307">
        <v>3127.9</v>
      </c>
      <c r="AA307">
        <v>3617656.7</v>
      </c>
      <c r="AC307">
        <v>2158846</v>
      </c>
      <c r="AE307">
        <v>3565404.5</v>
      </c>
      <c r="AG307">
        <v>9865.2999999999993</v>
      </c>
      <c r="AI307">
        <v>28936.2</v>
      </c>
      <c r="AK307">
        <v>2646.1</v>
      </c>
      <c r="AM307">
        <v>2311.4</v>
      </c>
      <c r="AO307">
        <v>426.2</v>
      </c>
      <c r="AQ307">
        <v>332.3</v>
      </c>
      <c r="AS307">
        <v>324</v>
      </c>
      <c r="AU307">
        <v>221.9</v>
      </c>
      <c r="AW307">
        <v>239.6</v>
      </c>
      <c r="AY307">
        <v>933.8</v>
      </c>
      <c r="BA307">
        <v>682451.9</v>
      </c>
      <c r="BC307">
        <v>2600.1999999999998</v>
      </c>
      <c r="BE307">
        <v>7692.2</v>
      </c>
      <c r="BG307">
        <v>198439.8</v>
      </c>
      <c r="BI307">
        <v>164474.70000000001</v>
      </c>
      <c r="BK307">
        <v>406205.6</v>
      </c>
      <c r="BM307">
        <v>113047.3</v>
      </c>
      <c r="BO307">
        <v>1763791.7</v>
      </c>
      <c r="BQ307">
        <v>27600.3</v>
      </c>
      <c r="BS307">
        <v>151561.29999999999</v>
      </c>
      <c r="BU307">
        <v>988948.4</v>
      </c>
      <c r="BW307">
        <v>42894.7</v>
      </c>
      <c r="BY307">
        <v>103224.4</v>
      </c>
      <c r="CA307">
        <v>26632.5</v>
      </c>
      <c r="CC307">
        <v>121.3</v>
      </c>
      <c r="CE307">
        <v>259.3</v>
      </c>
      <c r="CG307">
        <v>14949.2</v>
      </c>
      <c r="CI307">
        <v>22301.8</v>
      </c>
      <c r="CK307">
        <v>199393.5</v>
      </c>
      <c r="CM307">
        <v>1802.3</v>
      </c>
      <c r="CO307">
        <v>19589.599999999999</v>
      </c>
      <c r="CQ307">
        <v>22161.7</v>
      </c>
      <c r="CS307">
        <v>312808.09999999998</v>
      </c>
      <c r="CU307">
        <v>313927.40000000002</v>
      </c>
      <c r="CW307">
        <v>204475</v>
      </c>
      <c r="CY307">
        <v>58521.4</v>
      </c>
      <c r="DA307">
        <v>772779.3</v>
      </c>
      <c r="DC307">
        <v>20</v>
      </c>
      <c r="DE307">
        <v>4157</v>
      </c>
      <c r="DG307">
        <v>149</v>
      </c>
      <c r="DI307">
        <v>2227.1</v>
      </c>
      <c r="DK307">
        <v>869.2</v>
      </c>
      <c r="DM307">
        <v>86401.2</v>
      </c>
      <c r="DO307">
        <v>52894.5</v>
      </c>
      <c r="DQ307">
        <v>15700.9</v>
      </c>
    </row>
    <row r="308" spans="1:121" x14ac:dyDescent="0.2">
      <c r="D308" t="s">
        <v>62</v>
      </c>
      <c r="E308" t="s">
        <v>61</v>
      </c>
      <c r="G308">
        <v>307.7</v>
      </c>
      <c r="I308">
        <v>107.7</v>
      </c>
      <c r="K308">
        <v>831</v>
      </c>
      <c r="M308">
        <v>1278.2</v>
      </c>
      <c r="O308">
        <v>48.6</v>
      </c>
      <c r="Q308">
        <v>115.9</v>
      </c>
      <c r="S308">
        <v>118.6</v>
      </c>
      <c r="U308">
        <v>110.2</v>
      </c>
      <c r="W308">
        <v>325.89999999999998</v>
      </c>
      <c r="Y308">
        <v>157.9</v>
      </c>
      <c r="AA308">
        <v>31571.9</v>
      </c>
      <c r="AC308">
        <v>19915.599999999999</v>
      </c>
      <c r="AE308">
        <v>34411.300000000003</v>
      </c>
      <c r="AG308">
        <v>149.19999999999999</v>
      </c>
      <c r="AI308">
        <v>470.2</v>
      </c>
      <c r="AK308">
        <v>49.2</v>
      </c>
      <c r="AM308">
        <v>170.9</v>
      </c>
      <c r="AO308">
        <v>57.3</v>
      </c>
      <c r="AQ308">
        <v>32</v>
      </c>
      <c r="AS308">
        <v>27.3</v>
      </c>
      <c r="AU308">
        <v>3.1</v>
      </c>
      <c r="AW308">
        <v>135.30000000000001</v>
      </c>
      <c r="AY308">
        <v>105.9</v>
      </c>
      <c r="BA308">
        <v>7140.4</v>
      </c>
      <c r="BC308">
        <v>222.1</v>
      </c>
      <c r="BE308">
        <v>223</v>
      </c>
      <c r="BG308">
        <v>1902</v>
      </c>
      <c r="BI308">
        <v>4384.7</v>
      </c>
      <c r="BK308">
        <v>9450.9</v>
      </c>
      <c r="BM308">
        <v>2820.5</v>
      </c>
      <c r="BO308">
        <v>14267.3</v>
      </c>
      <c r="BQ308">
        <v>384.4</v>
      </c>
      <c r="BS308">
        <v>1862.8</v>
      </c>
      <c r="BU308">
        <v>2900.2</v>
      </c>
      <c r="BW308">
        <v>656.5</v>
      </c>
      <c r="BY308">
        <v>128.1</v>
      </c>
      <c r="CA308">
        <v>255.4</v>
      </c>
      <c r="CC308">
        <v>26.3</v>
      </c>
      <c r="CE308">
        <v>20.8</v>
      </c>
      <c r="CG308">
        <v>111.9</v>
      </c>
      <c r="CI308">
        <v>344.7</v>
      </c>
      <c r="CK308">
        <v>5524.2</v>
      </c>
      <c r="CM308">
        <v>41.6</v>
      </c>
      <c r="CO308">
        <v>207.9</v>
      </c>
      <c r="CQ308">
        <v>140.69999999999999</v>
      </c>
      <c r="CS308">
        <v>2795.2</v>
      </c>
      <c r="CU308">
        <v>5186.1000000000004</v>
      </c>
      <c r="CW308">
        <v>2271.3000000000002</v>
      </c>
      <c r="CY308">
        <v>989.8</v>
      </c>
      <c r="DA308">
        <v>5785.4</v>
      </c>
      <c r="DC308">
        <v>4.4000000000000004</v>
      </c>
      <c r="DE308">
        <v>268.7</v>
      </c>
      <c r="DG308">
        <v>49.7</v>
      </c>
      <c r="DI308">
        <v>267.3</v>
      </c>
      <c r="DK308">
        <v>36.700000000000003</v>
      </c>
      <c r="DM308">
        <v>732.6</v>
      </c>
      <c r="DO308">
        <v>830.3</v>
      </c>
      <c r="DQ308">
        <v>526.79999999999995</v>
      </c>
    </row>
    <row r="309" spans="1:121" x14ac:dyDescent="0.2">
      <c r="D309" t="s">
        <v>63</v>
      </c>
      <c r="G309">
        <v>4.65E-2</v>
      </c>
      <c r="H309" t="s">
        <v>75</v>
      </c>
      <c r="I309">
        <v>1.039E-2</v>
      </c>
      <c r="J309" t="s">
        <v>75</v>
      </c>
      <c r="K309">
        <v>0.14226</v>
      </c>
      <c r="L309" t="s">
        <v>75</v>
      </c>
      <c r="M309">
        <v>1.9689999999999999E-2</v>
      </c>
      <c r="N309" t="s">
        <v>75</v>
      </c>
      <c r="O309">
        <v>3.49E-3</v>
      </c>
      <c r="P309" t="s">
        <v>75</v>
      </c>
      <c r="Q309">
        <v>3.3750000000000002E-2</v>
      </c>
      <c r="R309" t="s">
        <v>75</v>
      </c>
      <c r="S309">
        <v>5.2999999999999998E-4</v>
      </c>
      <c r="T309" t="s">
        <v>75</v>
      </c>
      <c r="U309">
        <v>1.136E-2</v>
      </c>
      <c r="V309" t="s">
        <v>75</v>
      </c>
      <c r="W309">
        <v>3.0159999999999999E-2</v>
      </c>
      <c r="X309" t="s">
        <v>75</v>
      </c>
      <c r="Y309">
        <v>4.6149999999999997E-2</v>
      </c>
      <c r="Z309" t="s">
        <v>75</v>
      </c>
      <c r="AB309" t="s">
        <v>76</v>
      </c>
      <c r="AC309">
        <v>7.6714099999999998</v>
      </c>
      <c r="AD309" t="s">
        <v>75</v>
      </c>
      <c r="AE309">
        <v>13.30542</v>
      </c>
      <c r="AF309" t="s">
        <v>75</v>
      </c>
      <c r="AG309">
        <v>-8.6599999999999993E-3</v>
      </c>
      <c r="AH309" t="s">
        <v>75</v>
      </c>
      <c r="AI309">
        <v>0.1817</v>
      </c>
      <c r="AJ309" t="s">
        <v>75</v>
      </c>
      <c r="AK309">
        <v>-3.4000000000000002E-4</v>
      </c>
      <c r="AL309" t="s">
        <v>75</v>
      </c>
      <c r="AM309">
        <v>-3.96E-3</v>
      </c>
      <c r="AN309" t="s">
        <v>75</v>
      </c>
      <c r="AO309">
        <v>2.98E-3</v>
      </c>
      <c r="AP309" t="s">
        <v>75</v>
      </c>
      <c r="AQ309">
        <v>4.6000000000000001E-4</v>
      </c>
      <c r="AR309" t="s">
        <v>75</v>
      </c>
      <c r="AS309">
        <v>3.8999999999999999E-4</v>
      </c>
      <c r="AT309" t="s">
        <v>75</v>
      </c>
      <c r="AU309">
        <v>1.5E-3</v>
      </c>
      <c r="AV309" t="s">
        <v>75</v>
      </c>
      <c r="AW309">
        <v>-2.2000000000000001E-4</v>
      </c>
      <c r="AX309" t="s">
        <v>75</v>
      </c>
      <c r="AY309">
        <v>-7.3699999999999998E-3</v>
      </c>
      <c r="AZ309" t="s">
        <v>75</v>
      </c>
      <c r="BC309">
        <v>-2.0521799999999999</v>
      </c>
      <c r="BD309" t="s">
        <v>75</v>
      </c>
      <c r="BE309">
        <v>9.8700000000000003E-3</v>
      </c>
      <c r="BF309" t="s">
        <v>75</v>
      </c>
      <c r="BG309">
        <v>0.52800000000000002</v>
      </c>
      <c r="BH309" t="s">
        <v>75</v>
      </c>
      <c r="BI309">
        <v>0.52403</v>
      </c>
      <c r="BJ309" t="s">
        <v>75</v>
      </c>
      <c r="BK309">
        <v>0.51439000000000001</v>
      </c>
      <c r="BL309" t="s">
        <v>75</v>
      </c>
      <c r="BM309">
        <v>9.5570000000000002E-2</v>
      </c>
      <c r="BN309" t="s">
        <v>75</v>
      </c>
      <c r="BO309">
        <v>37.951520000000002</v>
      </c>
      <c r="BP309" t="s">
        <v>75</v>
      </c>
      <c r="BQ309">
        <v>0.53210000000000002</v>
      </c>
      <c r="BR309" t="s">
        <v>75</v>
      </c>
      <c r="BS309">
        <v>3.0017999999999998</v>
      </c>
      <c r="BT309" t="s">
        <v>75</v>
      </c>
      <c r="BU309">
        <v>21.208130000000001</v>
      </c>
      <c r="BV309" t="s">
        <v>75</v>
      </c>
      <c r="BW309">
        <v>18.30508</v>
      </c>
      <c r="BX309" t="s">
        <v>75</v>
      </c>
      <c r="BY309">
        <v>21.419560000000001</v>
      </c>
      <c r="BZ309" t="s">
        <v>75</v>
      </c>
      <c r="CA309">
        <v>10.93365</v>
      </c>
      <c r="CB309" t="s">
        <v>75</v>
      </c>
      <c r="CC309">
        <v>1.206E-2</v>
      </c>
      <c r="CD309" t="s">
        <v>75</v>
      </c>
      <c r="CE309">
        <v>2.2899999999999999E-3</v>
      </c>
      <c r="CF309" t="s">
        <v>75</v>
      </c>
      <c r="CG309">
        <v>0.24229999999999999</v>
      </c>
      <c r="CH309" t="s">
        <v>75</v>
      </c>
      <c r="CI309">
        <v>0.26783000000000001</v>
      </c>
      <c r="CJ309" t="s">
        <v>75</v>
      </c>
      <c r="CK309">
        <v>2.54772</v>
      </c>
      <c r="CL309" t="s">
        <v>75</v>
      </c>
      <c r="CM309">
        <v>1.9089999999999999E-2</v>
      </c>
      <c r="CN309" t="s">
        <v>75</v>
      </c>
      <c r="CO309">
        <v>1.13913</v>
      </c>
      <c r="CP309" t="s">
        <v>75</v>
      </c>
      <c r="CQ309">
        <v>0.65571999999999997</v>
      </c>
      <c r="CR309" t="s">
        <v>75</v>
      </c>
      <c r="CS309">
        <v>83.286010000000005</v>
      </c>
      <c r="CT309" t="s">
        <v>75</v>
      </c>
      <c r="CV309" t="s">
        <v>76</v>
      </c>
      <c r="CW309">
        <v>7.7101199999999999</v>
      </c>
      <c r="CX309" t="s">
        <v>75</v>
      </c>
      <c r="DA309">
        <v>47.636369999999999</v>
      </c>
      <c r="DB309" t="s">
        <v>75</v>
      </c>
      <c r="DC309">
        <v>8.0700000000000008E-3</v>
      </c>
      <c r="DD309" t="s">
        <v>75</v>
      </c>
      <c r="DE309">
        <v>1.9394899999999999</v>
      </c>
      <c r="DF309" t="s">
        <v>75</v>
      </c>
      <c r="DG309">
        <v>0.74899000000000004</v>
      </c>
      <c r="DH309" t="s">
        <v>75</v>
      </c>
      <c r="DI309">
        <v>3.6095000000000002</v>
      </c>
      <c r="DJ309" t="s">
        <v>75</v>
      </c>
      <c r="DL309" t="s">
        <v>76</v>
      </c>
      <c r="DN309" t="s">
        <v>76</v>
      </c>
      <c r="DO309">
        <v>8.1219599999999996</v>
      </c>
      <c r="DP309" t="s">
        <v>75</v>
      </c>
    </row>
    <row r="310" spans="1:121" x14ac:dyDescent="0.2">
      <c r="D310" t="s">
        <v>64</v>
      </c>
      <c r="G310">
        <v>1.58E-3</v>
      </c>
      <c r="H310" t="s">
        <v>75</v>
      </c>
      <c r="I310">
        <v>3.5000000000000001E-3</v>
      </c>
      <c r="J310" t="s">
        <v>75</v>
      </c>
      <c r="K310">
        <v>8.9999999999999998E-4</v>
      </c>
      <c r="L310" t="s">
        <v>75</v>
      </c>
      <c r="M310">
        <v>9.3000000000000005E-4</v>
      </c>
      <c r="N310" t="s">
        <v>75</v>
      </c>
      <c r="O310">
        <v>4.0000000000000003E-5</v>
      </c>
      <c r="P310" t="s">
        <v>75</v>
      </c>
      <c r="Q310">
        <v>8.5999999999999998E-4</v>
      </c>
      <c r="R310" t="s">
        <v>75</v>
      </c>
      <c r="S310">
        <v>9.0000000000000006E-5</v>
      </c>
      <c r="T310" t="s">
        <v>75</v>
      </c>
      <c r="U310">
        <v>4.8999999999999998E-4</v>
      </c>
      <c r="V310" t="s">
        <v>75</v>
      </c>
      <c r="W310">
        <v>8.0999999999999996E-4</v>
      </c>
      <c r="X310" t="s">
        <v>75</v>
      </c>
      <c r="Y310">
        <v>2.8E-3</v>
      </c>
      <c r="Z310" t="s">
        <v>75</v>
      </c>
      <c r="AC310">
        <v>0.14157</v>
      </c>
      <c r="AD310" t="s">
        <v>75</v>
      </c>
      <c r="AE310">
        <v>0.25758999999999999</v>
      </c>
      <c r="AF310" t="s">
        <v>75</v>
      </c>
      <c r="AG310">
        <v>1.9000000000000001E-4</v>
      </c>
      <c r="AH310" t="s">
        <v>75</v>
      </c>
      <c r="AI310">
        <v>4.4799999999999996E-3</v>
      </c>
      <c r="AJ310" t="s">
        <v>75</v>
      </c>
      <c r="AK310">
        <v>3.0000000000000001E-5</v>
      </c>
      <c r="AL310" t="s">
        <v>75</v>
      </c>
      <c r="AM310">
        <v>1.4999999999999999E-4</v>
      </c>
      <c r="AN310" t="s">
        <v>75</v>
      </c>
      <c r="AO310">
        <v>2.2000000000000001E-4</v>
      </c>
      <c r="AP310" t="s">
        <v>75</v>
      </c>
      <c r="AQ310">
        <v>1.2999999999999999E-4</v>
      </c>
      <c r="AR310" t="s">
        <v>75</v>
      </c>
      <c r="AS310">
        <v>1.2999999999999999E-4</v>
      </c>
      <c r="AT310" t="s">
        <v>75</v>
      </c>
      <c r="AU310">
        <v>0</v>
      </c>
      <c r="AV310" t="s">
        <v>75</v>
      </c>
      <c r="AW310">
        <v>3.3E-4</v>
      </c>
      <c r="AX310" t="s">
        <v>75</v>
      </c>
      <c r="AY310">
        <v>3.2000000000000003E-4</v>
      </c>
      <c r="AZ310" t="s">
        <v>75</v>
      </c>
      <c r="BC310">
        <v>5.8E-4</v>
      </c>
      <c r="BD310" t="s">
        <v>75</v>
      </c>
      <c r="BE310">
        <v>1.3999999999999999E-4</v>
      </c>
      <c r="BF310" t="s">
        <v>75</v>
      </c>
      <c r="BG310">
        <v>1.0749999999999999E-2</v>
      </c>
      <c r="BH310" t="s">
        <v>75</v>
      </c>
      <c r="BI310">
        <v>1.9879999999999998E-2</v>
      </c>
      <c r="BJ310" t="s">
        <v>75</v>
      </c>
      <c r="BK310">
        <v>1.6879999999999999E-2</v>
      </c>
      <c r="BL310" t="s">
        <v>75</v>
      </c>
      <c r="BM310">
        <v>3.7100000000000002E-3</v>
      </c>
      <c r="BN310" t="s">
        <v>75</v>
      </c>
      <c r="BO310">
        <v>0.77703999999999995</v>
      </c>
      <c r="BP310" t="s">
        <v>75</v>
      </c>
      <c r="BQ310">
        <v>2.9199999999999999E-3</v>
      </c>
      <c r="BR310" t="s">
        <v>75</v>
      </c>
      <c r="BS310">
        <v>7.8750000000000001E-2</v>
      </c>
      <c r="BT310" t="s">
        <v>75</v>
      </c>
      <c r="BU310">
        <v>0.69260999999999995</v>
      </c>
      <c r="BV310" t="s">
        <v>75</v>
      </c>
      <c r="BW310">
        <v>0.56479000000000001</v>
      </c>
      <c r="BX310" t="s">
        <v>75</v>
      </c>
      <c r="BY310">
        <v>0.47932999999999998</v>
      </c>
      <c r="BZ310" t="s">
        <v>75</v>
      </c>
      <c r="CA310">
        <v>0.12706999999999999</v>
      </c>
      <c r="CB310" t="s">
        <v>75</v>
      </c>
      <c r="CC310">
        <v>5.4299999999999999E-3</v>
      </c>
      <c r="CD310" t="s">
        <v>75</v>
      </c>
      <c r="CE310">
        <v>2.5000000000000001E-4</v>
      </c>
      <c r="CF310" t="s">
        <v>75</v>
      </c>
      <c r="CG310">
        <v>6.3200000000000001E-3</v>
      </c>
      <c r="CH310" t="s">
        <v>75</v>
      </c>
      <c r="CI310">
        <v>8.6999999999999994E-3</v>
      </c>
      <c r="CJ310" t="s">
        <v>75</v>
      </c>
      <c r="CK310">
        <v>0.11146</v>
      </c>
      <c r="CL310" t="s">
        <v>75</v>
      </c>
      <c r="CM310">
        <v>2.1000000000000001E-4</v>
      </c>
      <c r="CN310" t="s">
        <v>75</v>
      </c>
      <c r="CO310">
        <v>2.1860000000000001E-2</v>
      </c>
      <c r="CP310" t="s">
        <v>75</v>
      </c>
      <c r="CQ310">
        <v>9.6699999999999998E-3</v>
      </c>
      <c r="CR310" t="s">
        <v>75</v>
      </c>
      <c r="CS310">
        <v>1.4175899999999999</v>
      </c>
      <c r="CT310" t="s">
        <v>75</v>
      </c>
      <c r="CW310">
        <v>0.19930999999999999</v>
      </c>
      <c r="CX310" t="s">
        <v>75</v>
      </c>
      <c r="DA310">
        <v>1.27406</v>
      </c>
      <c r="DB310" t="s">
        <v>75</v>
      </c>
      <c r="DC310">
        <v>2.0600000000000002E-3</v>
      </c>
      <c r="DD310" t="s">
        <v>75</v>
      </c>
      <c r="DE310">
        <v>0.19081000000000001</v>
      </c>
      <c r="DF310" t="s">
        <v>75</v>
      </c>
      <c r="DG310">
        <v>0.25129000000000001</v>
      </c>
      <c r="DH310" t="s">
        <v>75</v>
      </c>
      <c r="DI310">
        <v>0.35854000000000003</v>
      </c>
      <c r="DJ310" t="s">
        <v>75</v>
      </c>
      <c r="DO310">
        <v>0.24176</v>
      </c>
      <c r="DP310" t="s">
        <v>75</v>
      </c>
    </row>
    <row r="311" spans="1:121" x14ac:dyDescent="0.2">
      <c r="D311" t="s">
        <v>65</v>
      </c>
      <c r="G311" t="s">
        <v>66</v>
      </c>
      <c r="I311" t="s">
        <v>66</v>
      </c>
      <c r="K311" t="s">
        <v>66</v>
      </c>
      <c r="M311" t="s">
        <v>66</v>
      </c>
      <c r="O311" t="s">
        <v>66</v>
      </c>
      <c r="Q311" t="s">
        <v>66</v>
      </c>
      <c r="S311" t="s">
        <v>66</v>
      </c>
      <c r="U311" t="s">
        <v>66</v>
      </c>
      <c r="W311" t="s">
        <v>66</v>
      </c>
      <c r="Y311" t="s">
        <v>66</v>
      </c>
      <c r="AA311" t="s">
        <v>66</v>
      </c>
      <c r="AC311" t="s">
        <v>66</v>
      </c>
      <c r="AE311" t="s">
        <v>66</v>
      </c>
      <c r="AG311" t="s">
        <v>66</v>
      </c>
      <c r="AI311" t="s">
        <v>66</v>
      </c>
      <c r="AK311" t="s">
        <v>66</v>
      </c>
      <c r="AM311" t="s">
        <v>66</v>
      </c>
      <c r="AO311" t="s">
        <v>66</v>
      </c>
      <c r="AQ311" t="s">
        <v>66</v>
      </c>
      <c r="AS311" t="s">
        <v>66</v>
      </c>
      <c r="AU311" t="s">
        <v>66</v>
      </c>
      <c r="AW311" t="s">
        <v>66</v>
      </c>
      <c r="AY311" t="s">
        <v>66</v>
      </c>
      <c r="BA311" t="s">
        <v>66</v>
      </c>
      <c r="BC311" t="s">
        <v>66</v>
      </c>
      <c r="BE311" t="s">
        <v>66</v>
      </c>
      <c r="BG311" t="s">
        <v>66</v>
      </c>
      <c r="BI311" t="s">
        <v>66</v>
      </c>
      <c r="BK311" t="s">
        <v>66</v>
      </c>
      <c r="BM311" t="s">
        <v>66</v>
      </c>
      <c r="BO311" t="s">
        <v>66</v>
      </c>
      <c r="BQ311" t="s">
        <v>66</v>
      </c>
      <c r="BS311" t="s">
        <v>66</v>
      </c>
      <c r="BU311" t="s">
        <v>66</v>
      </c>
      <c r="BW311" t="s">
        <v>66</v>
      </c>
      <c r="BY311" t="s">
        <v>66</v>
      </c>
      <c r="CA311" t="s">
        <v>66</v>
      </c>
      <c r="CC311" t="s">
        <v>66</v>
      </c>
      <c r="CE311" t="s">
        <v>66</v>
      </c>
      <c r="CG311" t="s">
        <v>66</v>
      </c>
      <c r="CI311" t="s">
        <v>66</v>
      </c>
      <c r="CK311" t="s">
        <v>66</v>
      </c>
      <c r="CM311" t="s">
        <v>66</v>
      </c>
      <c r="CO311" t="s">
        <v>66</v>
      </c>
      <c r="CQ311" t="s">
        <v>66</v>
      </c>
      <c r="CS311" t="s">
        <v>66</v>
      </c>
      <c r="CU311" t="s">
        <v>66</v>
      </c>
      <c r="CW311" t="s">
        <v>66</v>
      </c>
      <c r="CY311" t="s">
        <v>66</v>
      </c>
      <c r="DA311" t="s">
        <v>66</v>
      </c>
      <c r="DC311" t="s">
        <v>66</v>
      </c>
      <c r="DE311" t="s">
        <v>66</v>
      </c>
      <c r="DG311" t="s">
        <v>66</v>
      </c>
      <c r="DI311" t="s">
        <v>66</v>
      </c>
      <c r="DK311" t="s">
        <v>66</v>
      </c>
      <c r="DM311" t="s">
        <v>66</v>
      </c>
      <c r="DO311" t="s">
        <v>66</v>
      </c>
      <c r="DQ311" t="s">
        <v>66</v>
      </c>
    </row>
    <row r="312" spans="1:121" x14ac:dyDescent="0.2">
      <c r="A312" t="s">
        <v>632</v>
      </c>
      <c r="D312" t="s">
        <v>60</v>
      </c>
      <c r="E312" t="s">
        <v>61</v>
      </c>
      <c r="G312">
        <v>7526.8</v>
      </c>
      <c r="I312">
        <v>515.29999999999995</v>
      </c>
      <c r="K312">
        <v>59016.7</v>
      </c>
      <c r="M312">
        <v>48794</v>
      </c>
      <c r="O312">
        <v>604.29999999999995</v>
      </c>
      <c r="Q312">
        <v>2198.6999999999998</v>
      </c>
      <c r="S312">
        <v>1116.3</v>
      </c>
      <c r="U312">
        <v>983.9</v>
      </c>
      <c r="W312">
        <v>5367.2</v>
      </c>
      <c r="Y312">
        <v>1275.8</v>
      </c>
      <c r="AA312">
        <v>2937128</v>
      </c>
      <c r="AC312">
        <v>342293.5</v>
      </c>
      <c r="AE312">
        <v>1073030.2</v>
      </c>
      <c r="AG312">
        <v>6595.9</v>
      </c>
      <c r="AI312">
        <v>18350.099999999999</v>
      </c>
      <c r="AK312">
        <v>1578.2</v>
      </c>
      <c r="AM312">
        <v>1685.7</v>
      </c>
      <c r="AO312">
        <v>241.7</v>
      </c>
      <c r="AQ312">
        <v>251.1</v>
      </c>
      <c r="AS312">
        <v>262.5</v>
      </c>
      <c r="AU312">
        <v>169.8</v>
      </c>
      <c r="AW312">
        <v>116.7</v>
      </c>
      <c r="AY312">
        <v>3241.6</v>
      </c>
      <c r="BA312">
        <v>630775.9</v>
      </c>
      <c r="BC312">
        <v>2074.6</v>
      </c>
      <c r="BE312">
        <v>6463.5</v>
      </c>
      <c r="BG312">
        <v>95353.2</v>
      </c>
      <c r="BI312">
        <v>80762.7</v>
      </c>
      <c r="BK312">
        <v>199906.5</v>
      </c>
      <c r="BM312">
        <v>58567.9</v>
      </c>
      <c r="BO312">
        <v>730227.4</v>
      </c>
      <c r="BQ312">
        <v>34463.800000000003</v>
      </c>
      <c r="BS312">
        <v>157168.20000000001</v>
      </c>
      <c r="BU312">
        <v>802199</v>
      </c>
      <c r="BW312">
        <v>16080.9</v>
      </c>
      <c r="BY312">
        <v>58159.199999999997</v>
      </c>
      <c r="CA312">
        <v>38053</v>
      </c>
      <c r="CC312">
        <v>157.4</v>
      </c>
      <c r="CE312">
        <v>254.6</v>
      </c>
      <c r="CG312">
        <v>8077</v>
      </c>
      <c r="CI312">
        <v>7218.4</v>
      </c>
      <c r="CK312">
        <v>98931.4</v>
      </c>
      <c r="CM312">
        <v>1328.7</v>
      </c>
      <c r="CO312">
        <v>1621.5</v>
      </c>
      <c r="CQ312">
        <v>15627.3</v>
      </c>
      <c r="CS312">
        <v>129906.9</v>
      </c>
      <c r="CU312">
        <v>253737.4</v>
      </c>
      <c r="CW312">
        <v>34345.4</v>
      </c>
      <c r="CY312">
        <v>54051.199999999997</v>
      </c>
      <c r="DA312">
        <v>337008.6</v>
      </c>
      <c r="DC312">
        <v>5</v>
      </c>
      <c r="DE312">
        <v>1126.5999999999999</v>
      </c>
      <c r="DG312">
        <v>56.9</v>
      </c>
      <c r="DI312">
        <v>1100.5</v>
      </c>
      <c r="DK312">
        <v>628.79999999999995</v>
      </c>
      <c r="DM312">
        <v>70933.3</v>
      </c>
      <c r="DO312">
        <v>8852.7000000000007</v>
      </c>
      <c r="DQ312">
        <v>14581.7</v>
      </c>
    </row>
    <row r="313" spans="1:121" x14ac:dyDescent="0.2">
      <c r="D313" t="s">
        <v>62</v>
      </c>
      <c r="E313" t="s">
        <v>61</v>
      </c>
      <c r="G313">
        <v>146.1</v>
      </c>
      <c r="I313">
        <v>75.099999999999994</v>
      </c>
      <c r="K313">
        <v>804.8</v>
      </c>
      <c r="M313">
        <v>654.20000000000005</v>
      </c>
      <c r="O313">
        <v>75.5</v>
      </c>
      <c r="Q313">
        <v>35.200000000000003</v>
      </c>
      <c r="S313">
        <v>76</v>
      </c>
      <c r="U313">
        <v>11</v>
      </c>
      <c r="W313">
        <v>79.599999999999994</v>
      </c>
      <c r="Y313">
        <v>109.7</v>
      </c>
      <c r="AA313">
        <v>26240.5</v>
      </c>
      <c r="AC313">
        <v>5677.6</v>
      </c>
      <c r="AE313">
        <v>7372.2</v>
      </c>
      <c r="AG313">
        <v>76.8</v>
      </c>
      <c r="AI313">
        <v>646.20000000000005</v>
      </c>
      <c r="AK313">
        <v>75.099999999999994</v>
      </c>
      <c r="AM313">
        <v>42.1</v>
      </c>
      <c r="AO313">
        <v>12.6</v>
      </c>
      <c r="AQ313">
        <v>21.3</v>
      </c>
      <c r="AS313">
        <v>42.3</v>
      </c>
      <c r="AU313">
        <v>21.3</v>
      </c>
      <c r="AW313">
        <v>37.299999999999997</v>
      </c>
      <c r="AY313">
        <v>318</v>
      </c>
      <c r="BA313">
        <v>8809.2999999999993</v>
      </c>
      <c r="BC313">
        <v>129.30000000000001</v>
      </c>
      <c r="BE313">
        <v>168.5</v>
      </c>
      <c r="BG313">
        <v>2240.1999999999998</v>
      </c>
      <c r="BI313">
        <v>2027.7</v>
      </c>
      <c r="BK313">
        <v>477.3</v>
      </c>
      <c r="BM313">
        <v>203.1</v>
      </c>
      <c r="BO313">
        <v>13569.8</v>
      </c>
      <c r="BQ313">
        <v>324.39999999999998</v>
      </c>
      <c r="BS313">
        <v>921</v>
      </c>
      <c r="BU313">
        <v>3416.2</v>
      </c>
      <c r="BW313">
        <v>168.7</v>
      </c>
      <c r="BY313">
        <v>485.9</v>
      </c>
      <c r="CA313">
        <v>709.7</v>
      </c>
      <c r="CC313">
        <v>33.4</v>
      </c>
      <c r="CE313">
        <v>9.8000000000000007</v>
      </c>
      <c r="CG313">
        <v>140.1</v>
      </c>
      <c r="CI313">
        <v>190.9</v>
      </c>
      <c r="CK313">
        <v>1816.8</v>
      </c>
      <c r="CM313">
        <v>88.9</v>
      </c>
      <c r="CO313">
        <v>44</v>
      </c>
      <c r="CQ313">
        <v>663.5</v>
      </c>
      <c r="CS313">
        <v>2654</v>
      </c>
      <c r="CU313">
        <v>3107.8</v>
      </c>
      <c r="CW313">
        <v>278.5</v>
      </c>
      <c r="CY313">
        <v>68.400000000000006</v>
      </c>
      <c r="DA313">
        <v>1996.9</v>
      </c>
      <c r="DC313">
        <v>3.3</v>
      </c>
      <c r="DE313">
        <v>72</v>
      </c>
      <c r="DG313">
        <v>10.7</v>
      </c>
      <c r="DI313">
        <v>172.9</v>
      </c>
      <c r="DK313">
        <v>33.5</v>
      </c>
      <c r="DM313">
        <v>660.1</v>
      </c>
      <c r="DO313">
        <v>345.4</v>
      </c>
      <c r="DQ313">
        <v>107.2</v>
      </c>
    </row>
    <row r="314" spans="1:121" x14ac:dyDescent="0.2">
      <c r="D314" t="s">
        <v>63</v>
      </c>
      <c r="G314">
        <v>2.9899999999999999E-2</v>
      </c>
      <c r="H314" t="s">
        <v>75</v>
      </c>
      <c r="I314">
        <v>6.7200000000000003E-3</v>
      </c>
      <c r="J314" t="s">
        <v>75</v>
      </c>
      <c r="K314">
        <v>7.7200000000000005E-2</v>
      </c>
      <c r="L314" t="s">
        <v>75</v>
      </c>
      <c r="M314">
        <v>1.907E-2</v>
      </c>
      <c r="N314" t="s">
        <v>75</v>
      </c>
      <c r="O314">
        <v>3.47E-3</v>
      </c>
      <c r="P314" t="s">
        <v>75</v>
      </c>
      <c r="Q314">
        <v>3.6260000000000001E-2</v>
      </c>
      <c r="R314" t="s">
        <v>75</v>
      </c>
      <c r="S314">
        <v>3.6000000000000002E-4</v>
      </c>
      <c r="T314" t="s">
        <v>75</v>
      </c>
      <c r="U314">
        <v>1.0019999999999999E-2</v>
      </c>
      <c r="V314" t="s">
        <v>75</v>
      </c>
      <c r="W314">
        <v>1.5779999999999999E-2</v>
      </c>
      <c r="X314" t="s">
        <v>75</v>
      </c>
      <c r="Y314">
        <v>2.0379999999999999E-2</v>
      </c>
      <c r="Z314" t="s">
        <v>75</v>
      </c>
      <c r="AB314" t="s">
        <v>76</v>
      </c>
      <c r="AC314">
        <v>1.35036</v>
      </c>
      <c r="AD314" t="s">
        <v>75</v>
      </c>
      <c r="AE314">
        <v>4.3588899999999997</v>
      </c>
      <c r="AF314" t="s">
        <v>75</v>
      </c>
      <c r="AG314">
        <v>-1.0789999999999999E-2</v>
      </c>
      <c r="AH314" t="s">
        <v>75</v>
      </c>
      <c r="AI314">
        <v>0.12465</v>
      </c>
      <c r="AJ314" t="s">
        <v>75</v>
      </c>
      <c r="AK314">
        <v>-9.7999999999999997E-4</v>
      </c>
      <c r="AL314" t="s">
        <v>75</v>
      </c>
      <c r="AM314">
        <v>-4.3299999999999996E-3</v>
      </c>
      <c r="AN314" t="s">
        <v>75</v>
      </c>
      <c r="AO314">
        <v>2.3800000000000002E-3</v>
      </c>
      <c r="AP314" t="s">
        <v>75</v>
      </c>
      <c r="AQ314">
        <v>2.0000000000000001E-4</v>
      </c>
      <c r="AR314" t="s">
        <v>75</v>
      </c>
      <c r="AS314">
        <v>2.2000000000000001E-4</v>
      </c>
      <c r="AT314" t="s">
        <v>75</v>
      </c>
      <c r="AU314">
        <v>1.47E-3</v>
      </c>
      <c r="AV314" t="s">
        <v>75</v>
      </c>
      <c r="AW314">
        <v>-5.0000000000000001E-4</v>
      </c>
      <c r="AX314" t="s">
        <v>75</v>
      </c>
      <c r="AY314">
        <v>8.7000000000000001E-4</v>
      </c>
      <c r="AZ314" t="s">
        <v>75</v>
      </c>
      <c r="BC314">
        <v>-2.0532300000000001</v>
      </c>
      <c r="BD314" t="s">
        <v>75</v>
      </c>
      <c r="BE314">
        <v>9.1999999999999998E-3</v>
      </c>
      <c r="BF314" t="s">
        <v>75</v>
      </c>
      <c r="BG314">
        <v>0.25580999999999998</v>
      </c>
      <c r="BH314" t="s">
        <v>75</v>
      </c>
      <c r="BI314">
        <v>0.27073999999999998</v>
      </c>
      <c r="BJ314" t="s">
        <v>75</v>
      </c>
      <c r="BK314">
        <v>0.24942</v>
      </c>
      <c r="BL314" t="s">
        <v>75</v>
      </c>
      <c r="BM314">
        <v>4.9169999999999998E-2</v>
      </c>
      <c r="BN314" t="s">
        <v>75</v>
      </c>
      <c r="BO314">
        <v>16.05368</v>
      </c>
      <c r="BP314" t="s">
        <v>75</v>
      </c>
      <c r="BQ314">
        <v>0.86699000000000004</v>
      </c>
      <c r="BR314" t="s">
        <v>75</v>
      </c>
      <c r="BS314">
        <v>3.4258899999999999</v>
      </c>
      <c r="BT314" t="s">
        <v>75</v>
      </c>
      <c r="BU314">
        <v>16.126729999999998</v>
      </c>
      <c r="BV314" t="s">
        <v>75</v>
      </c>
      <c r="BW314">
        <v>7.27806</v>
      </c>
      <c r="BX314" t="s">
        <v>75</v>
      </c>
      <c r="BY314">
        <v>9.8925400000000003</v>
      </c>
      <c r="BZ314" t="s">
        <v>75</v>
      </c>
      <c r="CA314">
        <v>18.884239999999998</v>
      </c>
      <c r="CB314" t="s">
        <v>75</v>
      </c>
      <c r="CC314">
        <v>2.2780000000000002E-2</v>
      </c>
      <c r="CD314" t="s">
        <v>75</v>
      </c>
      <c r="CE314">
        <v>2.5400000000000002E-3</v>
      </c>
      <c r="CF314" t="s">
        <v>75</v>
      </c>
      <c r="CG314">
        <v>0.13449</v>
      </c>
      <c r="CH314" t="s">
        <v>75</v>
      </c>
      <c r="CI314">
        <v>7.5179999999999997E-2</v>
      </c>
      <c r="CJ314" t="s">
        <v>75</v>
      </c>
      <c r="CK314">
        <v>1.21557</v>
      </c>
      <c r="CL314" t="s">
        <v>75</v>
      </c>
      <c r="CM314">
        <v>1.383E-2</v>
      </c>
      <c r="CN314" t="s">
        <v>75</v>
      </c>
      <c r="CO314">
        <v>0.11144999999999999</v>
      </c>
      <c r="CP314" t="s">
        <v>75</v>
      </c>
      <c r="CQ314">
        <v>0.49408999999999997</v>
      </c>
      <c r="CR314" t="s">
        <v>75</v>
      </c>
      <c r="CS314">
        <v>37.388460000000002</v>
      </c>
      <c r="CT314" t="s">
        <v>75</v>
      </c>
      <c r="CV314" t="s">
        <v>76</v>
      </c>
      <c r="CW314">
        <v>1.3807400000000001</v>
      </c>
      <c r="CX314" t="s">
        <v>75</v>
      </c>
      <c r="DA314">
        <v>22.235040000000001</v>
      </c>
      <c r="DB314" t="s">
        <v>75</v>
      </c>
      <c r="DC314">
        <v>1.39E-3</v>
      </c>
      <c r="DD314" t="s">
        <v>75</v>
      </c>
      <c r="DE314">
        <v>0.55186999999999997</v>
      </c>
      <c r="DF314" t="s">
        <v>75</v>
      </c>
      <c r="DG314">
        <v>0.27332000000000001</v>
      </c>
      <c r="DH314" t="s">
        <v>75</v>
      </c>
      <c r="DI314">
        <v>1.72184</v>
      </c>
      <c r="DJ314" t="s">
        <v>75</v>
      </c>
      <c r="DL314" t="s">
        <v>76</v>
      </c>
      <c r="DN314" t="s">
        <v>76</v>
      </c>
      <c r="DO314">
        <v>1.45601</v>
      </c>
      <c r="DP314" t="s">
        <v>75</v>
      </c>
    </row>
    <row r="315" spans="1:121" x14ac:dyDescent="0.2">
      <c r="D315" t="s">
        <v>64</v>
      </c>
      <c r="G315">
        <v>1.2899999999999999E-3</v>
      </c>
      <c r="H315" t="s">
        <v>75</v>
      </c>
      <c r="I315">
        <v>3.1099999999999999E-3</v>
      </c>
      <c r="J315" t="s">
        <v>75</v>
      </c>
      <c r="K315">
        <v>1.67E-3</v>
      </c>
      <c r="L315" t="s">
        <v>75</v>
      </c>
      <c r="M315">
        <v>6.3000000000000003E-4</v>
      </c>
      <c r="N315" t="s">
        <v>75</v>
      </c>
      <c r="O315">
        <v>6.0000000000000002E-5</v>
      </c>
      <c r="P315" t="s">
        <v>75</v>
      </c>
      <c r="Q315">
        <v>3.0000000000000001E-5</v>
      </c>
      <c r="R315" t="s">
        <v>75</v>
      </c>
      <c r="S315">
        <v>8.0000000000000007E-5</v>
      </c>
      <c r="T315" t="s">
        <v>75</v>
      </c>
      <c r="U315">
        <v>3.0000000000000001E-5</v>
      </c>
      <c r="V315" t="s">
        <v>75</v>
      </c>
      <c r="W315">
        <v>2.7E-4</v>
      </c>
      <c r="X315" t="s">
        <v>75</v>
      </c>
      <c r="Y315">
        <v>2.0400000000000001E-3</v>
      </c>
      <c r="Z315" t="s">
        <v>75</v>
      </c>
      <c r="AC315">
        <v>9.6500000000000006E-3</v>
      </c>
      <c r="AD315" t="s">
        <v>75</v>
      </c>
      <c r="AE315">
        <v>7.0669999999999997E-2</v>
      </c>
      <c r="AF315" t="s">
        <v>75</v>
      </c>
      <c r="AG315">
        <v>1.0000000000000001E-5</v>
      </c>
      <c r="AH315" t="s">
        <v>75</v>
      </c>
      <c r="AI315">
        <v>4.2700000000000004E-3</v>
      </c>
      <c r="AJ315" t="s">
        <v>75</v>
      </c>
      <c r="AK315">
        <v>4.0000000000000003E-5</v>
      </c>
      <c r="AL315" t="s">
        <v>75</v>
      </c>
      <c r="AM315">
        <v>2.0000000000000002E-5</v>
      </c>
      <c r="AN315" t="s">
        <v>75</v>
      </c>
      <c r="AO315">
        <v>5.0000000000000002E-5</v>
      </c>
      <c r="AP315" t="s">
        <v>75</v>
      </c>
      <c r="AQ315">
        <v>1.1E-4</v>
      </c>
      <c r="AR315" t="s">
        <v>75</v>
      </c>
      <c r="AS315">
        <v>1.9000000000000001E-4</v>
      </c>
      <c r="AT315" t="s">
        <v>75</v>
      </c>
      <c r="AU315">
        <v>1.0000000000000001E-5</v>
      </c>
      <c r="AV315" t="s">
        <v>75</v>
      </c>
      <c r="AW315">
        <v>9.0000000000000006E-5</v>
      </c>
      <c r="AX315" t="s">
        <v>75</v>
      </c>
      <c r="AY315">
        <v>1.0399999999999999E-3</v>
      </c>
      <c r="AZ315" t="s">
        <v>75</v>
      </c>
      <c r="BC315">
        <v>4.6000000000000001E-4</v>
      </c>
      <c r="BD315" t="s">
        <v>75</v>
      </c>
      <c r="BE315">
        <v>1E-4</v>
      </c>
      <c r="BF315" t="s">
        <v>75</v>
      </c>
      <c r="BG315">
        <v>3.65E-3</v>
      </c>
      <c r="BH315" t="s">
        <v>75</v>
      </c>
      <c r="BI315">
        <v>3.3400000000000001E-3</v>
      </c>
      <c r="BJ315" t="s">
        <v>75</v>
      </c>
      <c r="BK315">
        <v>1.1000000000000001E-3</v>
      </c>
      <c r="BL315" t="s">
        <v>75</v>
      </c>
      <c r="BM315">
        <v>1.01E-3</v>
      </c>
      <c r="BN315" t="s">
        <v>75</v>
      </c>
      <c r="BO315">
        <v>0.35220000000000001</v>
      </c>
      <c r="BP315" t="s">
        <v>75</v>
      </c>
      <c r="BQ315">
        <v>1.268E-2</v>
      </c>
      <c r="BR315" t="s">
        <v>75</v>
      </c>
      <c r="BS315">
        <v>2.2069999999999999E-2</v>
      </c>
      <c r="BT315" t="s">
        <v>75</v>
      </c>
      <c r="BU315">
        <v>0.14895</v>
      </c>
      <c r="BV315" t="s">
        <v>75</v>
      </c>
      <c r="BW315">
        <v>8.7400000000000005E-2</v>
      </c>
      <c r="BX315" t="s">
        <v>75</v>
      </c>
      <c r="BY315">
        <v>0.16574</v>
      </c>
      <c r="BZ315" t="s">
        <v>75</v>
      </c>
      <c r="CA315">
        <v>0.39180999999999999</v>
      </c>
      <c r="CB315" t="s">
        <v>75</v>
      </c>
      <c r="CC315">
        <v>7.8700000000000003E-3</v>
      </c>
      <c r="CD315" t="s">
        <v>75</v>
      </c>
      <c r="CE315">
        <v>1.6000000000000001E-4</v>
      </c>
      <c r="CF315" t="s">
        <v>75</v>
      </c>
      <c r="CG315">
        <v>2.4499999999999999E-3</v>
      </c>
      <c r="CH315" t="s">
        <v>75</v>
      </c>
      <c r="CI315">
        <v>2.81E-3</v>
      </c>
      <c r="CJ315" t="s">
        <v>75</v>
      </c>
      <c r="CK315">
        <v>2.9260000000000001E-2</v>
      </c>
      <c r="CL315" t="s">
        <v>75</v>
      </c>
      <c r="CM315">
        <v>1.4E-3</v>
      </c>
      <c r="CN315" t="s">
        <v>75</v>
      </c>
      <c r="CO315">
        <v>2.7100000000000002E-3</v>
      </c>
      <c r="CP315" t="s">
        <v>75</v>
      </c>
      <c r="CQ315">
        <v>2.273E-2</v>
      </c>
      <c r="CR315" t="s">
        <v>75</v>
      </c>
      <c r="CS315">
        <v>0.80642000000000003</v>
      </c>
      <c r="CT315" t="s">
        <v>75</v>
      </c>
      <c r="CW315">
        <v>1.264E-2</v>
      </c>
      <c r="CX315" t="s">
        <v>75</v>
      </c>
      <c r="DA315">
        <v>9.2039999999999997E-2</v>
      </c>
      <c r="DB315" t="s">
        <v>75</v>
      </c>
      <c r="DC315">
        <v>1.65E-3</v>
      </c>
      <c r="DD315" t="s">
        <v>75</v>
      </c>
      <c r="DE315">
        <v>3.875E-2</v>
      </c>
      <c r="DF315" t="s">
        <v>75</v>
      </c>
      <c r="DG315">
        <v>6.5299999999999997E-2</v>
      </c>
      <c r="DH315" t="s">
        <v>75</v>
      </c>
      <c r="DI315">
        <v>0.34625</v>
      </c>
      <c r="DJ315" t="s">
        <v>75</v>
      </c>
      <c r="DO315">
        <v>5.1670000000000001E-2</v>
      </c>
      <c r="DP315" t="s">
        <v>75</v>
      </c>
    </row>
    <row r="316" spans="1:121" x14ac:dyDescent="0.2">
      <c r="D316" t="s">
        <v>65</v>
      </c>
      <c r="G316" t="s">
        <v>66</v>
      </c>
      <c r="I316" t="s">
        <v>66</v>
      </c>
      <c r="K316" t="s">
        <v>66</v>
      </c>
      <c r="M316" t="s">
        <v>66</v>
      </c>
      <c r="O316" t="s">
        <v>66</v>
      </c>
      <c r="Q316" t="s">
        <v>66</v>
      </c>
      <c r="S316" t="s">
        <v>66</v>
      </c>
      <c r="U316" t="s">
        <v>66</v>
      </c>
      <c r="W316" t="s">
        <v>66</v>
      </c>
      <c r="Y316" t="s">
        <v>66</v>
      </c>
      <c r="AA316" t="s">
        <v>66</v>
      </c>
      <c r="AC316" t="s">
        <v>66</v>
      </c>
      <c r="AE316" t="s">
        <v>66</v>
      </c>
      <c r="AG316" t="s">
        <v>66</v>
      </c>
      <c r="AI316" t="s">
        <v>66</v>
      </c>
      <c r="AK316" t="s">
        <v>66</v>
      </c>
      <c r="AM316" t="s">
        <v>66</v>
      </c>
      <c r="AO316" t="s">
        <v>66</v>
      </c>
      <c r="AQ316" t="s">
        <v>66</v>
      </c>
      <c r="AS316" t="s">
        <v>66</v>
      </c>
      <c r="AU316" t="s">
        <v>66</v>
      </c>
      <c r="AW316" t="s">
        <v>66</v>
      </c>
      <c r="AY316" t="s">
        <v>66</v>
      </c>
      <c r="BA316" t="s">
        <v>66</v>
      </c>
      <c r="BC316" t="s">
        <v>66</v>
      </c>
      <c r="BE316" t="s">
        <v>66</v>
      </c>
      <c r="BG316" t="s">
        <v>66</v>
      </c>
      <c r="BI316" t="s">
        <v>66</v>
      </c>
      <c r="BK316" t="s">
        <v>66</v>
      </c>
      <c r="BM316" t="s">
        <v>66</v>
      </c>
      <c r="BO316" t="s">
        <v>66</v>
      </c>
      <c r="BQ316" t="s">
        <v>66</v>
      </c>
      <c r="BS316" t="s">
        <v>66</v>
      </c>
      <c r="BU316" t="s">
        <v>66</v>
      </c>
      <c r="BW316" t="s">
        <v>66</v>
      </c>
      <c r="BY316" t="s">
        <v>66</v>
      </c>
      <c r="CA316" t="s">
        <v>66</v>
      </c>
      <c r="CC316" t="s">
        <v>66</v>
      </c>
      <c r="CE316" t="s">
        <v>66</v>
      </c>
      <c r="CG316" t="s">
        <v>66</v>
      </c>
      <c r="CI316" t="s">
        <v>66</v>
      </c>
      <c r="CK316" t="s">
        <v>66</v>
      </c>
      <c r="CM316" t="s">
        <v>66</v>
      </c>
      <c r="CO316" t="s">
        <v>66</v>
      </c>
      <c r="CQ316" t="s">
        <v>66</v>
      </c>
      <c r="CS316" t="s">
        <v>66</v>
      </c>
      <c r="CU316" t="s">
        <v>66</v>
      </c>
      <c r="CW316" t="s">
        <v>66</v>
      </c>
      <c r="CY316" t="s">
        <v>66</v>
      </c>
      <c r="DA316" t="s">
        <v>66</v>
      </c>
      <c r="DC316" t="s">
        <v>66</v>
      </c>
      <c r="DE316" t="s">
        <v>66</v>
      </c>
      <c r="DG316" t="s">
        <v>66</v>
      </c>
      <c r="DI316" t="s">
        <v>66</v>
      </c>
      <c r="DK316" t="s">
        <v>66</v>
      </c>
      <c r="DM316" t="s">
        <v>66</v>
      </c>
      <c r="DO316" t="s">
        <v>66</v>
      </c>
      <c r="DQ316" t="s">
        <v>66</v>
      </c>
    </row>
    <row r="317" spans="1:121" x14ac:dyDescent="0.2">
      <c r="A317" t="s">
        <v>633</v>
      </c>
      <c r="D317" t="s">
        <v>60</v>
      </c>
      <c r="E317" t="s">
        <v>61</v>
      </c>
      <c r="G317">
        <v>10546.7</v>
      </c>
      <c r="I317">
        <v>703.2</v>
      </c>
      <c r="K317">
        <v>124856.1</v>
      </c>
      <c r="M317">
        <v>95046.6</v>
      </c>
      <c r="O317">
        <v>6164</v>
      </c>
      <c r="Q317">
        <v>6939.1</v>
      </c>
      <c r="S317">
        <v>1394.7</v>
      </c>
      <c r="U317">
        <v>1360.3</v>
      </c>
      <c r="W317">
        <v>10094.700000000001</v>
      </c>
      <c r="Y317">
        <v>8827.2000000000007</v>
      </c>
      <c r="AA317">
        <v>3559698.7</v>
      </c>
      <c r="AC317">
        <v>2101145</v>
      </c>
      <c r="AE317">
        <v>4950387.0999999996</v>
      </c>
      <c r="AG317">
        <v>9372.7999999999993</v>
      </c>
      <c r="AI317">
        <v>42594.7</v>
      </c>
      <c r="AK317">
        <v>4552.5</v>
      </c>
      <c r="AM317">
        <v>3562.8</v>
      </c>
      <c r="AO317">
        <v>435.5</v>
      </c>
      <c r="AQ317">
        <v>342.8</v>
      </c>
      <c r="AS317">
        <v>364.6</v>
      </c>
      <c r="AU317">
        <v>209.4</v>
      </c>
      <c r="AW317">
        <v>186.5</v>
      </c>
      <c r="AY317">
        <v>2763.9</v>
      </c>
      <c r="BA317">
        <v>665325.9</v>
      </c>
      <c r="BC317">
        <v>2494.9</v>
      </c>
      <c r="BE317">
        <v>4572.5</v>
      </c>
      <c r="BG317">
        <v>232226.3</v>
      </c>
      <c r="BI317">
        <v>201044.2</v>
      </c>
      <c r="BK317">
        <v>496953.8</v>
      </c>
      <c r="BM317">
        <v>108466.8</v>
      </c>
      <c r="BO317">
        <v>2597621.9</v>
      </c>
      <c r="BQ317">
        <v>88896.9</v>
      </c>
      <c r="BS317">
        <v>164872.5</v>
      </c>
      <c r="BU317">
        <v>1123469</v>
      </c>
      <c r="BW317">
        <v>41615.1</v>
      </c>
      <c r="BY317">
        <v>111229.9</v>
      </c>
      <c r="CA317">
        <v>61826.9</v>
      </c>
      <c r="CC317">
        <v>691.9</v>
      </c>
      <c r="CE317">
        <v>486.2</v>
      </c>
      <c r="CG317">
        <v>64908.800000000003</v>
      </c>
      <c r="CI317">
        <v>73910.3</v>
      </c>
      <c r="CK317">
        <v>489890.4</v>
      </c>
      <c r="CM317">
        <v>4556.5</v>
      </c>
      <c r="CO317">
        <v>19907.8</v>
      </c>
      <c r="CQ317">
        <v>53080</v>
      </c>
      <c r="CS317">
        <v>741912.3</v>
      </c>
      <c r="CU317">
        <v>311890.5</v>
      </c>
      <c r="CW317">
        <v>199680.3</v>
      </c>
      <c r="CY317">
        <v>59079.199999999997</v>
      </c>
      <c r="DA317">
        <v>902995.1</v>
      </c>
      <c r="DC317">
        <v>13.9</v>
      </c>
      <c r="DE317">
        <v>9585.7999999999993</v>
      </c>
      <c r="DG317">
        <v>88.6</v>
      </c>
      <c r="DI317">
        <v>1920.6</v>
      </c>
      <c r="DK317">
        <v>773.5</v>
      </c>
      <c r="DM317">
        <v>85763.6</v>
      </c>
      <c r="DO317">
        <v>50664.3</v>
      </c>
      <c r="DQ317">
        <v>16119.6</v>
      </c>
    </row>
    <row r="318" spans="1:121" x14ac:dyDescent="0.2">
      <c r="D318" t="s">
        <v>62</v>
      </c>
      <c r="E318" t="s">
        <v>61</v>
      </c>
      <c r="G318">
        <v>95.4</v>
      </c>
      <c r="I318">
        <v>72.5</v>
      </c>
      <c r="K318">
        <v>2146.5</v>
      </c>
      <c r="M318">
        <v>1754.4</v>
      </c>
      <c r="O318">
        <v>94.6</v>
      </c>
      <c r="Q318">
        <v>253.6</v>
      </c>
      <c r="S318">
        <v>50.3</v>
      </c>
      <c r="U318">
        <v>41.4</v>
      </c>
      <c r="W318">
        <v>45.7</v>
      </c>
      <c r="Y318">
        <v>244.4</v>
      </c>
      <c r="AA318">
        <v>18366.8</v>
      </c>
      <c r="AC318">
        <v>24009.4</v>
      </c>
      <c r="AE318">
        <v>24542.400000000001</v>
      </c>
      <c r="AG318">
        <v>82.4</v>
      </c>
      <c r="AI318">
        <v>367.8</v>
      </c>
      <c r="AK318">
        <v>219.6</v>
      </c>
      <c r="AM318">
        <v>71.5</v>
      </c>
      <c r="AO318">
        <v>22.2</v>
      </c>
      <c r="AQ318">
        <v>6.5</v>
      </c>
      <c r="AS318">
        <v>47</v>
      </c>
      <c r="AU318">
        <v>22.6</v>
      </c>
      <c r="AW318">
        <v>24.3</v>
      </c>
      <c r="AY318">
        <v>65.900000000000006</v>
      </c>
      <c r="BA318">
        <v>5872.8</v>
      </c>
      <c r="BC318">
        <v>162.80000000000001</v>
      </c>
      <c r="BE318">
        <v>122.5</v>
      </c>
      <c r="BG318">
        <v>3501.6</v>
      </c>
      <c r="BI318">
        <v>1901.5</v>
      </c>
      <c r="BK318">
        <v>2491.3000000000002</v>
      </c>
      <c r="BM318">
        <v>750</v>
      </c>
      <c r="BO318">
        <v>25645.7</v>
      </c>
      <c r="BQ318">
        <v>1094.2</v>
      </c>
      <c r="BS318">
        <v>2172.1999999999998</v>
      </c>
      <c r="BU318">
        <v>8423.1</v>
      </c>
      <c r="BW318">
        <v>549.20000000000005</v>
      </c>
      <c r="BY318">
        <v>607.9</v>
      </c>
      <c r="CA318">
        <v>241.2</v>
      </c>
      <c r="CC318">
        <v>30.6</v>
      </c>
      <c r="CE318">
        <v>41.5</v>
      </c>
      <c r="CG318">
        <v>529.79999999999995</v>
      </c>
      <c r="CI318">
        <v>714.7</v>
      </c>
      <c r="CK318">
        <v>13589.5</v>
      </c>
      <c r="CM318">
        <v>136.69999999999999</v>
      </c>
      <c r="CO318">
        <v>752.6</v>
      </c>
      <c r="CQ318">
        <v>1006.5</v>
      </c>
      <c r="CS318">
        <v>17654.900000000001</v>
      </c>
      <c r="CU318">
        <v>4475</v>
      </c>
      <c r="CW318">
        <v>2906.7</v>
      </c>
      <c r="CY318">
        <v>1269.7</v>
      </c>
      <c r="DA318">
        <v>12726</v>
      </c>
      <c r="DC318">
        <v>5.4</v>
      </c>
      <c r="DE318">
        <v>207.6</v>
      </c>
      <c r="DG318">
        <v>30.6</v>
      </c>
      <c r="DI318">
        <v>212.8</v>
      </c>
      <c r="DK318">
        <v>41.6</v>
      </c>
      <c r="DM318">
        <v>603.79999999999995</v>
      </c>
      <c r="DO318">
        <v>668.5</v>
      </c>
      <c r="DQ318">
        <v>173.3</v>
      </c>
    </row>
    <row r="319" spans="1:121" x14ac:dyDescent="0.2">
      <c r="D319" t="s">
        <v>63</v>
      </c>
      <c r="G319">
        <v>5.0999999999999997E-2</v>
      </c>
      <c r="H319" t="s">
        <v>75</v>
      </c>
      <c r="I319">
        <v>1.2370000000000001E-2</v>
      </c>
      <c r="J319" t="s">
        <v>75</v>
      </c>
      <c r="K319">
        <v>0.15834000000000001</v>
      </c>
      <c r="L319" t="s">
        <v>75</v>
      </c>
      <c r="M319">
        <v>6.4180000000000001E-2</v>
      </c>
      <c r="N319" t="s">
        <v>75</v>
      </c>
      <c r="O319">
        <v>8.1600000000000006E-3</v>
      </c>
      <c r="P319" t="s">
        <v>75</v>
      </c>
      <c r="Q319">
        <v>6.6650000000000001E-2</v>
      </c>
      <c r="R319" t="s">
        <v>75</v>
      </c>
      <c r="S319">
        <v>5.5000000000000003E-4</v>
      </c>
      <c r="T319" t="s">
        <v>75</v>
      </c>
      <c r="U319">
        <v>1.1379999999999999E-2</v>
      </c>
      <c r="V319" t="s">
        <v>75</v>
      </c>
      <c r="W319">
        <v>2.5360000000000001E-2</v>
      </c>
      <c r="X319" t="s">
        <v>75</v>
      </c>
      <c r="Y319">
        <v>0.13355</v>
      </c>
      <c r="Z319" t="s">
        <v>75</v>
      </c>
      <c r="AB319" t="s">
        <v>76</v>
      </c>
      <c r="AC319">
        <v>7.6579499999999996</v>
      </c>
      <c r="AD319" t="s">
        <v>75</v>
      </c>
      <c r="AE319">
        <v>18.930810000000001</v>
      </c>
      <c r="AF319" t="s">
        <v>75</v>
      </c>
      <c r="AG319">
        <v>-8.8599999999999998E-3</v>
      </c>
      <c r="AH319" t="s">
        <v>75</v>
      </c>
      <c r="AI319">
        <v>0.27433000000000002</v>
      </c>
      <c r="AJ319" t="s">
        <v>75</v>
      </c>
      <c r="AK319">
        <v>1.0399999999999999E-3</v>
      </c>
      <c r="AL319" t="s">
        <v>75</v>
      </c>
      <c r="AM319">
        <v>-2.96E-3</v>
      </c>
      <c r="AN319" t="s">
        <v>75</v>
      </c>
      <c r="AO319">
        <v>3.0500000000000002E-3</v>
      </c>
      <c r="AP319" t="s">
        <v>75</v>
      </c>
      <c r="AQ319">
        <v>5.4000000000000001E-4</v>
      </c>
      <c r="AR319" t="s">
        <v>75</v>
      </c>
      <c r="AS319">
        <v>6.2E-4</v>
      </c>
      <c r="AT319" t="s">
        <v>75</v>
      </c>
      <c r="AU319">
        <v>1.49E-3</v>
      </c>
      <c r="AV319" t="s">
        <v>75</v>
      </c>
      <c r="AW319">
        <v>-3.4000000000000002E-4</v>
      </c>
      <c r="AX319" t="s">
        <v>75</v>
      </c>
      <c r="AY319">
        <v>-1.2800000000000001E-3</v>
      </c>
      <c r="AZ319" t="s">
        <v>75</v>
      </c>
      <c r="BC319">
        <v>-2.0522999999999998</v>
      </c>
      <c r="BD319" t="s">
        <v>75</v>
      </c>
      <c r="BE319">
        <v>7.0200000000000002E-3</v>
      </c>
      <c r="BF319" t="s">
        <v>75</v>
      </c>
      <c r="BG319">
        <v>0.64154</v>
      </c>
      <c r="BH319" t="s">
        <v>75</v>
      </c>
      <c r="BI319">
        <v>0.66102000000000005</v>
      </c>
      <c r="BJ319" t="s">
        <v>75</v>
      </c>
      <c r="BK319">
        <v>0.64959999999999996</v>
      </c>
      <c r="BL319" t="s">
        <v>75</v>
      </c>
      <c r="BM319">
        <v>9.3880000000000005E-2</v>
      </c>
      <c r="BN319" t="s">
        <v>75</v>
      </c>
      <c r="BO319">
        <v>56.172080000000001</v>
      </c>
      <c r="BP319" t="s">
        <v>75</v>
      </c>
      <c r="BQ319">
        <v>2.61809</v>
      </c>
      <c r="BR319" t="s">
        <v>75</v>
      </c>
      <c r="BS319">
        <v>3.27033</v>
      </c>
      <c r="BT319" t="s">
        <v>75</v>
      </c>
      <c r="BU319">
        <v>26.440850000000001</v>
      </c>
      <c r="BV319" t="s">
        <v>75</v>
      </c>
      <c r="BW319">
        <v>17.582840000000001</v>
      </c>
      <c r="BX319" t="s">
        <v>75</v>
      </c>
      <c r="BY319">
        <v>23.41479</v>
      </c>
      <c r="BZ319" t="s">
        <v>75</v>
      </c>
      <c r="CA319">
        <v>29.837510000000002</v>
      </c>
      <c r="CB319" t="s">
        <v>75</v>
      </c>
      <c r="CC319">
        <v>0.13483999999999999</v>
      </c>
      <c r="CD319" t="s">
        <v>75</v>
      </c>
      <c r="CE319">
        <v>5.6600000000000001E-3</v>
      </c>
      <c r="CF319" t="s">
        <v>75</v>
      </c>
      <c r="CG319">
        <v>1.09962</v>
      </c>
      <c r="CH319" t="s">
        <v>75</v>
      </c>
      <c r="CI319">
        <v>0.94474000000000002</v>
      </c>
      <c r="CJ319" t="s">
        <v>75</v>
      </c>
      <c r="CK319">
        <v>6.6734499999999999</v>
      </c>
      <c r="CL319" t="s">
        <v>75</v>
      </c>
      <c r="CM319">
        <v>5.8360000000000002E-2</v>
      </c>
      <c r="CN319" t="s">
        <v>75</v>
      </c>
      <c r="CO319">
        <v>1.14727</v>
      </c>
      <c r="CP319" t="s">
        <v>75</v>
      </c>
      <c r="CQ319">
        <v>1.5938399999999999</v>
      </c>
      <c r="CR319" t="s">
        <v>75</v>
      </c>
      <c r="CS319">
        <v>195.86340000000001</v>
      </c>
      <c r="CT319" t="s">
        <v>75</v>
      </c>
      <c r="CV319" t="s">
        <v>76</v>
      </c>
      <c r="CW319">
        <v>7.4592200000000002</v>
      </c>
      <c r="CX319" t="s">
        <v>75</v>
      </c>
      <c r="DA319">
        <v>54.215409999999999</v>
      </c>
      <c r="DB319" t="s">
        <v>75</v>
      </c>
      <c r="DC319">
        <v>5.1200000000000004E-3</v>
      </c>
      <c r="DD319" t="s">
        <v>75</v>
      </c>
      <c r="DE319">
        <v>4.3703000000000003</v>
      </c>
      <c r="DF319" t="s">
        <v>75</v>
      </c>
      <c r="DG319">
        <v>0.41037000000000001</v>
      </c>
      <c r="DH319" t="s">
        <v>75</v>
      </c>
      <c r="DI319">
        <v>2.9718599999999999</v>
      </c>
      <c r="DJ319" t="s">
        <v>75</v>
      </c>
      <c r="DL319" t="s">
        <v>76</v>
      </c>
      <c r="DN319" t="s">
        <v>76</v>
      </c>
      <c r="DO319">
        <v>7.5735299999999999</v>
      </c>
      <c r="DP319" t="s">
        <v>75</v>
      </c>
    </row>
    <row r="320" spans="1:121" x14ac:dyDescent="0.2">
      <c r="D320" t="s">
        <v>64</v>
      </c>
      <c r="G320">
        <v>8.0999999999999996E-4</v>
      </c>
      <c r="H320" t="s">
        <v>75</v>
      </c>
      <c r="I320">
        <v>2.5200000000000001E-3</v>
      </c>
      <c r="J320" t="s">
        <v>75</v>
      </c>
      <c r="K320">
        <v>3.82E-3</v>
      </c>
      <c r="L320" t="s">
        <v>75</v>
      </c>
      <c r="M320">
        <v>2.14E-3</v>
      </c>
      <c r="N320" t="s">
        <v>75</v>
      </c>
      <c r="O320">
        <v>6.0000000000000002E-5</v>
      </c>
      <c r="P320" t="s">
        <v>75</v>
      </c>
      <c r="Q320">
        <v>1.6999999999999999E-3</v>
      </c>
      <c r="R320" t="s">
        <v>75</v>
      </c>
      <c r="S320">
        <v>3.0000000000000001E-5</v>
      </c>
      <c r="T320" t="s">
        <v>75</v>
      </c>
      <c r="U320">
        <v>1.2999999999999999E-4</v>
      </c>
      <c r="V320" t="s">
        <v>75</v>
      </c>
      <c r="W320">
        <v>1.8000000000000001E-4</v>
      </c>
      <c r="X320" t="s">
        <v>75</v>
      </c>
      <c r="Y320">
        <v>3.5699999999999998E-3</v>
      </c>
      <c r="Z320" t="s">
        <v>75</v>
      </c>
      <c r="AC320">
        <v>9.4329999999999997E-2</v>
      </c>
      <c r="AD320" t="s">
        <v>75</v>
      </c>
      <c r="AE320">
        <v>8.3150000000000002E-2</v>
      </c>
      <c r="AF320" t="s">
        <v>75</v>
      </c>
      <c r="AG320">
        <v>3.0000000000000001E-5</v>
      </c>
      <c r="AH320" t="s">
        <v>75</v>
      </c>
      <c r="AI320">
        <v>3.62E-3</v>
      </c>
      <c r="AJ320" t="s">
        <v>75</v>
      </c>
      <c r="AK320">
        <v>1.4999999999999999E-4</v>
      </c>
      <c r="AL320" t="s">
        <v>75</v>
      </c>
      <c r="AM320">
        <v>6.9999999999999994E-5</v>
      </c>
      <c r="AN320" t="s">
        <v>75</v>
      </c>
      <c r="AO320">
        <v>9.0000000000000006E-5</v>
      </c>
      <c r="AP320" t="s">
        <v>75</v>
      </c>
      <c r="AQ320">
        <v>4.0000000000000003E-5</v>
      </c>
      <c r="AR320" t="s">
        <v>75</v>
      </c>
      <c r="AS320">
        <v>2.3000000000000001E-4</v>
      </c>
      <c r="AT320" t="s">
        <v>75</v>
      </c>
      <c r="AU320">
        <v>1.0000000000000001E-5</v>
      </c>
      <c r="AV320" t="s">
        <v>75</v>
      </c>
      <c r="AW320">
        <v>6.0000000000000002E-5</v>
      </c>
      <c r="AX320" t="s">
        <v>75</v>
      </c>
      <c r="AY320">
        <v>1.3999999999999999E-4</v>
      </c>
      <c r="AZ320" t="s">
        <v>75</v>
      </c>
      <c r="BC320">
        <v>4.4000000000000002E-4</v>
      </c>
      <c r="BD320" t="s">
        <v>75</v>
      </c>
      <c r="BE320">
        <v>1.1E-4</v>
      </c>
      <c r="BF320" t="s">
        <v>75</v>
      </c>
      <c r="BG320">
        <v>1.2500000000000001E-2</v>
      </c>
      <c r="BH320" t="s">
        <v>75</v>
      </c>
      <c r="BI320">
        <v>1.209E-2</v>
      </c>
      <c r="BJ320" t="s">
        <v>75</v>
      </c>
      <c r="BK320">
        <v>9.5499999999999995E-3</v>
      </c>
      <c r="BL320" t="s">
        <v>75</v>
      </c>
      <c r="BM320">
        <v>1.6100000000000001E-3</v>
      </c>
      <c r="BN320" t="s">
        <v>75</v>
      </c>
      <c r="BO320">
        <v>1.73705</v>
      </c>
      <c r="BP320" t="s">
        <v>75</v>
      </c>
      <c r="BQ320">
        <v>0.10299</v>
      </c>
      <c r="BR320" t="s">
        <v>75</v>
      </c>
      <c r="BS320">
        <v>7.5670000000000001E-2</v>
      </c>
      <c r="BT320" t="s">
        <v>75</v>
      </c>
      <c r="BU320">
        <v>1.33324</v>
      </c>
      <c r="BV320" t="s">
        <v>75</v>
      </c>
      <c r="BW320">
        <v>0.53602000000000005</v>
      </c>
      <c r="BX320" t="s">
        <v>75</v>
      </c>
      <c r="BY320">
        <v>0.71064000000000005</v>
      </c>
      <c r="BZ320" t="s">
        <v>75</v>
      </c>
      <c r="CA320">
        <v>0.82133999999999996</v>
      </c>
      <c r="CB320" t="s">
        <v>75</v>
      </c>
      <c r="CC320">
        <v>8.9300000000000004E-3</v>
      </c>
      <c r="CD320" t="s">
        <v>75</v>
      </c>
      <c r="CE320">
        <v>5.1000000000000004E-4</v>
      </c>
      <c r="CF320" t="s">
        <v>75</v>
      </c>
      <c r="CG320">
        <v>3.2890000000000003E-2</v>
      </c>
      <c r="CH320" t="s">
        <v>75</v>
      </c>
      <c r="CI320">
        <v>1.9959999999999999E-2</v>
      </c>
      <c r="CJ320" t="s">
        <v>75</v>
      </c>
      <c r="CK320">
        <v>0.26935999999999999</v>
      </c>
      <c r="CL320" t="s">
        <v>75</v>
      </c>
      <c r="CM320">
        <v>3.0799999999999998E-3</v>
      </c>
      <c r="CN320" t="s">
        <v>75</v>
      </c>
      <c r="CO320">
        <v>6.3719999999999999E-2</v>
      </c>
      <c r="CP320" t="s">
        <v>75</v>
      </c>
      <c r="CQ320">
        <v>5.9979999999999999E-2</v>
      </c>
      <c r="CR320" t="s">
        <v>75</v>
      </c>
      <c r="CS320">
        <v>7.5201799999999999</v>
      </c>
      <c r="CT320" t="s">
        <v>75</v>
      </c>
      <c r="CW320">
        <v>0.27059</v>
      </c>
      <c r="CX320" t="s">
        <v>75</v>
      </c>
      <c r="DA320">
        <v>0.21007999999999999</v>
      </c>
      <c r="DB320" t="s">
        <v>75</v>
      </c>
      <c r="DC320">
        <v>2.4599999999999999E-3</v>
      </c>
      <c r="DD320" t="s">
        <v>75</v>
      </c>
      <c r="DE320">
        <v>0.13780000000000001</v>
      </c>
      <c r="DF320" t="s">
        <v>75</v>
      </c>
      <c r="DG320">
        <v>0.16805999999999999</v>
      </c>
      <c r="DH320" t="s">
        <v>75</v>
      </c>
      <c r="DI320">
        <v>0.38027</v>
      </c>
      <c r="DJ320" t="s">
        <v>75</v>
      </c>
      <c r="DO320">
        <v>0.16547000000000001</v>
      </c>
      <c r="DP320" t="s">
        <v>75</v>
      </c>
    </row>
    <row r="321" spans="1:121" x14ac:dyDescent="0.2">
      <c r="D321" t="s">
        <v>65</v>
      </c>
      <c r="G321" t="s">
        <v>66</v>
      </c>
      <c r="I321" t="s">
        <v>66</v>
      </c>
      <c r="K321" t="s">
        <v>66</v>
      </c>
      <c r="M321" t="s">
        <v>66</v>
      </c>
      <c r="O321" t="s">
        <v>66</v>
      </c>
      <c r="Q321" t="s">
        <v>66</v>
      </c>
      <c r="S321" t="s">
        <v>66</v>
      </c>
      <c r="U321" t="s">
        <v>66</v>
      </c>
      <c r="W321" t="s">
        <v>66</v>
      </c>
      <c r="Y321" t="s">
        <v>66</v>
      </c>
      <c r="AA321" t="s">
        <v>66</v>
      </c>
      <c r="AC321" t="s">
        <v>66</v>
      </c>
      <c r="AE321" t="s">
        <v>66</v>
      </c>
      <c r="AG321" t="s">
        <v>66</v>
      </c>
      <c r="AI321" t="s">
        <v>66</v>
      </c>
      <c r="AK321" t="s">
        <v>66</v>
      </c>
      <c r="AM321" t="s">
        <v>66</v>
      </c>
      <c r="AO321" t="s">
        <v>66</v>
      </c>
      <c r="AQ321" t="s">
        <v>66</v>
      </c>
      <c r="AS321" t="s">
        <v>66</v>
      </c>
      <c r="AU321" t="s">
        <v>66</v>
      </c>
      <c r="AW321" t="s">
        <v>66</v>
      </c>
      <c r="AY321" t="s">
        <v>66</v>
      </c>
      <c r="BA321" t="s">
        <v>66</v>
      </c>
      <c r="BC321" t="s">
        <v>66</v>
      </c>
      <c r="BE321" t="s">
        <v>66</v>
      </c>
      <c r="BG321" t="s">
        <v>66</v>
      </c>
      <c r="BI321" t="s">
        <v>66</v>
      </c>
      <c r="BK321" t="s">
        <v>66</v>
      </c>
      <c r="BM321" t="s">
        <v>66</v>
      </c>
      <c r="BO321" t="s">
        <v>66</v>
      </c>
      <c r="BQ321" t="s">
        <v>66</v>
      </c>
      <c r="BS321" t="s">
        <v>66</v>
      </c>
      <c r="BU321" t="s">
        <v>66</v>
      </c>
      <c r="BW321" t="s">
        <v>66</v>
      </c>
      <c r="BY321" t="s">
        <v>66</v>
      </c>
      <c r="CA321" t="s">
        <v>66</v>
      </c>
      <c r="CC321" t="s">
        <v>66</v>
      </c>
      <c r="CE321" t="s">
        <v>66</v>
      </c>
      <c r="CG321" t="s">
        <v>66</v>
      </c>
      <c r="CI321" t="s">
        <v>66</v>
      </c>
      <c r="CK321" t="s">
        <v>66</v>
      </c>
      <c r="CM321" t="s">
        <v>66</v>
      </c>
      <c r="CO321" t="s">
        <v>66</v>
      </c>
      <c r="CQ321" t="s">
        <v>66</v>
      </c>
      <c r="CS321" t="s">
        <v>66</v>
      </c>
      <c r="CU321" t="s">
        <v>66</v>
      </c>
      <c r="CW321" t="s">
        <v>66</v>
      </c>
      <c r="CY321" t="s">
        <v>66</v>
      </c>
      <c r="DA321" t="s">
        <v>66</v>
      </c>
      <c r="DC321" t="s">
        <v>66</v>
      </c>
      <c r="DE321" t="s">
        <v>66</v>
      </c>
      <c r="DG321" t="s">
        <v>66</v>
      </c>
      <c r="DI321" t="s">
        <v>66</v>
      </c>
      <c r="DK321" t="s">
        <v>66</v>
      </c>
      <c r="DM321" t="s">
        <v>66</v>
      </c>
      <c r="DO321" t="s">
        <v>66</v>
      </c>
      <c r="DQ321" t="s">
        <v>66</v>
      </c>
    </row>
    <row r="322" spans="1:121" x14ac:dyDescent="0.2">
      <c r="A322" t="s">
        <v>634</v>
      </c>
      <c r="D322" t="s">
        <v>60</v>
      </c>
      <c r="E322" t="s">
        <v>61</v>
      </c>
      <c r="G322">
        <v>39103.199999999997</v>
      </c>
      <c r="I322">
        <v>829.6</v>
      </c>
      <c r="K322">
        <v>2248863</v>
      </c>
      <c r="M322">
        <v>123117.8</v>
      </c>
      <c r="O322">
        <v>1268.5</v>
      </c>
      <c r="Q322">
        <v>21514.3</v>
      </c>
      <c r="S322">
        <v>1890</v>
      </c>
      <c r="U322">
        <v>1437.5</v>
      </c>
      <c r="W322">
        <v>55849.4</v>
      </c>
      <c r="Y322">
        <v>72384.600000000006</v>
      </c>
      <c r="AA322">
        <v>13453332.300000001</v>
      </c>
      <c r="AC322">
        <v>17346256</v>
      </c>
      <c r="AE322">
        <v>87175046.900000006</v>
      </c>
      <c r="AG322">
        <v>151820.9</v>
      </c>
      <c r="AI322">
        <v>265967.8</v>
      </c>
      <c r="AK322">
        <v>40474.5</v>
      </c>
      <c r="AM322">
        <v>6865</v>
      </c>
      <c r="AO322">
        <v>687.8</v>
      </c>
      <c r="AQ322">
        <v>286.5</v>
      </c>
      <c r="AS322">
        <v>365.7</v>
      </c>
      <c r="AU322">
        <v>234.4</v>
      </c>
      <c r="AW322">
        <v>296.89999999999998</v>
      </c>
      <c r="AY322">
        <v>6600.1</v>
      </c>
      <c r="BA322">
        <v>678361</v>
      </c>
      <c r="BC322">
        <v>2323.8000000000002</v>
      </c>
      <c r="BE322">
        <v>76522.2</v>
      </c>
      <c r="BG322">
        <v>3946053.3</v>
      </c>
      <c r="BI322">
        <v>3704564.7</v>
      </c>
      <c r="BK322">
        <v>8028400.9000000004</v>
      </c>
      <c r="BM322">
        <v>2840952.7</v>
      </c>
      <c r="BO322">
        <v>26768951.100000001</v>
      </c>
      <c r="BQ322">
        <v>104257.1</v>
      </c>
      <c r="BS322">
        <v>235346.3</v>
      </c>
      <c r="BU322">
        <v>6370872.9000000004</v>
      </c>
      <c r="BW322">
        <v>201335.8</v>
      </c>
      <c r="BY322">
        <v>1642651.3</v>
      </c>
      <c r="CA322">
        <v>78041.3</v>
      </c>
      <c r="CC322">
        <v>484.3</v>
      </c>
      <c r="CE322">
        <v>597.4</v>
      </c>
      <c r="CG322">
        <v>14060.5</v>
      </c>
      <c r="CI322">
        <v>155100.20000000001</v>
      </c>
      <c r="CK322">
        <v>996321.2</v>
      </c>
      <c r="CM322">
        <v>39423.4</v>
      </c>
      <c r="CO322">
        <v>5881.3</v>
      </c>
      <c r="CQ322">
        <v>308168.7</v>
      </c>
      <c r="CS322">
        <v>9229508.1999999993</v>
      </c>
      <c r="CU322">
        <v>1364922.8</v>
      </c>
      <c r="CW322">
        <v>2001447.7</v>
      </c>
      <c r="CY322">
        <v>58859.4</v>
      </c>
      <c r="DA322">
        <v>13397683.9</v>
      </c>
      <c r="DC322">
        <v>286.8</v>
      </c>
      <c r="DE322">
        <v>288030.59999999998</v>
      </c>
      <c r="DG322">
        <v>809.7</v>
      </c>
      <c r="DI322">
        <v>3600.7</v>
      </c>
      <c r="DK322">
        <v>801.3</v>
      </c>
      <c r="DM322">
        <v>376309.3</v>
      </c>
      <c r="DO322">
        <v>486365.9</v>
      </c>
      <c r="DQ322">
        <v>15706.6</v>
      </c>
    </row>
    <row r="323" spans="1:121" x14ac:dyDescent="0.2">
      <c r="D323" t="s">
        <v>62</v>
      </c>
      <c r="E323" t="s">
        <v>61</v>
      </c>
      <c r="G323">
        <v>469</v>
      </c>
      <c r="I323">
        <v>62.3</v>
      </c>
      <c r="K323">
        <v>21961.200000000001</v>
      </c>
      <c r="M323">
        <v>1435.5</v>
      </c>
      <c r="O323">
        <v>32.1</v>
      </c>
      <c r="Q323">
        <v>132.80000000000001</v>
      </c>
      <c r="S323">
        <v>83.1</v>
      </c>
      <c r="U323">
        <v>50.9</v>
      </c>
      <c r="W323">
        <v>1034.0999999999999</v>
      </c>
      <c r="Y323">
        <v>368.8</v>
      </c>
      <c r="AA323">
        <v>112384.8</v>
      </c>
      <c r="AC323">
        <v>102701.6</v>
      </c>
      <c r="AE323">
        <v>194785.2</v>
      </c>
      <c r="AG323">
        <v>2240.1</v>
      </c>
      <c r="AI323">
        <v>1545</v>
      </c>
      <c r="AK323">
        <v>1349.2</v>
      </c>
      <c r="AM323">
        <v>362.2</v>
      </c>
      <c r="AO323">
        <v>43</v>
      </c>
      <c r="AQ323">
        <v>15.7</v>
      </c>
      <c r="AS323">
        <v>61.6</v>
      </c>
      <c r="AU323">
        <v>29.8</v>
      </c>
      <c r="AW323">
        <v>38</v>
      </c>
      <c r="AY323">
        <v>97.1</v>
      </c>
      <c r="BA323">
        <v>6368.9</v>
      </c>
      <c r="BC323">
        <v>114.2</v>
      </c>
      <c r="BE323">
        <v>517.29999999999995</v>
      </c>
      <c r="BG323">
        <v>36374.800000000003</v>
      </c>
      <c r="BI323">
        <v>56097.3</v>
      </c>
      <c r="BK323">
        <v>63143.8</v>
      </c>
      <c r="BM323">
        <v>46505.5</v>
      </c>
      <c r="BO323">
        <v>390197</v>
      </c>
      <c r="BQ323">
        <v>1475.2</v>
      </c>
      <c r="BS323">
        <v>3682.9</v>
      </c>
      <c r="BU323">
        <v>42595.199999999997</v>
      </c>
      <c r="BW323">
        <v>417.9</v>
      </c>
      <c r="BY323">
        <v>22993.4</v>
      </c>
      <c r="CA323">
        <v>562.70000000000005</v>
      </c>
      <c r="CC323">
        <v>79.2</v>
      </c>
      <c r="CE323">
        <v>118.3</v>
      </c>
      <c r="CG323">
        <v>497.2</v>
      </c>
      <c r="CI323">
        <v>371</v>
      </c>
      <c r="CK323">
        <v>14786.4</v>
      </c>
      <c r="CM323">
        <v>51.6</v>
      </c>
      <c r="CO323">
        <v>105.8</v>
      </c>
      <c r="CQ323">
        <v>4018</v>
      </c>
      <c r="CS323">
        <v>61973.9</v>
      </c>
      <c r="CU323">
        <v>10933.2</v>
      </c>
      <c r="CW323">
        <v>37909.4</v>
      </c>
      <c r="CY323">
        <v>1214.3</v>
      </c>
      <c r="DA323">
        <v>60271.8</v>
      </c>
      <c r="DC323">
        <v>6</v>
      </c>
      <c r="DE323">
        <v>2981.2</v>
      </c>
      <c r="DG323">
        <v>35.9</v>
      </c>
      <c r="DI323">
        <v>61.7</v>
      </c>
      <c r="DK323">
        <v>51.8</v>
      </c>
      <c r="DM323">
        <v>5476.1</v>
      </c>
      <c r="DO323">
        <v>8224.4</v>
      </c>
      <c r="DQ323">
        <v>92</v>
      </c>
    </row>
    <row r="324" spans="1:121" x14ac:dyDescent="0.2">
      <c r="D324" t="s">
        <v>63</v>
      </c>
      <c r="G324">
        <v>0.27605000000000002</v>
      </c>
      <c r="H324" t="s">
        <v>75</v>
      </c>
      <c r="I324">
        <v>1.6299999999999999E-2</v>
      </c>
      <c r="J324" t="s">
        <v>75</v>
      </c>
      <c r="K324">
        <v>2.8549099999999998</v>
      </c>
      <c r="L324" t="s">
        <v>75</v>
      </c>
      <c r="M324">
        <v>9.0789999999999996E-2</v>
      </c>
      <c r="N324" t="s">
        <v>75</v>
      </c>
      <c r="O324">
        <v>3.9899999999999996E-3</v>
      </c>
      <c r="P324" t="s">
        <v>75</v>
      </c>
      <c r="Q324">
        <v>0.15983</v>
      </c>
      <c r="R324" t="s">
        <v>75</v>
      </c>
      <c r="S324">
        <v>9.6000000000000002E-4</v>
      </c>
      <c r="T324" t="s">
        <v>75</v>
      </c>
      <c r="U324">
        <v>1.159E-2</v>
      </c>
      <c r="V324" t="s">
        <v>75</v>
      </c>
      <c r="W324">
        <v>0.12192</v>
      </c>
      <c r="X324" t="s">
        <v>75</v>
      </c>
      <c r="Y324">
        <v>1.0741799999999999</v>
      </c>
      <c r="Z324" t="s">
        <v>75</v>
      </c>
      <c r="AB324" t="s">
        <v>76</v>
      </c>
      <c r="AC324">
        <v>61.711489999999998</v>
      </c>
      <c r="AD324" t="s">
        <v>75</v>
      </c>
      <c r="AE324">
        <v>326.33713</v>
      </c>
      <c r="AF324" t="s">
        <v>75</v>
      </c>
      <c r="AG324">
        <v>0.10277</v>
      </c>
      <c r="AH324" t="s">
        <v>75</v>
      </c>
      <c r="AI324">
        <v>1.68004</v>
      </c>
      <c r="AJ324" t="s">
        <v>75</v>
      </c>
      <c r="AK324">
        <v>2.5610000000000001E-2</v>
      </c>
      <c r="AL324" t="s">
        <v>75</v>
      </c>
      <c r="AM324">
        <v>-5.2999999999999998E-4</v>
      </c>
      <c r="AN324" t="s">
        <v>75</v>
      </c>
      <c r="AO324">
        <v>3.9399999999999999E-3</v>
      </c>
      <c r="AP324" t="s">
        <v>75</v>
      </c>
      <c r="AQ324">
        <v>2.7E-4</v>
      </c>
      <c r="AR324" t="s">
        <v>75</v>
      </c>
      <c r="AS324">
        <v>5.9000000000000003E-4</v>
      </c>
      <c r="AT324" t="s">
        <v>75</v>
      </c>
      <c r="AU324">
        <v>1.5E-3</v>
      </c>
      <c r="AV324" t="s">
        <v>75</v>
      </c>
      <c r="AW324">
        <v>-8.0000000000000007E-5</v>
      </c>
      <c r="AX324" t="s">
        <v>75</v>
      </c>
      <c r="AY324">
        <v>1.0919999999999999E-2</v>
      </c>
      <c r="AZ324" t="s">
        <v>75</v>
      </c>
      <c r="BC324">
        <v>-2.0529600000000001</v>
      </c>
      <c r="BD324" t="s">
        <v>75</v>
      </c>
      <c r="BE324">
        <v>7.5590000000000004E-2</v>
      </c>
      <c r="BF324" t="s">
        <v>75</v>
      </c>
      <c r="BG324">
        <v>11.298999999999999</v>
      </c>
      <c r="BH324" t="s">
        <v>75</v>
      </c>
      <c r="BI324">
        <v>12.221590000000001</v>
      </c>
      <c r="BJ324" t="s">
        <v>75</v>
      </c>
      <c r="BK324">
        <v>11.48442</v>
      </c>
      <c r="BL324" t="s">
        <v>75</v>
      </c>
      <c r="BM324">
        <v>2.65828</v>
      </c>
      <c r="BN324" t="s">
        <v>75</v>
      </c>
      <c r="BO324">
        <v>597.16007999999999</v>
      </c>
      <c r="BP324" t="s">
        <v>75</v>
      </c>
      <c r="BQ324">
        <v>3.1553499999999999</v>
      </c>
      <c r="BR324" t="s">
        <v>75</v>
      </c>
      <c r="BS324">
        <v>4.8850800000000003</v>
      </c>
      <c r="BT324" t="s">
        <v>75</v>
      </c>
      <c r="BU324">
        <v>246.50960000000001</v>
      </c>
      <c r="BV324" t="s">
        <v>75</v>
      </c>
      <c r="BW324">
        <v>86.342140000000001</v>
      </c>
      <c r="BX324" t="s">
        <v>75</v>
      </c>
      <c r="BY324">
        <v>459.36802</v>
      </c>
      <c r="BZ324" t="s">
        <v>75</v>
      </c>
      <c r="CA324">
        <v>38.760530000000003</v>
      </c>
      <c r="CB324" t="s">
        <v>75</v>
      </c>
      <c r="CC324">
        <v>9.0389999999999998E-2</v>
      </c>
      <c r="CD324" t="s">
        <v>75</v>
      </c>
      <c r="CE324">
        <v>7.3800000000000003E-3</v>
      </c>
      <c r="CF324" t="s">
        <v>75</v>
      </c>
      <c r="CG324">
        <v>0.22541</v>
      </c>
      <c r="CH324" t="s">
        <v>75</v>
      </c>
      <c r="CI324">
        <v>2.0216599999999998</v>
      </c>
      <c r="CJ324" t="s">
        <v>75</v>
      </c>
      <c r="CK324">
        <v>13.96707</v>
      </c>
      <c r="CL324" t="s">
        <v>75</v>
      </c>
      <c r="CM324">
        <v>0.56030999999999997</v>
      </c>
      <c r="CN324" t="s">
        <v>75</v>
      </c>
      <c r="CO324">
        <v>0.34722999999999998</v>
      </c>
      <c r="CP324" t="s">
        <v>75</v>
      </c>
      <c r="CQ324">
        <v>9.4171200000000006</v>
      </c>
      <c r="CR324" t="s">
        <v>75</v>
      </c>
      <c r="CS324">
        <v>2446.22075</v>
      </c>
      <c r="CT324" t="s">
        <v>75</v>
      </c>
      <c r="CV324" t="s">
        <v>76</v>
      </c>
      <c r="CW324">
        <v>75.247789999999995</v>
      </c>
      <c r="CX324" t="s">
        <v>75</v>
      </c>
      <c r="DA324">
        <v>828.83</v>
      </c>
      <c r="DB324" t="s">
        <v>75</v>
      </c>
      <c r="DC324">
        <v>0.12981000000000001</v>
      </c>
      <c r="DD324" t="s">
        <v>75</v>
      </c>
      <c r="DE324">
        <v>135.28629000000001</v>
      </c>
      <c r="DF324" t="s">
        <v>75</v>
      </c>
      <c r="DG324">
        <v>4.3601099999999997</v>
      </c>
      <c r="DH324" t="s">
        <v>75</v>
      </c>
      <c r="DI324">
        <v>6.1318799999999998</v>
      </c>
      <c r="DJ324" t="s">
        <v>75</v>
      </c>
      <c r="DL324" t="s">
        <v>76</v>
      </c>
      <c r="DN324" t="s">
        <v>76</v>
      </c>
      <c r="DO324">
        <v>74.682540000000003</v>
      </c>
      <c r="DP324" t="s">
        <v>75</v>
      </c>
    </row>
    <row r="325" spans="1:121" x14ac:dyDescent="0.2">
      <c r="D325" t="s">
        <v>64</v>
      </c>
      <c r="G325">
        <v>8.8000000000000003E-4</v>
      </c>
      <c r="H325" t="s">
        <v>75</v>
      </c>
      <c r="I325">
        <v>1.9400000000000001E-3</v>
      </c>
      <c r="J325" t="s">
        <v>75</v>
      </c>
      <c r="K325">
        <v>2.3900000000000001E-2</v>
      </c>
      <c r="L325" t="s">
        <v>75</v>
      </c>
      <c r="M325">
        <v>1.5E-3</v>
      </c>
      <c r="N325" t="s">
        <v>75</v>
      </c>
      <c r="O325">
        <v>3.0000000000000001E-5</v>
      </c>
      <c r="P325" t="s">
        <v>75</v>
      </c>
      <c r="Q325">
        <v>1.91E-3</v>
      </c>
      <c r="R325" t="s">
        <v>75</v>
      </c>
      <c r="S325">
        <v>6.0000000000000002E-5</v>
      </c>
      <c r="T325" t="s">
        <v>75</v>
      </c>
      <c r="U325">
        <v>2.5000000000000001E-4</v>
      </c>
      <c r="V325" t="s">
        <v>75</v>
      </c>
      <c r="W325">
        <v>1.1999999999999999E-3</v>
      </c>
      <c r="X325" t="s">
        <v>75</v>
      </c>
      <c r="Y325">
        <v>1.5129999999999999E-2</v>
      </c>
      <c r="Z325" t="s">
        <v>75</v>
      </c>
      <c r="AC325">
        <v>0.62151999999999996</v>
      </c>
      <c r="AD325" t="s">
        <v>75</v>
      </c>
      <c r="AE325">
        <v>3.6192199999999999</v>
      </c>
      <c r="AF325" t="s">
        <v>75</v>
      </c>
      <c r="AG325">
        <v>2.49E-3</v>
      </c>
      <c r="AH325" t="s">
        <v>75</v>
      </c>
      <c r="AI325">
        <v>2.078E-2</v>
      </c>
      <c r="AJ325" t="s">
        <v>75</v>
      </c>
      <c r="AK325">
        <v>1.1299999999999999E-3</v>
      </c>
      <c r="AL325" t="s">
        <v>75</v>
      </c>
      <c r="AM325">
        <v>3.2000000000000003E-4</v>
      </c>
      <c r="AN325" t="s">
        <v>75</v>
      </c>
      <c r="AO325">
        <v>1.6000000000000001E-4</v>
      </c>
      <c r="AP325" t="s">
        <v>75</v>
      </c>
      <c r="AQ325">
        <v>6.0000000000000002E-5</v>
      </c>
      <c r="AR325" t="s">
        <v>75</v>
      </c>
      <c r="AS325">
        <v>2.5999999999999998E-4</v>
      </c>
      <c r="AT325" t="s">
        <v>75</v>
      </c>
      <c r="AU325">
        <v>2.0000000000000002E-5</v>
      </c>
      <c r="AV325" t="s">
        <v>75</v>
      </c>
      <c r="AW325">
        <v>1E-4</v>
      </c>
      <c r="AX325" t="s">
        <v>75</v>
      </c>
      <c r="AY325">
        <v>2.9999999999999997E-4</v>
      </c>
      <c r="AZ325" t="s">
        <v>75</v>
      </c>
      <c r="BC325">
        <v>3.2000000000000003E-4</v>
      </c>
      <c r="BD325" t="s">
        <v>75</v>
      </c>
      <c r="BE325">
        <v>5.0000000000000001E-4</v>
      </c>
      <c r="BF325" t="s">
        <v>75</v>
      </c>
      <c r="BG325">
        <v>4.6739999999999997E-2</v>
      </c>
      <c r="BH325" t="s">
        <v>75</v>
      </c>
      <c r="BI325">
        <v>0.24976000000000001</v>
      </c>
      <c r="BJ325" t="s">
        <v>75</v>
      </c>
      <c r="BK325">
        <v>0.14452999999999999</v>
      </c>
      <c r="BL325" t="s">
        <v>75</v>
      </c>
      <c r="BM325">
        <v>3.4259999999999999E-2</v>
      </c>
      <c r="BN325" t="s">
        <v>75</v>
      </c>
      <c r="BO325">
        <v>17.770140000000001</v>
      </c>
      <c r="BP325" t="s">
        <v>75</v>
      </c>
      <c r="BQ325">
        <v>7.6509999999999995E-2</v>
      </c>
      <c r="BR325" t="s">
        <v>75</v>
      </c>
      <c r="BS325">
        <v>0.14438000000000001</v>
      </c>
      <c r="BT325" t="s">
        <v>75</v>
      </c>
      <c r="BU325">
        <v>5.0031400000000001</v>
      </c>
      <c r="BV325" t="s">
        <v>75</v>
      </c>
      <c r="BW325">
        <v>1.6106400000000001</v>
      </c>
      <c r="BX325" t="s">
        <v>75</v>
      </c>
      <c r="BY325">
        <v>3.6571199999999999</v>
      </c>
      <c r="BZ325" t="s">
        <v>75</v>
      </c>
      <c r="CA325">
        <v>0.73501000000000005</v>
      </c>
      <c r="CB325" t="s">
        <v>75</v>
      </c>
      <c r="CC325">
        <v>1.6789999999999999E-2</v>
      </c>
      <c r="CD325" t="s">
        <v>75</v>
      </c>
      <c r="CE325">
        <v>1.8600000000000001E-3</v>
      </c>
      <c r="CF325" t="s">
        <v>75</v>
      </c>
      <c r="CG325">
        <v>7.6499999999999997E-3</v>
      </c>
      <c r="CH325" t="s">
        <v>75</v>
      </c>
      <c r="CI325">
        <v>3.7229999999999999E-2</v>
      </c>
      <c r="CJ325" t="s">
        <v>75</v>
      </c>
      <c r="CK325">
        <v>0.48927999999999999</v>
      </c>
      <c r="CL325" t="s">
        <v>75</v>
      </c>
      <c r="CM325">
        <v>1.137E-2</v>
      </c>
      <c r="CN325" t="s">
        <v>75</v>
      </c>
      <c r="CO325">
        <v>5.1000000000000004E-3</v>
      </c>
      <c r="CP325" t="s">
        <v>75</v>
      </c>
      <c r="CQ325">
        <v>0.15348000000000001</v>
      </c>
      <c r="CR325" t="s">
        <v>75</v>
      </c>
      <c r="CS325">
        <v>41.621600000000001</v>
      </c>
      <c r="CT325" t="s">
        <v>75</v>
      </c>
      <c r="CW325">
        <v>1.2781800000000001</v>
      </c>
      <c r="CX325" t="s">
        <v>75</v>
      </c>
      <c r="DA325">
        <v>8.4327500000000004</v>
      </c>
      <c r="DB325" t="s">
        <v>75</v>
      </c>
      <c r="DC325">
        <v>2.81E-3</v>
      </c>
      <c r="DD325" t="s">
        <v>75</v>
      </c>
      <c r="DE325">
        <v>1.0756300000000001</v>
      </c>
      <c r="DF325" t="s">
        <v>75</v>
      </c>
      <c r="DG325">
        <v>0.22144</v>
      </c>
      <c r="DH325" t="s">
        <v>75</v>
      </c>
      <c r="DI325">
        <v>0.13552</v>
      </c>
      <c r="DJ325" t="s">
        <v>75</v>
      </c>
      <c r="DO325">
        <v>1.57203</v>
      </c>
      <c r="DP325" t="s">
        <v>75</v>
      </c>
    </row>
    <row r="326" spans="1:121" x14ac:dyDescent="0.2">
      <c r="D326" t="s">
        <v>65</v>
      </c>
      <c r="G326" t="s">
        <v>66</v>
      </c>
      <c r="I326" t="s">
        <v>66</v>
      </c>
      <c r="K326" t="s">
        <v>66</v>
      </c>
      <c r="M326" t="s">
        <v>66</v>
      </c>
      <c r="O326" t="s">
        <v>66</v>
      </c>
      <c r="Q326" t="s">
        <v>66</v>
      </c>
      <c r="S326" t="s">
        <v>66</v>
      </c>
      <c r="U326" t="s">
        <v>66</v>
      </c>
      <c r="W326" t="s">
        <v>66</v>
      </c>
      <c r="Y326" t="s">
        <v>66</v>
      </c>
      <c r="AA326" t="s">
        <v>66</v>
      </c>
      <c r="AC326" t="s">
        <v>66</v>
      </c>
      <c r="AE326" t="s">
        <v>66</v>
      </c>
      <c r="AG326" t="s">
        <v>66</v>
      </c>
      <c r="AI326" t="s">
        <v>66</v>
      </c>
      <c r="AK326" t="s">
        <v>66</v>
      </c>
      <c r="AM326" t="s">
        <v>66</v>
      </c>
      <c r="AO326" t="s">
        <v>66</v>
      </c>
      <c r="AQ326" t="s">
        <v>66</v>
      </c>
      <c r="AS326" t="s">
        <v>66</v>
      </c>
      <c r="AU326" t="s">
        <v>66</v>
      </c>
      <c r="AW326" t="s">
        <v>66</v>
      </c>
      <c r="AY326" t="s">
        <v>66</v>
      </c>
      <c r="BA326" t="s">
        <v>66</v>
      </c>
      <c r="BC326" t="s">
        <v>66</v>
      </c>
      <c r="BE326" t="s">
        <v>66</v>
      </c>
      <c r="BG326" t="s">
        <v>66</v>
      </c>
      <c r="BI326" t="s">
        <v>66</v>
      </c>
      <c r="BK326" t="s">
        <v>66</v>
      </c>
      <c r="BM326" t="s">
        <v>66</v>
      </c>
      <c r="BO326" t="s">
        <v>66</v>
      </c>
      <c r="BQ326" t="s">
        <v>66</v>
      </c>
      <c r="BS326" t="s">
        <v>66</v>
      </c>
      <c r="BU326" t="s">
        <v>66</v>
      </c>
      <c r="BW326" t="s">
        <v>66</v>
      </c>
      <c r="BY326" t="s">
        <v>66</v>
      </c>
      <c r="CA326" t="s">
        <v>66</v>
      </c>
      <c r="CC326" t="s">
        <v>66</v>
      </c>
      <c r="CE326" t="s">
        <v>66</v>
      </c>
      <c r="CG326" t="s">
        <v>66</v>
      </c>
      <c r="CI326" t="s">
        <v>66</v>
      </c>
      <c r="CK326" t="s">
        <v>66</v>
      </c>
      <c r="CM326" t="s">
        <v>66</v>
      </c>
      <c r="CO326" t="s">
        <v>66</v>
      </c>
      <c r="CQ326" t="s">
        <v>66</v>
      </c>
      <c r="CS326" t="s">
        <v>66</v>
      </c>
      <c r="CU326" t="s">
        <v>66</v>
      </c>
      <c r="CW326" t="s">
        <v>66</v>
      </c>
      <c r="CY326" t="s">
        <v>66</v>
      </c>
      <c r="DA326" t="s">
        <v>66</v>
      </c>
      <c r="DC326" t="s">
        <v>66</v>
      </c>
      <c r="DE326" t="s">
        <v>66</v>
      </c>
      <c r="DG326" t="s">
        <v>66</v>
      </c>
      <c r="DI326" t="s">
        <v>66</v>
      </c>
      <c r="DK326" t="s">
        <v>66</v>
      </c>
      <c r="DM326" t="s">
        <v>66</v>
      </c>
      <c r="DO326" t="s">
        <v>66</v>
      </c>
      <c r="DQ326" t="s">
        <v>66</v>
      </c>
    </row>
    <row r="327" spans="1:121" x14ac:dyDescent="0.2">
      <c r="A327" t="s">
        <v>635</v>
      </c>
      <c r="D327" t="s">
        <v>60</v>
      </c>
      <c r="E327" t="s">
        <v>61</v>
      </c>
      <c r="G327">
        <v>11530.3</v>
      </c>
      <c r="I327">
        <v>752.4</v>
      </c>
      <c r="K327">
        <v>243875.8</v>
      </c>
      <c r="M327">
        <v>134215.20000000001</v>
      </c>
      <c r="O327">
        <v>2234.1999999999998</v>
      </c>
      <c r="Q327">
        <v>8558.1</v>
      </c>
      <c r="S327">
        <v>1397.9</v>
      </c>
      <c r="U327">
        <v>1307.0999999999999</v>
      </c>
      <c r="W327">
        <v>18149.8</v>
      </c>
      <c r="Y327">
        <v>21753.3</v>
      </c>
      <c r="AA327">
        <v>3806124.7</v>
      </c>
      <c r="AC327">
        <v>2608279.7000000002</v>
      </c>
      <c r="AE327">
        <v>11379333.1</v>
      </c>
      <c r="AG327">
        <v>17264.7</v>
      </c>
      <c r="AI327">
        <v>63455</v>
      </c>
      <c r="AK327">
        <v>10427.6</v>
      </c>
      <c r="AM327">
        <v>6026.4</v>
      </c>
      <c r="AO327">
        <v>845.2</v>
      </c>
      <c r="AQ327">
        <v>439.7</v>
      </c>
      <c r="AS327">
        <v>417.8</v>
      </c>
      <c r="AU327">
        <v>277.10000000000002</v>
      </c>
      <c r="AW327">
        <v>256.3</v>
      </c>
      <c r="AY327">
        <v>5207.6000000000004</v>
      </c>
      <c r="BA327">
        <v>675032.4</v>
      </c>
      <c r="BC327">
        <v>2204.9</v>
      </c>
      <c r="BE327">
        <v>7514.9</v>
      </c>
      <c r="BG327">
        <v>507119.9</v>
      </c>
      <c r="BI327">
        <v>429832</v>
      </c>
      <c r="BK327">
        <v>1077380.7</v>
      </c>
      <c r="BM327">
        <v>253592.3</v>
      </c>
      <c r="BO327">
        <v>5085983</v>
      </c>
      <c r="BQ327">
        <v>107474</v>
      </c>
      <c r="BS327">
        <v>263516.90000000002</v>
      </c>
      <c r="BU327">
        <v>1706801.8</v>
      </c>
      <c r="BW327">
        <v>71889.100000000006</v>
      </c>
      <c r="BY327">
        <v>168964.2</v>
      </c>
      <c r="CA327">
        <v>96158.399999999994</v>
      </c>
      <c r="CC327">
        <v>1229.5</v>
      </c>
      <c r="CE327">
        <v>532.5</v>
      </c>
      <c r="CG327">
        <v>56264.1</v>
      </c>
      <c r="CI327">
        <v>94124.2</v>
      </c>
      <c r="CK327">
        <v>536301.9</v>
      </c>
      <c r="CM327">
        <v>9685</v>
      </c>
      <c r="CO327">
        <v>18826</v>
      </c>
      <c r="CQ327">
        <v>142478.79999999999</v>
      </c>
      <c r="CS327">
        <v>1647908.1</v>
      </c>
      <c r="CU327">
        <v>362636.4</v>
      </c>
      <c r="CW327">
        <v>251718</v>
      </c>
      <c r="CY327">
        <v>58702.5</v>
      </c>
      <c r="DA327">
        <v>1884501</v>
      </c>
      <c r="DC327">
        <v>12.5</v>
      </c>
      <c r="DE327">
        <v>17723.8</v>
      </c>
      <c r="DG327">
        <v>43.1</v>
      </c>
      <c r="DI327">
        <v>1340.9</v>
      </c>
      <c r="DK327">
        <v>829.1</v>
      </c>
      <c r="DM327">
        <v>102196</v>
      </c>
      <c r="DO327">
        <v>64149.3</v>
      </c>
      <c r="DQ327">
        <v>15636.6</v>
      </c>
    </row>
    <row r="328" spans="1:121" x14ac:dyDescent="0.2">
      <c r="D328" t="s">
        <v>62</v>
      </c>
      <c r="E328" t="s">
        <v>61</v>
      </c>
      <c r="G328">
        <v>133.30000000000001</v>
      </c>
      <c r="I328">
        <v>30.8</v>
      </c>
      <c r="K328">
        <v>2191.6999999999998</v>
      </c>
      <c r="M328">
        <v>1543.5</v>
      </c>
      <c r="O328">
        <v>124.8</v>
      </c>
      <c r="Q328">
        <v>231.9</v>
      </c>
      <c r="S328">
        <v>122.5</v>
      </c>
      <c r="U328">
        <v>27.8</v>
      </c>
      <c r="W328">
        <v>188.2</v>
      </c>
      <c r="Y328">
        <v>576.5</v>
      </c>
      <c r="AA328">
        <v>23706.5</v>
      </c>
      <c r="AC328">
        <v>13118</v>
      </c>
      <c r="AE328">
        <v>60800</v>
      </c>
      <c r="AG328">
        <v>197.4</v>
      </c>
      <c r="AI328">
        <v>328.3</v>
      </c>
      <c r="AK328">
        <v>478.8</v>
      </c>
      <c r="AM328">
        <v>346.6</v>
      </c>
      <c r="AO328">
        <v>18.899999999999999</v>
      </c>
      <c r="AQ328">
        <v>47.9</v>
      </c>
      <c r="AS328">
        <v>125.7</v>
      </c>
      <c r="AU328">
        <v>62.9</v>
      </c>
      <c r="AW328">
        <v>76.8</v>
      </c>
      <c r="AY328">
        <v>104.8</v>
      </c>
      <c r="BA328">
        <v>10790.4</v>
      </c>
      <c r="BC328">
        <v>147.1</v>
      </c>
      <c r="BE328">
        <v>176.3</v>
      </c>
      <c r="BG328">
        <v>5304</v>
      </c>
      <c r="BI328">
        <v>2962</v>
      </c>
      <c r="BK328">
        <v>24792.2</v>
      </c>
      <c r="BM328">
        <v>4155.5</v>
      </c>
      <c r="BO328">
        <v>56441.1</v>
      </c>
      <c r="BQ328">
        <v>2452.1999999999998</v>
      </c>
      <c r="BS328">
        <v>5026.2</v>
      </c>
      <c r="BU328">
        <v>23004.9</v>
      </c>
      <c r="BW328">
        <v>850</v>
      </c>
      <c r="BY328">
        <v>928.7</v>
      </c>
      <c r="CA328">
        <v>2004</v>
      </c>
      <c r="CC328">
        <v>78.2</v>
      </c>
      <c r="CE328">
        <v>22.3</v>
      </c>
      <c r="CG328">
        <v>1164.5999999999999</v>
      </c>
      <c r="CI328">
        <v>1080</v>
      </c>
      <c r="CK328">
        <v>5638.1</v>
      </c>
      <c r="CM328">
        <v>232.9</v>
      </c>
      <c r="CO328">
        <v>240.5</v>
      </c>
      <c r="CQ328">
        <v>1125.0999999999999</v>
      </c>
      <c r="CS328">
        <v>6346.2</v>
      </c>
      <c r="CU328">
        <v>7461</v>
      </c>
      <c r="CW328">
        <v>4216.6000000000004</v>
      </c>
      <c r="CY328">
        <v>1198.8</v>
      </c>
      <c r="DA328">
        <v>23239.1</v>
      </c>
      <c r="DC328">
        <v>3.8</v>
      </c>
      <c r="DE328">
        <v>773.3</v>
      </c>
      <c r="DG328">
        <v>12.7</v>
      </c>
      <c r="DI328">
        <v>193</v>
      </c>
      <c r="DK328">
        <v>65.2</v>
      </c>
      <c r="DM328">
        <v>1241.9000000000001</v>
      </c>
      <c r="DO328">
        <v>514.9</v>
      </c>
      <c r="DQ328">
        <v>453.9</v>
      </c>
    </row>
    <row r="329" spans="1:121" x14ac:dyDescent="0.2">
      <c r="D329" t="s">
        <v>63</v>
      </c>
      <c r="G329">
        <v>5.7639999999999997E-2</v>
      </c>
      <c r="H329" t="s">
        <v>75</v>
      </c>
      <c r="I329">
        <v>1.375E-2</v>
      </c>
      <c r="J329" t="s">
        <v>75</v>
      </c>
      <c r="K329">
        <v>0.30806</v>
      </c>
      <c r="L329" t="s">
        <v>75</v>
      </c>
      <c r="M329">
        <v>0.10274999999999999</v>
      </c>
      <c r="N329" t="s">
        <v>75</v>
      </c>
      <c r="O329">
        <v>4.7999999999999996E-3</v>
      </c>
      <c r="P329" t="s">
        <v>75</v>
      </c>
      <c r="Q329">
        <v>7.6499999999999999E-2</v>
      </c>
      <c r="R329" t="s">
        <v>75</v>
      </c>
      <c r="S329">
        <v>5.4000000000000001E-4</v>
      </c>
      <c r="T329" t="s">
        <v>75</v>
      </c>
      <c r="U329">
        <v>1.108E-2</v>
      </c>
      <c r="V329" t="s">
        <v>75</v>
      </c>
      <c r="W329">
        <v>4.2209999999999998E-2</v>
      </c>
      <c r="X329" t="s">
        <v>75</v>
      </c>
      <c r="Y329">
        <v>0.32450000000000001</v>
      </c>
      <c r="Z329" t="s">
        <v>75</v>
      </c>
      <c r="AB329" t="s">
        <v>76</v>
      </c>
      <c r="AC329">
        <v>9.3619199999999996</v>
      </c>
      <c r="AD329" t="s">
        <v>75</v>
      </c>
      <c r="AE329">
        <v>42.849139999999998</v>
      </c>
      <c r="AF329" t="s">
        <v>75</v>
      </c>
      <c r="AG329">
        <v>-2.7399999999999998E-3</v>
      </c>
      <c r="AH329" t="s">
        <v>75</v>
      </c>
      <c r="AI329">
        <v>0.40284999999999999</v>
      </c>
      <c r="AJ329" t="s">
        <v>75</v>
      </c>
      <c r="AK329">
        <v>5.0400000000000002E-3</v>
      </c>
      <c r="AL329" t="s">
        <v>75</v>
      </c>
      <c r="AM329">
        <v>-1.14E-3</v>
      </c>
      <c r="AN329" t="s">
        <v>75</v>
      </c>
      <c r="AO329">
        <v>4.5300000000000002E-3</v>
      </c>
      <c r="AP329" t="s">
        <v>75</v>
      </c>
      <c r="AQ329">
        <v>9.3000000000000005E-4</v>
      </c>
      <c r="AR329" t="s">
        <v>75</v>
      </c>
      <c r="AS329">
        <v>8.1999999999999998E-4</v>
      </c>
      <c r="AT329" t="s">
        <v>75</v>
      </c>
      <c r="AU329">
        <v>1.5299999999999999E-3</v>
      </c>
      <c r="AV329" t="s">
        <v>75</v>
      </c>
      <c r="AW329">
        <v>-1.8000000000000001E-4</v>
      </c>
      <c r="AX329" t="s">
        <v>75</v>
      </c>
      <c r="AY329">
        <v>6.5100000000000002E-3</v>
      </c>
      <c r="AZ329" t="s">
        <v>75</v>
      </c>
      <c r="BC329">
        <v>-2.05328</v>
      </c>
      <c r="BD329" t="s">
        <v>75</v>
      </c>
      <c r="BE329">
        <v>9.7800000000000005E-3</v>
      </c>
      <c r="BF329" t="s">
        <v>75</v>
      </c>
      <c r="BG329">
        <v>1.4257200000000001</v>
      </c>
      <c r="BH329" t="s">
        <v>75</v>
      </c>
      <c r="BI329">
        <v>1.4109400000000001</v>
      </c>
      <c r="BJ329" t="s">
        <v>75</v>
      </c>
      <c r="BK329">
        <v>1.44123</v>
      </c>
      <c r="BL329" t="s">
        <v>75</v>
      </c>
      <c r="BM329">
        <v>0.22944000000000001</v>
      </c>
      <c r="BN329" t="s">
        <v>75</v>
      </c>
      <c r="BO329">
        <v>112.34761</v>
      </c>
      <c r="BP329" t="s">
        <v>75</v>
      </c>
      <c r="BQ329">
        <v>3.2760099999999999</v>
      </c>
      <c r="BR329" t="s">
        <v>75</v>
      </c>
      <c r="BS329">
        <v>5.5405199999999999</v>
      </c>
      <c r="BT329" t="s">
        <v>75</v>
      </c>
      <c r="BU329">
        <v>51.250990000000002</v>
      </c>
      <c r="BV329" t="s">
        <v>75</v>
      </c>
      <c r="BW329">
        <v>30.752220000000001</v>
      </c>
      <c r="BX329" t="s">
        <v>75</v>
      </c>
      <c r="BY329">
        <v>40.095399999999998</v>
      </c>
      <c r="BZ329" t="s">
        <v>75</v>
      </c>
      <c r="CA329">
        <v>48.736759999999997</v>
      </c>
      <c r="CB329" t="s">
        <v>75</v>
      </c>
      <c r="CC329">
        <v>0.25219000000000003</v>
      </c>
      <c r="CD329" t="s">
        <v>75</v>
      </c>
      <c r="CE329">
        <v>6.4200000000000004E-3</v>
      </c>
      <c r="CF329" t="s">
        <v>75</v>
      </c>
      <c r="CG329">
        <v>0.95669000000000004</v>
      </c>
      <c r="CH329" t="s">
        <v>75</v>
      </c>
      <c r="CI329">
        <v>1.2191099999999999</v>
      </c>
      <c r="CJ329" t="s">
        <v>75</v>
      </c>
      <c r="CK329">
        <v>7.3859000000000004</v>
      </c>
      <c r="CL329" t="s">
        <v>75</v>
      </c>
      <c r="CM329">
        <v>0.13270999999999999</v>
      </c>
      <c r="CN329" t="s">
        <v>75</v>
      </c>
      <c r="CO329">
        <v>1.09206</v>
      </c>
      <c r="CP329" t="s">
        <v>75</v>
      </c>
      <c r="CQ329">
        <v>4.35175</v>
      </c>
      <c r="CR329" t="s">
        <v>75</v>
      </c>
      <c r="CS329">
        <v>437.87799000000001</v>
      </c>
      <c r="CT329" t="s">
        <v>75</v>
      </c>
      <c r="CV329" t="s">
        <v>76</v>
      </c>
      <c r="CW329">
        <v>9.4700100000000003</v>
      </c>
      <c r="CX329" t="s">
        <v>75</v>
      </c>
      <c r="DA329">
        <v>116.9836</v>
      </c>
      <c r="DB329" t="s">
        <v>75</v>
      </c>
      <c r="DC329">
        <v>4.6600000000000001E-3</v>
      </c>
      <c r="DD329" t="s">
        <v>75</v>
      </c>
      <c r="DE329">
        <v>8.3508899999999997</v>
      </c>
      <c r="DF329" t="s">
        <v>75</v>
      </c>
      <c r="DG329">
        <v>0.17460999999999999</v>
      </c>
      <c r="DH329" t="s">
        <v>75</v>
      </c>
      <c r="DI329">
        <v>2.00936</v>
      </c>
      <c r="DJ329" t="s">
        <v>75</v>
      </c>
      <c r="DL329" t="s">
        <v>76</v>
      </c>
      <c r="DN329" t="s">
        <v>76</v>
      </c>
      <c r="DO329">
        <v>9.8936700000000002</v>
      </c>
      <c r="DP329" t="s">
        <v>75</v>
      </c>
    </row>
    <row r="330" spans="1:121" x14ac:dyDescent="0.2">
      <c r="D330" t="s">
        <v>64</v>
      </c>
      <c r="G330">
        <v>2.49E-3</v>
      </c>
      <c r="H330" t="s">
        <v>75</v>
      </c>
      <c r="I330">
        <v>1.1800000000000001E-3</v>
      </c>
      <c r="J330" t="s">
        <v>75</v>
      </c>
      <c r="K330">
        <v>5.1399999999999996E-3</v>
      </c>
      <c r="L330" t="s">
        <v>75</v>
      </c>
      <c r="M330">
        <v>2.6199999999999999E-3</v>
      </c>
      <c r="N330" t="s">
        <v>75</v>
      </c>
      <c r="O330">
        <v>9.0000000000000006E-5</v>
      </c>
      <c r="P330" t="s">
        <v>75</v>
      </c>
      <c r="Q330">
        <v>1.4499999999999999E-3</v>
      </c>
      <c r="R330" t="s">
        <v>75</v>
      </c>
      <c r="S330">
        <v>1E-4</v>
      </c>
      <c r="T330" t="s">
        <v>75</v>
      </c>
      <c r="U330">
        <v>3.0000000000000001E-5</v>
      </c>
      <c r="V330" t="s">
        <v>75</v>
      </c>
      <c r="W330">
        <v>2.7999999999999998E-4</v>
      </c>
      <c r="X330" t="s">
        <v>75</v>
      </c>
      <c r="Y330">
        <v>1.273E-2</v>
      </c>
      <c r="Z330" t="s">
        <v>75</v>
      </c>
      <c r="AC330">
        <v>0.18656</v>
      </c>
      <c r="AD330" t="s">
        <v>75</v>
      </c>
      <c r="AE330">
        <v>0.91622999999999999</v>
      </c>
      <c r="AF330" t="s">
        <v>75</v>
      </c>
      <c r="AG330">
        <v>2.2000000000000001E-4</v>
      </c>
      <c r="AH330" t="s">
        <v>75</v>
      </c>
      <c r="AI330">
        <v>7.4099999999999999E-3</v>
      </c>
      <c r="AJ330" t="s">
        <v>75</v>
      </c>
      <c r="AK330">
        <v>4.2999999999999999E-4</v>
      </c>
      <c r="AL330" t="s">
        <v>75</v>
      </c>
      <c r="AM330">
        <v>2.1000000000000001E-4</v>
      </c>
      <c r="AN330" t="s">
        <v>75</v>
      </c>
      <c r="AO330">
        <v>1.2E-4</v>
      </c>
      <c r="AP330" t="s">
        <v>75</v>
      </c>
      <c r="AQ330">
        <v>1.8000000000000001E-4</v>
      </c>
      <c r="AR330" t="s">
        <v>75</v>
      </c>
      <c r="AS330">
        <v>5.2999999999999998E-4</v>
      </c>
      <c r="AT330" t="s">
        <v>75</v>
      </c>
      <c r="AU330">
        <v>4.0000000000000003E-5</v>
      </c>
      <c r="AV330" t="s">
        <v>75</v>
      </c>
      <c r="AW330">
        <v>1.8000000000000001E-4</v>
      </c>
      <c r="AX330" t="s">
        <v>75</v>
      </c>
      <c r="AY330">
        <v>2.7E-4</v>
      </c>
      <c r="AZ330" t="s">
        <v>75</v>
      </c>
      <c r="BC330">
        <v>4.8000000000000001E-4</v>
      </c>
      <c r="BD330" t="s">
        <v>75</v>
      </c>
      <c r="BE330">
        <v>1.3999999999999999E-4</v>
      </c>
      <c r="BF330" t="s">
        <v>75</v>
      </c>
      <c r="BG330">
        <v>3.1269999999999999E-2</v>
      </c>
      <c r="BH330" t="s">
        <v>75</v>
      </c>
      <c r="BI330">
        <v>2.7879999999999999E-2</v>
      </c>
      <c r="BJ330" t="s">
        <v>75</v>
      </c>
      <c r="BK330">
        <v>4.1980000000000003E-2</v>
      </c>
      <c r="BL330" t="s">
        <v>75</v>
      </c>
      <c r="BM330">
        <v>7.77E-3</v>
      </c>
      <c r="BN330" t="s">
        <v>75</v>
      </c>
      <c r="BO330">
        <v>2.4946199999999998</v>
      </c>
      <c r="BP330" t="s">
        <v>75</v>
      </c>
      <c r="BQ330">
        <v>0.12781999999999999</v>
      </c>
      <c r="BR330" t="s">
        <v>75</v>
      </c>
      <c r="BS330">
        <v>0.15855</v>
      </c>
      <c r="BT330" t="s">
        <v>75</v>
      </c>
      <c r="BU330">
        <v>1.94689</v>
      </c>
      <c r="BV330" t="s">
        <v>75</v>
      </c>
      <c r="BW330">
        <v>0.80923</v>
      </c>
      <c r="BX330" t="s">
        <v>75</v>
      </c>
      <c r="BY330">
        <v>1.10562</v>
      </c>
      <c r="BZ330" t="s">
        <v>75</v>
      </c>
      <c r="CA330">
        <v>1.4617800000000001</v>
      </c>
      <c r="CB330" t="s">
        <v>75</v>
      </c>
      <c r="CC330">
        <v>1.5810000000000001E-2</v>
      </c>
      <c r="CD330" t="s">
        <v>75</v>
      </c>
      <c r="CE330">
        <v>4.2000000000000002E-4</v>
      </c>
      <c r="CF330" t="s">
        <v>75</v>
      </c>
      <c r="CG330">
        <v>9.7000000000000003E-3</v>
      </c>
      <c r="CH330" t="s">
        <v>75</v>
      </c>
      <c r="CI330">
        <v>3.8420000000000003E-2</v>
      </c>
      <c r="CJ330" t="s">
        <v>75</v>
      </c>
      <c r="CK330">
        <v>0.21909000000000001</v>
      </c>
      <c r="CL330" t="s">
        <v>75</v>
      </c>
      <c r="CM330">
        <v>8.3000000000000001E-4</v>
      </c>
      <c r="CN330" t="s">
        <v>75</v>
      </c>
      <c r="CO330">
        <v>3.4709999999999998E-2</v>
      </c>
      <c r="CP330" t="s">
        <v>75</v>
      </c>
      <c r="CQ330">
        <v>0.12169000000000001</v>
      </c>
      <c r="CR330" t="s">
        <v>75</v>
      </c>
      <c r="CS330">
        <v>9.1984499999999993</v>
      </c>
      <c r="CT330" t="s">
        <v>75</v>
      </c>
      <c r="CW330">
        <v>0.34078000000000003</v>
      </c>
      <c r="CX330" t="s">
        <v>75</v>
      </c>
      <c r="DA330">
        <v>4.3117700000000001</v>
      </c>
      <c r="DB330" t="s">
        <v>75</v>
      </c>
      <c r="DC330">
        <v>1.64E-3</v>
      </c>
      <c r="DD330" t="s">
        <v>75</v>
      </c>
      <c r="DE330">
        <v>0.47216999999999998</v>
      </c>
      <c r="DF330" t="s">
        <v>75</v>
      </c>
      <c r="DG330">
        <v>6.9639999999999994E-2</v>
      </c>
      <c r="DH330" t="s">
        <v>75</v>
      </c>
      <c r="DI330">
        <v>0.35489999999999999</v>
      </c>
      <c r="DJ330" t="s">
        <v>75</v>
      </c>
      <c r="DO330">
        <v>0.36512</v>
      </c>
      <c r="DP330" t="s">
        <v>75</v>
      </c>
    </row>
    <row r="331" spans="1:121" x14ac:dyDescent="0.2">
      <c r="D331" t="s">
        <v>65</v>
      </c>
      <c r="G331" t="s">
        <v>66</v>
      </c>
      <c r="I331" t="s">
        <v>66</v>
      </c>
      <c r="K331" t="s">
        <v>66</v>
      </c>
      <c r="M331" t="s">
        <v>66</v>
      </c>
      <c r="O331" t="s">
        <v>66</v>
      </c>
      <c r="Q331" t="s">
        <v>66</v>
      </c>
      <c r="S331" t="s">
        <v>66</v>
      </c>
      <c r="U331" t="s">
        <v>66</v>
      </c>
      <c r="W331" t="s">
        <v>66</v>
      </c>
      <c r="Y331" t="s">
        <v>66</v>
      </c>
      <c r="AA331" t="s">
        <v>66</v>
      </c>
      <c r="AC331" t="s">
        <v>66</v>
      </c>
      <c r="AE331" t="s">
        <v>66</v>
      </c>
      <c r="AG331" t="s">
        <v>66</v>
      </c>
      <c r="AI331" t="s">
        <v>66</v>
      </c>
      <c r="AK331" t="s">
        <v>66</v>
      </c>
      <c r="AM331" t="s">
        <v>66</v>
      </c>
      <c r="AO331" t="s">
        <v>66</v>
      </c>
      <c r="AQ331" t="s">
        <v>66</v>
      </c>
      <c r="AS331" t="s">
        <v>66</v>
      </c>
      <c r="AU331" t="s">
        <v>66</v>
      </c>
      <c r="AW331" t="s">
        <v>66</v>
      </c>
      <c r="AY331" t="s">
        <v>66</v>
      </c>
      <c r="BA331" t="s">
        <v>66</v>
      </c>
      <c r="BC331" t="s">
        <v>66</v>
      </c>
      <c r="BE331" t="s">
        <v>66</v>
      </c>
      <c r="BG331" t="s">
        <v>66</v>
      </c>
      <c r="BI331" t="s">
        <v>66</v>
      </c>
      <c r="BK331" t="s">
        <v>66</v>
      </c>
      <c r="BM331" t="s">
        <v>66</v>
      </c>
      <c r="BO331" t="s">
        <v>66</v>
      </c>
      <c r="BQ331" t="s">
        <v>66</v>
      </c>
      <c r="BS331" t="s">
        <v>66</v>
      </c>
      <c r="BU331" t="s">
        <v>66</v>
      </c>
      <c r="BW331" t="s">
        <v>66</v>
      </c>
      <c r="BY331" t="s">
        <v>66</v>
      </c>
      <c r="CA331" t="s">
        <v>66</v>
      </c>
      <c r="CC331" t="s">
        <v>66</v>
      </c>
      <c r="CE331" t="s">
        <v>66</v>
      </c>
      <c r="CG331" t="s">
        <v>66</v>
      </c>
      <c r="CI331" t="s">
        <v>66</v>
      </c>
      <c r="CK331" t="s">
        <v>66</v>
      </c>
      <c r="CM331" t="s">
        <v>66</v>
      </c>
      <c r="CO331" t="s">
        <v>66</v>
      </c>
      <c r="CQ331" t="s">
        <v>66</v>
      </c>
      <c r="CS331" t="s">
        <v>66</v>
      </c>
      <c r="CU331" t="s">
        <v>66</v>
      </c>
      <c r="CW331" t="s">
        <v>66</v>
      </c>
      <c r="CY331" t="s">
        <v>66</v>
      </c>
      <c r="DA331" t="s">
        <v>66</v>
      </c>
      <c r="DC331" t="s">
        <v>66</v>
      </c>
      <c r="DE331" t="s">
        <v>66</v>
      </c>
      <c r="DG331" t="s">
        <v>66</v>
      </c>
      <c r="DI331" t="s">
        <v>66</v>
      </c>
      <c r="DK331" t="s">
        <v>66</v>
      </c>
      <c r="DM331" t="s">
        <v>66</v>
      </c>
      <c r="DO331" t="s">
        <v>66</v>
      </c>
      <c r="DQ331" t="s">
        <v>66</v>
      </c>
    </row>
    <row r="332" spans="1:121" x14ac:dyDescent="0.2">
      <c r="A332" t="s">
        <v>636</v>
      </c>
      <c r="D332" t="s">
        <v>60</v>
      </c>
      <c r="E332" t="s">
        <v>61</v>
      </c>
      <c r="G332">
        <v>15089.1</v>
      </c>
      <c r="I332">
        <v>718.4</v>
      </c>
      <c r="K332">
        <v>381927.3</v>
      </c>
      <c r="M332">
        <v>147319.29999999999</v>
      </c>
      <c r="O332">
        <v>1789.9</v>
      </c>
      <c r="Q332">
        <v>4602.7</v>
      </c>
      <c r="S332">
        <v>1536.5</v>
      </c>
      <c r="U332">
        <v>1418.7</v>
      </c>
      <c r="W332">
        <v>24781.1</v>
      </c>
      <c r="Y332">
        <v>36163.800000000003</v>
      </c>
      <c r="AA332">
        <v>4620668.0999999996</v>
      </c>
      <c r="AC332">
        <v>14936054.800000001</v>
      </c>
      <c r="AE332">
        <v>17369829.899999999</v>
      </c>
      <c r="AG332">
        <v>25830.5</v>
      </c>
      <c r="AI332">
        <v>220225.5</v>
      </c>
      <c r="AK332">
        <v>11250.7</v>
      </c>
      <c r="AM332">
        <v>5855.3</v>
      </c>
      <c r="AO332">
        <v>624.1</v>
      </c>
      <c r="AQ332">
        <v>374</v>
      </c>
      <c r="AS332">
        <v>445.9</v>
      </c>
      <c r="AU332">
        <v>281.3</v>
      </c>
      <c r="AW332">
        <v>281.3</v>
      </c>
      <c r="AY332">
        <v>954.7</v>
      </c>
      <c r="BA332">
        <v>668533.30000000005</v>
      </c>
      <c r="BC332">
        <v>2260.1999999999998</v>
      </c>
      <c r="BE332">
        <v>11275.8</v>
      </c>
      <c r="BG332">
        <v>763660</v>
      </c>
      <c r="BI332">
        <v>643800.1</v>
      </c>
      <c r="BK332">
        <v>1669808</v>
      </c>
      <c r="BM332">
        <v>254087.9</v>
      </c>
      <c r="BO332">
        <v>8101060.7999999998</v>
      </c>
      <c r="BQ332">
        <v>329619.09999999998</v>
      </c>
      <c r="BS332">
        <v>289528.3</v>
      </c>
      <c r="BU332">
        <v>2261474.4</v>
      </c>
      <c r="BW332">
        <v>117699</v>
      </c>
      <c r="BY332">
        <v>207722.6</v>
      </c>
      <c r="CA332">
        <v>80855.5</v>
      </c>
      <c r="CC332">
        <v>842.9</v>
      </c>
      <c r="CE332">
        <v>406.5</v>
      </c>
      <c r="CG332">
        <v>38095.1</v>
      </c>
      <c r="CI332">
        <v>95542</v>
      </c>
      <c r="CK332">
        <v>1343040.9</v>
      </c>
      <c r="CM332">
        <v>12011</v>
      </c>
      <c r="CO332">
        <v>12177.8</v>
      </c>
      <c r="CQ332">
        <v>174282.1</v>
      </c>
      <c r="CS332">
        <v>2751853.6</v>
      </c>
      <c r="CU332">
        <v>448450.7</v>
      </c>
      <c r="CW332">
        <v>1699540.4</v>
      </c>
      <c r="CY332">
        <v>58958.5</v>
      </c>
      <c r="DA332">
        <v>3013891</v>
      </c>
      <c r="DC332">
        <v>21.7</v>
      </c>
      <c r="DE332">
        <v>24392.6</v>
      </c>
      <c r="DG332">
        <v>318.5</v>
      </c>
      <c r="DI332">
        <v>3739</v>
      </c>
      <c r="DK332">
        <v>802.9</v>
      </c>
      <c r="DM332">
        <v>122454.1</v>
      </c>
      <c r="DO332">
        <v>403298.5</v>
      </c>
      <c r="DQ332">
        <v>15608.1</v>
      </c>
    </row>
    <row r="333" spans="1:121" x14ac:dyDescent="0.2">
      <c r="D333" t="s">
        <v>62</v>
      </c>
      <c r="E333" t="s">
        <v>61</v>
      </c>
      <c r="G333">
        <v>119.6</v>
      </c>
      <c r="I333">
        <v>55</v>
      </c>
      <c r="K333">
        <v>5002.5</v>
      </c>
      <c r="M333">
        <v>744.5</v>
      </c>
      <c r="O333">
        <v>44.5</v>
      </c>
      <c r="Q333">
        <v>170.6</v>
      </c>
      <c r="S333">
        <v>50.5</v>
      </c>
      <c r="U333">
        <v>76.7</v>
      </c>
      <c r="W333">
        <v>728.3</v>
      </c>
      <c r="Y333">
        <v>161.5</v>
      </c>
      <c r="AA333">
        <v>45842.6</v>
      </c>
      <c r="AC333">
        <v>216766.3</v>
      </c>
      <c r="AE333">
        <v>149945.4</v>
      </c>
      <c r="AG333">
        <v>741.8</v>
      </c>
      <c r="AI333">
        <v>3557.5</v>
      </c>
      <c r="AK333">
        <v>645.5</v>
      </c>
      <c r="AM333">
        <v>229.7</v>
      </c>
      <c r="AO333">
        <v>9.6</v>
      </c>
      <c r="AQ333">
        <v>53.2</v>
      </c>
      <c r="AS333">
        <v>115.2</v>
      </c>
      <c r="AU333">
        <v>45.1</v>
      </c>
      <c r="AW333">
        <v>39.9</v>
      </c>
      <c r="AY333">
        <v>48.7</v>
      </c>
      <c r="BA333">
        <v>2819.1</v>
      </c>
      <c r="BC333">
        <v>96</v>
      </c>
      <c r="BE333">
        <v>137.69999999999999</v>
      </c>
      <c r="BG333">
        <v>8255.9</v>
      </c>
      <c r="BI333">
        <v>7629.5</v>
      </c>
      <c r="BK333">
        <v>9503.1</v>
      </c>
      <c r="BM333">
        <v>1761.8</v>
      </c>
      <c r="BO333">
        <v>100718.5</v>
      </c>
      <c r="BQ333">
        <v>1740.2</v>
      </c>
      <c r="BS333">
        <v>1545.5</v>
      </c>
      <c r="BU333">
        <v>7099.4</v>
      </c>
      <c r="BW333">
        <v>1133.9000000000001</v>
      </c>
      <c r="BY333">
        <v>862.9</v>
      </c>
      <c r="CA333">
        <v>760.8</v>
      </c>
      <c r="CC333">
        <v>45.3</v>
      </c>
      <c r="CE333">
        <v>11.2</v>
      </c>
      <c r="CG333">
        <v>959.3</v>
      </c>
      <c r="CI333">
        <v>1935.7</v>
      </c>
      <c r="CK333">
        <v>13198</v>
      </c>
      <c r="CM333">
        <v>269.3</v>
      </c>
      <c r="CO333">
        <v>654.9</v>
      </c>
      <c r="CQ333">
        <v>1331.1</v>
      </c>
      <c r="CS333">
        <v>24207.7</v>
      </c>
      <c r="CU333">
        <v>2136.1999999999998</v>
      </c>
      <c r="CW333">
        <v>15654.3</v>
      </c>
      <c r="CY333">
        <v>813.1</v>
      </c>
      <c r="DA333">
        <v>16375.7</v>
      </c>
      <c r="DC333">
        <v>10.9</v>
      </c>
      <c r="DE333">
        <v>320.7</v>
      </c>
      <c r="DG333">
        <v>50.7</v>
      </c>
      <c r="DI333">
        <v>230</v>
      </c>
      <c r="DK333">
        <v>32.4</v>
      </c>
      <c r="DM333">
        <v>467.2</v>
      </c>
      <c r="DO333">
        <v>4781.5</v>
      </c>
      <c r="DQ333">
        <v>501.1</v>
      </c>
    </row>
    <row r="334" spans="1:121" x14ac:dyDescent="0.2">
      <c r="D334" t="s">
        <v>63</v>
      </c>
      <c r="G334">
        <v>8.7179999999999994E-2</v>
      </c>
      <c r="H334" t="s">
        <v>75</v>
      </c>
      <c r="I334">
        <v>1.2789999999999999E-2</v>
      </c>
      <c r="J334" t="s">
        <v>75</v>
      </c>
      <c r="K334">
        <v>0.48909999999999998</v>
      </c>
      <c r="L334" t="s">
        <v>75</v>
      </c>
      <c r="M334">
        <v>0.11756</v>
      </c>
      <c r="N334" t="s">
        <v>75</v>
      </c>
      <c r="O334">
        <v>4.4400000000000004E-3</v>
      </c>
      <c r="P334" t="s">
        <v>75</v>
      </c>
      <c r="Q334">
        <v>5.1130000000000002E-2</v>
      </c>
      <c r="R334" t="s">
        <v>75</v>
      </c>
      <c r="S334">
        <v>6.7000000000000002E-4</v>
      </c>
      <c r="T334" t="s">
        <v>75</v>
      </c>
      <c r="U334">
        <v>1.1599999999999999E-2</v>
      </c>
      <c r="V334" t="s">
        <v>75</v>
      </c>
      <c r="W334">
        <v>5.6849999999999998E-2</v>
      </c>
      <c r="X334" t="s">
        <v>75</v>
      </c>
      <c r="Y334">
        <v>0.54452</v>
      </c>
      <c r="Z334" t="s">
        <v>75</v>
      </c>
      <c r="AB334" t="s">
        <v>76</v>
      </c>
      <c r="AC334">
        <v>53.92098</v>
      </c>
      <c r="AD334" t="s">
        <v>75</v>
      </c>
      <c r="AE334">
        <v>66.007819999999995</v>
      </c>
      <c r="AF334" t="s">
        <v>75</v>
      </c>
      <c r="AG334">
        <v>4.2100000000000002E-3</v>
      </c>
      <c r="AH334" t="s">
        <v>75</v>
      </c>
      <c r="AI334">
        <v>1.41154</v>
      </c>
      <c r="AJ334" t="s">
        <v>75</v>
      </c>
      <c r="AK334">
        <v>5.6800000000000002E-3</v>
      </c>
      <c r="AL334" t="s">
        <v>75</v>
      </c>
      <c r="AM334">
        <v>-1.23E-3</v>
      </c>
      <c r="AN334" t="s">
        <v>75</v>
      </c>
      <c r="AO334">
        <v>3.7399999999999998E-3</v>
      </c>
      <c r="AP334" t="s">
        <v>75</v>
      </c>
      <c r="AQ334">
        <v>6.7000000000000002E-4</v>
      </c>
      <c r="AR334" t="s">
        <v>75</v>
      </c>
      <c r="AS334">
        <v>9.7000000000000005E-4</v>
      </c>
      <c r="AT334" t="s">
        <v>75</v>
      </c>
      <c r="AU334">
        <v>1.5399999999999999E-3</v>
      </c>
      <c r="AV334" t="s">
        <v>75</v>
      </c>
      <c r="AW334">
        <v>-1.1E-4</v>
      </c>
      <c r="AX334" t="s">
        <v>75</v>
      </c>
      <c r="AY334">
        <v>-7.2399999999999999E-3</v>
      </c>
      <c r="AZ334" t="s">
        <v>75</v>
      </c>
      <c r="BC334">
        <v>-2.0530499999999998</v>
      </c>
      <c r="BD334" t="s">
        <v>75</v>
      </c>
      <c r="BE334">
        <v>1.349E-2</v>
      </c>
      <c r="BF334" t="s">
        <v>75</v>
      </c>
      <c r="BG334">
        <v>2.1876699999999998</v>
      </c>
      <c r="BH334" t="s">
        <v>75</v>
      </c>
      <c r="BI334">
        <v>2.1417000000000002</v>
      </c>
      <c r="BJ334" t="s">
        <v>75</v>
      </c>
      <c r="BK334">
        <v>2.24857</v>
      </c>
      <c r="BL334" t="s">
        <v>75</v>
      </c>
      <c r="BM334">
        <v>0.23216000000000001</v>
      </c>
      <c r="BN334" t="s">
        <v>75</v>
      </c>
      <c r="BO334">
        <v>179.14243999999999</v>
      </c>
      <c r="BP334" t="s">
        <v>75</v>
      </c>
      <c r="BQ334">
        <v>10.86238</v>
      </c>
      <c r="BR334" t="s">
        <v>75</v>
      </c>
      <c r="BS334">
        <v>6.1031700000000004</v>
      </c>
      <c r="BT334" t="s">
        <v>75</v>
      </c>
      <c r="BU334">
        <v>74.127790000000005</v>
      </c>
      <c r="BV334" t="s">
        <v>75</v>
      </c>
      <c r="BW334">
        <v>50.275570000000002</v>
      </c>
      <c r="BX334" t="s">
        <v>75</v>
      </c>
      <c r="BY334">
        <v>50.89188</v>
      </c>
      <c r="BZ334" t="s">
        <v>75</v>
      </c>
      <c r="CA334">
        <v>40.213859999999997</v>
      </c>
      <c r="CB334" t="s">
        <v>75</v>
      </c>
      <c r="CC334">
        <v>0.16772999999999999</v>
      </c>
      <c r="CD334" t="s">
        <v>75</v>
      </c>
      <c r="CE334">
        <v>4.4799999999999996E-3</v>
      </c>
      <c r="CF334" t="s">
        <v>75</v>
      </c>
      <c r="CG334">
        <v>0.63934000000000002</v>
      </c>
      <c r="CH334" t="s">
        <v>75</v>
      </c>
      <c r="CI334">
        <v>1.23227</v>
      </c>
      <c r="CJ334" t="s">
        <v>75</v>
      </c>
      <c r="CK334">
        <v>18.903649999999999</v>
      </c>
      <c r="CL334" t="s">
        <v>75</v>
      </c>
      <c r="CM334">
        <v>0.16553000000000001</v>
      </c>
      <c r="CN334" t="s">
        <v>75</v>
      </c>
      <c r="CO334">
        <v>0.70713999999999999</v>
      </c>
      <c r="CP334" t="s">
        <v>75</v>
      </c>
      <c r="CQ334">
        <v>5.3043699999999996</v>
      </c>
      <c r="CR334" t="s">
        <v>75</v>
      </c>
      <c r="CS334">
        <v>728.00351000000001</v>
      </c>
      <c r="CT334" t="s">
        <v>75</v>
      </c>
      <c r="CV334" t="s">
        <v>76</v>
      </c>
      <c r="CW334">
        <v>63.788910000000001</v>
      </c>
      <c r="CX334" t="s">
        <v>75</v>
      </c>
      <c r="DA334">
        <v>187.55969999999999</v>
      </c>
      <c r="DB334" t="s">
        <v>75</v>
      </c>
      <c r="DC334">
        <v>8.9200000000000008E-3</v>
      </c>
      <c r="DD334" t="s">
        <v>75</v>
      </c>
      <c r="DE334">
        <v>11.51768</v>
      </c>
      <c r="DF334" t="s">
        <v>75</v>
      </c>
      <c r="DG334">
        <v>1.6862200000000001</v>
      </c>
      <c r="DH334" t="s">
        <v>75</v>
      </c>
      <c r="DI334">
        <v>6.4329200000000002</v>
      </c>
      <c r="DJ334" t="s">
        <v>75</v>
      </c>
      <c r="DL334" t="s">
        <v>76</v>
      </c>
      <c r="DN334" t="s">
        <v>76</v>
      </c>
      <c r="DO334">
        <v>62.341299999999997</v>
      </c>
      <c r="DP334" t="s">
        <v>75</v>
      </c>
    </row>
    <row r="335" spans="1:121" x14ac:dyDescent="0.2">
      <c r="D335" t="s">
        <v>64</v>
      </c>
      <c r="G335">
        <v>7.7999999999999999E-4</v>
      </c>
      <c r="H335" t="s">
        <v>75</v>
      </c>
      <c r="I335">
        <v>1.8500000000000001E-3</v>
      </c>
      <c r="J335" t="s">
        <v>75</v>
      </c>
      <c r="K335">
        <v>7.3200000000000001E-3</v>
      </c>
      <c r="L335" t="s">
        <v>75</v>
      </c>
      <c r="M335">
        <v>1.23E-3</v>
      </c>
      <c r="N335" t="s">
        <v>75</v>
      </c>
      <c r="O335">
        <v>4.0000000000000003E-5</v>
      </c>
      <c r="P335" t="s">
        <v>75</v>
      </c>
      <c r="Q335">
        <v>1.0399999999999999E-3</v>
      </c>
      <c r="R335" t="s">
        <v>75</v>
      </c>
      <c r="S335">
        <v>4.0000000000000003E-5</v>
      </c>
      <c r="T335" t="s">
        <v>75</v>
      </c>
      <c r="U335">
        <v>3.1E-4</v>
      </c>
      <c r="V335" t="s">
        <v>75</v>
      </c>
      <c r="W335">
        <v>1.7099999999999999E-3</v>
      </c>
      <c r="X335" t="s">
        <v>75</v>
      </c>
      <c r="Y335">
        <v>3.7100000000000002E-3</v>
      </c>
      <c r="Z335" t="s">
        <v>75</v>
      </c>
      <c r="AC335">
        <v>0.79664999999999997</v>
      </c>
      <c r="AD335" t="s">
        <v>75</v>
      </c>
      <c r="AE335">
        <v>0.77122000000000002</v>
      </c>
      <c r="AF335" t="s">
        <v>75</v>
      </c>
      <c r="AG335">
        <v>6.6E-4</v>
      </c>
      <c r="AH335" t="s">
        <v>75</v>
      </c>
      <c r="AI335">
        <v>2.879E-2</v>
      </c>
      <c r="AJ335" t="s">
        <v>75</v>
      </c>
      <c r="AK335">
        <v>4.8000000000000001E-4</v>
      </c>
      <c r="AL335" t="s">
        <v>75</v>
      </c>
      <c r="AM335">
        <v>1.6000000000000001E-4</v>
      </c>
      <c r="AN335" t="s">
        <v>75</v>
      </c>
      <c r="AO335">
        <v>5.0000000000000002E-5</v>
      </c>
      <c r="AP335" t="s">
        <v>75</v>
      </c>
      <c r="AQ335">
        <v>2.2000000000000001E-4</v>
      </c>
      <c r="AR335" t="s">
        <v>75</v>
      </c>
      <c r="AS335">
        <v>5.1999999999999995E-4</v>
      </c>
      <c r="AT335" t="s">
        <v>75</v>
      </c>
      <c r="AU335">
        <v>3.0000000000000001E-5</v>
      </c>
      <c r="AV335" t="s">
        <v>75</v>
      </c>
      <c r="AW335">
        <v>1E-4</v>
      </c>
      <c r="AX335" t="s">
        <v>75</v>
      </c>
      <c r="AY335">
        <v>1.6000000000000001E-4</v>
      </c>
      <c r="AZ335" t="s">
        <v>75</v>
      </c>
      <c r="BC335">
        <v>2.7999999999999998E-4</v>
      </c>
      <c r="BD335" t="s">
        <v>75</v>
      </c>
      <c r="BE335">
        <v>1.4999999999999999E-4</v>
      </c>
      <c r="BF335" t="s">
        <v>75</v>
      </c>
      <c r="BG335">
        <v>3.3020000000000001E-2</v>
      </c>
      <c r="BH335" t="s">
        <v>75</v>
      </c>
      <c r="BI335">
        <v>2.6929999999999999E-2</v>
      </c>
      <c r="BJ335" t="s">
        <v>75</v>
      </c>
      <c r="BK335">
        <v>2.0199999999999999E-2</v>
      </c>
      <c r="BL335" t="s">
        <v>75</v>
      </c>
      <c r="BM335">
        <v>2.5300000000000001E-3</v>
      </c>
      <c r="BN335" t="s">
        <v>75</v>
      </c>
      <c r="BO335">
        <v>0.45274999999999999</v>
      </c>
      <c r="BP335" t="s">
        <v>75</v>
      </c>
      <c r="BQ335">
        <v>0.11869</v>
      </c>
      <c r="BR335" t="s">
        <v>75</v>
      </c>
      <c r="BS335">
        <v>7.2220000000000006E-2</v>
      </c>
      <c r="BT335" t="s">
        <v>75</v>
      </c>
      <c r="BU335">
        <v>1.31579</v>
      </c>
      <c r="BV335" t="s">
        <v>75</v>
      </c>
      <c r="BW335">
        <v>0.51544999999999996</v>
      </c>
      <c r="BX335" t="s">
        <v>75</v>
      </c>
      <c r="BY335">
        <v>1.0408599999999999</v>
      </c>
      <c r="BZ335" t="s">
        <v>75</v>
      </c>
      <c r="CA335">
        <v>1.01355</v>
      </c>
      <c r="CB335" t="s">
        <v>75</v>
      </c>
      <c r="CC335">
        <v>1.2109999999999999E-2</v>
      </c>
      <c r="CD335" t="s">
        <v>75</v>
      </c>
      <c r="CE335">
        <v>2.5000000000000001E-4</v>
      </c>
      <c r="CF335" t="s">
        <v>75</v>
      </c>
      <c r="CG335">
        <v>1.8599999999999998E-2</v>
      </c>
      <c r="CH335" t="s">
        <v>75</v>
      </c>
      <c r="CI335">
        <v>4.2840000000000003E-2</v>
      </c>
      <c r="CJ335" t="s">
        <v>75</v>
      </c>
      <c r="CK335">
        <v>0.34450999999999998</v>
      </c>
      <c r="CL335" t="s">
        <v>75</v>
      </c>
      <c r="CM335">
        <v>4.2399999999999998E-3</v>
      </c>
      <c r="CN335" t="s">
        <v>75</v>
      </c>
      <c r="CO335">
        <v>4.7219999999999998E-2</v>
      </c>
      <c r="CP335" t="s">
        <v>75</v>
      </c>
      <c r="CQ335">
        <v>5.178E-2</v>
      </c>
      <c r="CR335" t="s">
        <v>75</v>
      </c>
      <c r="CS335">
        <v>12.780099999999999</v>
      </c>
      <c r="CT335" t="s">
        <v>75</v>
      </c>
      <c r="CW335">
        <v>1.2779700000000001</v>
      </c>
      <c r="CX335" t="s">
        <v>75</v>
      </c>
      <c r="DA335">
        <v>5.4631299999999996</v>
      </c>
      <c r="DB335" t="s">
        <v>75</v>
      </c>
      <c r="DC335">
        <v>5.0299999999999997E-3</v>
      </c>
      <c r="DD335" t="s">
        <v>75</v>
      </c>
      <c r="DE335">
        <v>0.23968</v>
      </c>
      <c r="DF335" t="s">
        <v>75</v>
      </c>
      <c r="DG335">
        <v>0.25020999999999999</v>
      </c>
      <c r="DH335" t="s">
        <v>75</v>
      </c>
      <c r="DI335">
        <v>0.49374000000000001</v>
      </c>
      <c r="DJ335" t="s">
        <v>75</v>
      </c>
      <c r="DO335">
        <v>1.34616</v>
      </c>
      <c r="DP335" t="s">
        <v>75</v>
      </c>
    </row>
    <row r="336" spans="1:121" x14ac:dyDescent="0.2">
      <c r="D336" t="s">
        <v>65</v>
      </c>
      <c r="G336" t="s">
        <v>66</v>
      </c>
      <c r="I336" t="s">
        <v>66</v>
      </c>
      <c r="K336" t="s">
        <v>66</v>
      </c>
      <c r="M336" t="s">
        <v>66</v>
      </c>
      <c r="O336" t="s">
        <v>66</v>
      </c>
      <c r="Q336" t="s">
        <v>66</v>
      </c>
      <c r="S336" t="s">
        <v>66</v>
      </c>
      <c r="U336" t="s">
        <v>66</v>
      </c>
      <c r="W336" t="s">
        <v>66</v>
      </c>
      <c r="Y336" t="s">
        <v>66</v>
      </c>
      <c r="AA336" t="s">
        <v>66</v>
      </c>
      <c r="AC336" t="s">
        <v>66</v>
      </c>
      <c r="AE336" t="s">
        <v>66</v>
      </c>
      <c r="AG336" t="s">
        <v>66</v>
      </c>
      <c r="AI336" t="s">
        <v>66</v>
      </c>
      <c r="AK336" t="s">
        <v>66</v>
      </c>
      <c r="AM336" t="s">
        <v>66</v>
      </c>
      <c r="AO336" t="s">
        <v>66</v>
      </c>
      <c r="AQ336" t="s">
        <v>66</v>
      </c>
      <c r="AS336" t="s">
        <v>66</v>
      </c>
      <c r="AU336" t="s">
        <v>66</v>
      </c>
      <c r="AW336" t="s">
        <v>66</v>
      </c>
      <c r="AY336" t="s">
        <v>66</v>
      </c>
      <c r="BA336" t="s">
        <v>66</v>
      </c>
      <c r="BC336" t="s">
        <v>66</v>
      </c>
      <c r="BE336" t="s">
        <v>66</v>
      </c>
      <c r="BG336" t="s">
        <v>66</v>
      </c>
      <c r="BI336" t="s">
        <v>66</v>
      </c>
      <c r="BK336" t="s">
        <v>66</v>
      </c>
      <c r="BM336" t="s">
        <v>66</v>
      </c>
      <c r="BO336" t="s">
        <v>66</v>
      </c>
      <c r="BQ336" t="s">
        <v>66</v>
      </c>
      <c r="BS336" t="s">
        <v>66</v>
      </c>
      <c r="BU336" t="s">
        <v>66</v>
      </c>
      <c r="BW336" t="s">
        <v>66</v>
      </c>
      <c r="BY336" t="s">
        <v>66</v>
      </c>
      <c r="CA336" t="s">
        <v>66</v>
      </c>
      <c r="CC336" t="s">
        <v>66</v>
      </c>
      <c r="CE336" t="s">
        <v>66</v>
      </c>
      <c r="CG336" t="s">
        <v>66</v>
      </c>
      <c r="CI336" t="s">
        <v>66</v>
      </c>
      <c r="CK336" t="s">
        <v>66</v>
      </c>
      <c r="CM336" t="s">
        <v>66</v>
      </c>
      <c r="CO336" t="s">
        <v>66</v>
      </c>
      <c r="CQ336" t="s">
        <v>66</v>
      </c>
      <c r="CS336" t="s">
        <v>66</v>
      </c>
      <c r="CU336" t="s">
        <v>66</v>
      </c>
      <c r="CW336" t="s">
        <v>66</v>
      </c>
      <c r="CY336" t="s">
        <v>66</v>
      </c>
      <c r="DA336" t="s">
        <v>66</v>
      </c>
      <c r="DC336" t="s">
        <v>66</v>
      </c>
      <c r="DE336" t="s">
        <v>66</v>
      </c>
      <c r="DG336" t="s">
        <v>66</v>
      </c>
      <c r="DI336" t="s">
        <v>66</v>
      </c>
      <c r="DK336" t="s">
        <v>66</v>
      </c>
      <c r="DM336" t="s">
        <v>66</v>
      </c>
      <c r="DO336" t="s">
        <v>66</v>
      </c>
      <c r="DQ336" t="s">
        <v>66</v>
      </c>
    </row>
    <row r="337" spans="1:121" x14ac:dyDescent="0.2">
      <c r="A337" t="s">
        <v>637</v>
      </c>
      <c r="D337" t="s">
        <v>60</v>
      </c>
      <c r="E337" t="s">
        <v>61</v>
      </c>
      <c r="G337">
        <v>16907</v>
      </c>
      <c r="I337">
        <v>754.9</v>
      </c>
      <c r="K337">
        <v>656877.30000000005</v>
      </c>
      <c r="M337">
        <v>101181.3</v>
      </c>
      <c r="O337">
        <v>986</v>
      </c>
      <c r="Q337">
        <v>9793.2000000000007</v>
      </c>
      <c r="S337">
        <v>1598.1</v>
      </c>
      <c r="U337">
        <v>1420.8</v>
      </c>
      <c r="W337">
        <v>36924.800000000003</v>
      </c>
      <c r="Y337">
        <v>59122.1</v>
      </c>
      <c r="AA337">
        <v>5698051.2999999998</v>
      </c>
      <c r="AC337">
        <v>6334014.5</v>
      </c>
      <c r="AE337">
        <v>31190621.100000001</v>
      </c>
      <c r="AG337">
        <v>39362.300000000003</v>
      </c>
      <c r="AI337">
        <v>127205.2</v>
      </c>
      <c r="AK337">
        <v>24384.3</v>
      </c>
      <c r="AM337">
        <v>23328.799999999999</v>
      </c>
      <c r="AO337">
        <v>1519.9</v>
      </c>
      <c r="AQ337">
        <v>341.7</v>
      </c>
      <c r="AS337">
        <v>452.2</v>
      </c>
      <c r="AU337">
        <v>235.4</v>
      </c>
      <c r="AW337">
        <v>220.8</v>
      </c>
      <c r="AY337">
        <v>4124.8999999999996</v>
      </c>
      <c r="BA337">
        <v>674775.3</v>
      </c>
      <c r="BC337">
        <v>2337.4</v>
      </c>
      <c r="BE337">
        <v>14604.5</v>
      </c>
      <c r="BG337">
        <v>1287427.7</v>
      </c>
      <c r="BI337">
        <v>1097185.5</v>
      </c>
      <c r="BK337">
        <v>2866528.3</v>
      </c>
      <c r="BM337">
        <v>460254.5</v>
      </c>
      <c r="BO337">
        <v>13404009.800000001</v>
      </c>
      <c r="BQ337">
        <v>89916.800000000003</v>
      </c>
      <c r="BS337">
        <v>135144.1</v>
      </c>
      <c r="BU337">
        <v>3377149</v>
      </c>
      <c r="BW337">
        <v>153404.6</v>
      </c>
      <c r="BY337">
        <v>281902.5</v>
      </c>
      <c r="CA337">
        <v>46028.6</v>
      </c>
      <c r="CC337">
        <v>547.4</v>
      </c>
      <c r="CE337">
        <v>417.6</v>
      </c>
      <c r="CG337">
        <v>16153.3</v>
      </c>
      <c r="CI337">
        <v>68382.5</v>
      </c>
      <c r="CK337">
        <v>290198.90000000002</v>
      </c>
      <c r="CM337">
        <v>16822.400000000001</v>
      </c>
      <c r="CO337">
        <v>5681.1</v>
      </c>
      <c r="CQ337">
        <v>226863.9</v>
      </c>
      <c r="CS337">
        <v>4254058</v>
      </c>
      <c r="CU337">
        <v>558108.69999999995</v>
      </c>
      <c r="CW337">
        <v>705230.1</v>
      </c>
      <c r="CY337">
        <v>58164.7</v>
      </c>
      <c r="DA337">
        <v>5044570.8</v>
      </c>
      <c r="DC337">
        <v>25</v>
      </c>
      <c r="DE337">
        <v>46066.1</v>
      </c>
      <c r="DG337">
        <v>152.69999999999999</v>
      </c>
      <c r="DI337">
        <v>2472.8000000000002</v>
      </c>
      <c r="DK337">
        <v>800.8</v>
      </c>
      <c r="DM337">
        <v>153581.29999999999</v>
      </c>
      <c r="DO337">
        <v>172784.6</v>
      </c>
      <c r="DQ337">
        <v>15755.8</v>
      </c>
    </row>
    <row r="338" spans="1:121" x14ac:dyDescent="0.2">
      <c r="D338" t="s">
        <v>62</v>
      </c>
      <c r="E338" t="s">
        <v>61</v>
      </c>
      <c r="G338">
        <v>177.6</v>
      </c>
      <c r="I338">
        <v>38.299999999999997</v>
      </c>
      <c r="K338">
        <v>5087.3999999999996</v>
      </c>
      <c r="M338">
        <v>852.8</v>
      </c>
      <c r="O338">
        <v>60.5</v>
      </c>
      <c r="Q338">
        <v>27.9</v>
      </c>
      <c r="S338">
        <v>151.80000000000001</v>
      </c>
      <c r="U338">
        <v>20.8</v>
      </c>
      <c r="W338">
        <v>247</v>
      </c>
      <c r="Y338">
        <v>441.7</v>
      </c>
      <c r="AA338">
        <v>105362.5</v>
      </c>
      <c r="AC338">
        <v>93053</v>
      </c>
      <c r="AE338">
        <v>291967.09999999998</v>
      </c>
      <c r="AG338">
        <v>272.10000000000002</v>
      </c>
      <c r="AI338">
        <v>2258.6</v>
      </c>
      <c r="AK338">
        <v>337.4</v>
      </c>
      <c r="AM338">
        <v>680.2</v>
      </c>
      <c r="AO338">
        <v>88.7</v>
      </c>
      <c r="AQ338">
        <v>4.8</v>
      </c>
      <c r="AS338">
        <v>68.2</v>
      </c>
      <c r="AU338">
        <v>28.2</v>
      </c>
      <c r="AW338">
        <v>17.2</v>
      </c>
      <c r="AY338">
        <v>185.7</v>
      </c>
      <c r="BA338">
        <v>7835.7</v>
      </c>
      <c r="BC338">
        <v>112.4</v>
      </c>
      <c r="BE338">
        <v>361.8</v>
      </c>
      <c r="BG338">
        <v>18079.3</v>
      </c>
      <c r="BI338">
        <v>12107.9</v>
      </c>
      <c r="BK338">
        <v>31980.6</v>
      </c>
      <c r="BM338">
        <v>3484.4</v>
      </c>
      <c r="BO338">
        <v>95493.3</v>
      </c>
      <c r="BQ338">
        <v>283.89999999999998</v>
      </c>
      <c r="BS338">
        <v>2298.4</v>
      </c>
      <c r="BU338">
        <v>26259.4</v>
      </c>
      <c r="BW338">
        <v>681.2</v>
      </c>
      <c r="BY338">
        <v>1876.1</v>
      </c>
      <c r="CA338">
        <v>290.89999999999998</v>
      </c>
      <c r="CC338">
        <v>67.5</v>
      </c>
      <c r="CE338">
        <v>65.900000000000006</v>
      </c>
      <c r="CG338">
        <v>715.2</v>
      </c>
      <c r="CI338">
        <v>818.7</v>
      </c>
      <c r="CK338">
        <v>1278</v>
      </c>
      <c r="CM338">
        <v>176.4</v>
      </c>
      <c r="CO338">
        <v>265.60000000000002</v>
      </c>
      <c r="CQ338">
        <v>640.20000000000005</v>
      </c>
      <c r="CS338">
        <v>49892.2</v>
      </c>
      <c r="CU338">
        <v>6022.4</v>
      </c>
      <c r="CW338">
        <v>10346.299999999999</v>
      </c>
      <c r="CY338">
        <v>191.6</v>
      </c>
      <c r="DA338">
        <v>26347.1</v>
      </c>
      <c r="DC338">
        <v>5</v>
      </c>
      <c r="DE338">
        <v>586.20000000000005</v>
      </c>
      <c r="DG338">
        <v>19.399999999999999</v>
      </c>
      <c r="DI338">
        <v>82.9</v>
      </c>
      <c r="DK338">
        <v>18.8</v>
      </c>
      <c r="DM338">
        <v>1665.8</v>
      </c>
      <c r="DO338">
        <v>2693.2</v>
      </c>
      <c r="DQ338">
        <v>103.9</v>
      </c>
    </row>
    <row r="339" spans="1:121" x14ac:dyDescent="0.2">
      <c r="D339" t="s">
        <v>63</v>
      </c>
      <c r="G339">
        <v>0.10057000000000001</v>
      </c>
      <c r="H339" t="s">
        <v>75</v>
      </c>
      <c r="I339">
        <v>1.384E-2</v>
      </c>
      <c r="J339" t="s">
        <v>75</v>
      </c>
      <c r="K339">
        <v>0.83596000000000004</v>
      </c>
      <c r="L339" t="s">
        <v>75</v>
      </c>
      <c r="M339">
        <v>6.9059999999999996E-2</v>
      </c>
      <c r="N339" t="s">
        <v>75</v>
      </c>
      <c r="O339">
        <v>3.7599999999999999E-3</v>
      </c>
      <c r="P339" t="s">
        <v>75</v>
      </c>
      <c r="Q339">
        <v>8.4529999999999994E-2</v>
      </c>
      <c r="R339" t="s">
        <v>75</v>
      </c>
      <c r="S339">
        <v>7.1000000000000002E-4</v>
      </c>
      <c r="T339" t="s">
        <v>75</v>
      </c>
      <c r="U339">
        <v>1.155E-2</v>
      </c>
      <c r="V339" t="s">
        <v>75</v>
      </c>
      <c r="W339">
        <v>8.2239999999999994E-2</v>
      </c>
      <c r="X339" t="s">
        <v>75</v>
      </c>
      <c r="Y339">
        <v>0.88207999999999998</v>
      </c>
      <c r="Z339" t="s">
        <v>75</v>
      </c>
      <c r="AB339" t="s">
        <v>76</v>
      </c>
      <c r="AC339">
        <v>22.68272</v>
      </c>
      <c r="AD339" t="s">
        <v>75</v>
      </c>
      <c r="AE339">
        <v>117.41715000000001</v>
      </c>
      <c r="AF339" t="s">
        <v>75</v>
      </c>
      <c r="AG339">
        <v>1.469E-2</v>
      </c>
      <c r="AH339" t="s">
        <v>75</v>
      </c>
      <c r="AI339">
        <v>0.80771999999999999</v>
      </c>
      <c r="AJ339" t="s">
        <v>75</v>
      </c>
      <c r="AK339">
        <v>1.4659999999999999E-2</v>
      </c>
      <c r="AL339" t="s">
        <v>75</v>
      </c>
      <c r="AM339">
        <v>1.192E-2</v>
      </c>
      <c r="AN339" t="s">
        <v>75</v>
      </c>
      <c r="AO339">
        <v>7.0099999999999997E-3</v>
      </c>
      <c r="AP339" t="s">
        <v>75</v>
      </c>
      <c r="AQ339">
        <v>5.1000000000000004E-4</v>
      </c>
      <c r="AR339" t="s">
        <v>75</v>
      </c>
      <c r="AS339">
        <v>9.7999999999999997E-4</v>
      </c>
      <c r="AT339" t="s">
        <v>75</v>
      </c>
      <c r="AU339">
        <v>1.5100000000000001E-3</v>
      </c>
      <c r="AV339" t="s">
        <v>75</v>
      </c>
      <c r="AW339">
        <v>-2.5999999999999998E-4</v>
      </c>
      <c r="AX339" t="s">
        <v>75</v>
      </c>
      <c r="AY339">
        <v>3.0100000000000001E-3</v>
      </c>
      <c r="AZ339" t="s">
        <v>75</v>
      </c>
      <c r="BC339">
        <v>-2.05288</v>
      </c>
      <c r="BD339" t="s">
        <v>75</v>
      </c>
      <c r="BE339">
        <v>1.6580000000000001E-2</v>
      </c>
      <c r="BF339" t="s">
        <v>75</v>
      </c>
      <c r="BG339">
        <v>3.6805599999999998</v>
      </c>
      <c r="BH339" t="s">
        <v>75</v>
      </c>
      <c r="BI339">
        <v>3.6278800000000002</v>
      </c>
      <c r="BJ339" t="s">
        <v>75</v>
      </c>
      <c r="BK339">
        <v>3.8349500000000001</v>
      </c>
      <c r="BL339" t="s">
        <v>75</v>
      </c>
      <c r="BM339">
        <v>0.42459999999999998</v>
      </c>
      <c r="BN339" t="s">
        <v>75</v>
      </c>
      <c r="BO339">
        <v>301.62047999999999</v>
      </c>
      <c r="BP339" t="s">
        <v>75</v>
      </c>
      <c r="BQ339">
        <v>2.6997499999999999</v>
      </c>
      <c r="BR339" t="s">
        <v>75</v>
      </c>
      <c r="BS339">
        <v>2.6451099999999999</v>
      </c>
      <c r="BT339" t="s">
        <v>75</v>
      </c>
      <c r="BU339">
        <v>122.7067</v>
      </c>
      <c r="BV339" t="s">
        <v>75</v>
      </c>
      <c r="BW339">
        <v>66.497919999999993</v>
      </c>
      <c r="BX339" t="s">
        <v>75</v>
      </c>
      <c r="BY339">
        <v>73.048990000000003</v>
      </c>
      <c r="BZ339" t="s">
        <v>75</v>
      </c>
      <c r="CA339">
        <v>21.674309999999998</v>
      </c>
      <c r="CB339" t="s">
        <v>75</v>
      </c>
      <c r="CC339">
        <v>0.10545</v>
      </c>
      <c r="CD339" t="s">
        <v>75</v>
      </c>
      <c r="CE339">
        <v>4.7400000000000003E-3</v>
      </c>
      <c r="CF339" t="s">
        <v>75</v>
      </c>
      <c r="CG339">
        <v>0.26484000000000002</v>
      </c>
      <c r="CH339" t="s">
        <v>75</v>
      </c>
      <c r="CI339">
        <v>0.88583999999999996</v>
      </c>
      <c r="CJ339" t="s">
        <v>75</v>
      </c>
      <c r="CK339">
        <v>3.8824000000000001</v>
      </c>
      <c r="CL339" t="s">
        <v>75</v>
      </c>
      <c r="CM339">
        <v>0.2379</v>
      </c>
      <c r="CN339" t="s">
        <v>75</v>
      </c>
      <c r="CO339">
        <v>0.33957999999999999</v>
      </c>
      <c r="CP339" t="s">
        <v>75</v>
      </c>
      <c r="CQ339">
        <v>7.0072400000000004</v>
      </c>
      <c r="CR339" t="s">
        <v>75</v>
      </c>
      <c r="CS339">
        <v>1140.6495199999999</v>
      </c>
      <c r="CT339" t="s">
        <v>75</v>
      </c>
      <c r="CV339" t="s">
        <v>76</v>
      </c>
      <c r="CW339">
        <v>26.811050000000002</v>
      </c>
      <c r="CX339" t="s">
        <v>75</v>
      </c>
      <c r="DA339">
        <v>310.95738</v>
      </c>
      <c r="DB339" t="s">
        <v>75</v>
      </c>
      <c r="DC339">
        <v>1.031E-2</v>
      </c>
      <c r="DD339" t="s">
        <v>75</v>
      </c>
      <c r="DE339">
        <v>21.55498</v>
      </c>
      <c r="DF339" t="s">
        <v>75</v>
      </c>
      <c r="DG339">
        <v>0.76893999999999996</v>
      </c>
      <c r="DH339" t="s">
        <v>75</v>
      </c>
      <c r="DI339">
        <v>4.0550300000000004</v>
      </c>
      <c r="DJ339" t="s">
        <v>75</v>
      </c>
      <c r="DL339" t="s">
        <v>76</v>
      </c>
      <c r="DN339" t="s">
        <v>76</v>
      </c>
      <c r="DO339">
        <v>26.443809999999999</v>
      </c>
      <c r="DP339" t="s">
        <v>75</v>
      </c>
    </row>
    <row r="340" spans="1:121" x14ac:dyDescent="0.2">
      <c r="D340" t="s">
        <v>64</v>
      </c>
      <c r="G340">
        <v>1.39E-3</v>
      </c>
      <c r="H340" t="s">
        <v>75</v>
      </c>
      <c r="I340">
        <v>1.2800000000000001E-3</v>
      </c>
      <c r="J340" t="s">
        <v>75</v>
      </c>
      <c r="K340">
        <v>1.46E-2</v>
      </c>
      <c r="L340" t="s">
        <v>75</v>
      </c>
      <c r="M340">
        <v>4.6000000000000001E-4</v>
      </c>
      <c r="N340" t="s">
        <v>75</v>
      </c>
      <c r="O340">
        <v>5.0000000000000002E-5</v>
      </c>
      <c r="P340" t="s">
        <v>75</v>
      </c>
      <c r="Q340">
        <v>8.8000000000000003E-4</v>
      </c>
      <c r="R340" t="s">
        <v>75</v>
      </c>
      <c r="S340">
        <v>1.4999999999999999E-4</v>
      </c>
      <c r="T340" t="s">
        <v>75</v>
      </c>
      <c r="U340">
        <v>4.0000000000000003E-5</v>
      </c>
      <c r="V340" t="s">
        <v>75</v>
      </c>
      <c r="W340">
        <v>1.0499999999999999E-3</v>
      </c>
      <c r="X340" t="s">
        <v>75</v>
      </c>
      <c r="Y340">
        <v>1.6230000000000001E-2</v>
      </c>
      <c r="Z340" t="s">
        <v>75</v>
      </c>
      <c r="AC340">
        <v>0.53841000000000006</v>
      </c>
      <c r="AD340" t="s">
        <v>75</v>
      </c>
      <c r="AE340">
        <v>2.4160900000000001</v>
      </c>
      <c r="AF340" t="s">
        <v>75</v>
      </c>
      <c r="AG340">
        <v>2.3000000000000001E-4</v>
      </c>
      <c r="AH340" t="s">
        <v>75</v>
      </c>
      <c r="AI340">
        <v>8.9899999999999997E-3</v>
      </c>
      <c r="AJ340" t="s">
        <v>75</v>
      </c>
      <c r="AK340">
        <v>5.0000000000000002E-5</v>
      </c>
      <c r="AL340" t="s">
        <v>75</v>
      </c>
      <c r="AM340">
        <v>5.1000000000000004E-4</v>
      </c>
      <c r="AN340" t="s">
        <v>75</v>
      </c>
      <c r="AO340">
        <v>3.8999999999999999E-4</v>
      </c>
      <c r="AP340" t="s">
        <v>75</v>
      </c>
      <c r="AQ340">
        <v>3.0000000000000001E-5</v>
      </c>
      <c r="AR340" t="s">
        <v>75</v>
      </c>
      <c r="AS340">
        <v>3.2000000000000003E-4</v>
      </c>
      <c r="AT340" t="s">
        <v>75</v>
      </c>
      <c r="AU340">
        <v>2.0000000000000002E-5</v>
      </c>
      <c r="AV340" t="s">
        <v>75</v>
      </c>
      <c r="AW340">
        <v>5.0000000000000002E-5</v>
      </c>
      <c r="AX340" t="s">
        <v>75</v>
      </c>
      <c r="AY340">
        <v>6.0999999999999997E-4</v>
      </c>
      <c r="AZ340" t="s">
        <v>75</v>
      </c>
      <c r="BC340">
        <v>3.6999999999999999E-4</v>
      </c>
      <c r="BD340" t="s">
        <v>75</v>
      </c>
      <c r="BE340">
        <v>1.8000000000000001E-4</v>
      </c>
      <c r="BF340" t="s">
        <v>75</v>
      </c>
      <c r="BG340">
        <v>9.2609999999999998E-2</v>
      </c>
      <c r="BH340" t="s">
        <v>75</v>
      </c>
      <c r="BI340">
        <v>8.1180000000000002E-2</v>
      </c>
      <c r="BJ340" t="s">
        <v>75</v>
      </c>
      <c r="BK340">
        <v>5.0279999999999998E-2</v>
      </c>
      <c r="BL340" t="s">
        <v>75</v>
      </c>
      <c r="BM340">
        <v>2.7499999999999998E-3</v>
      </c>
      <c r="BN340" t="s">
        <v>75</v>
      </c>
      <c r="BO340">
        <v>1.47241</v>
      </c>
      <c r="BP340" t="s">
        <v>75</v>
      </c>
      <c r="BQ340">
        <v>8.4399999999999996E-3</v>
      </c>
      <c r="BR340" t="s">
        <v>75</v>
      </c>
      <c r="BS340">
        <v>5.5E-2</v>
      </c>
      <c r="BT340" t="s">
        <v>75</v>
      </c>
      <c r="BU340">
        <v>0.65549000000000002</v>
      </c>
      <c r="BV340" t="s">
        <v>75</v>
      </c>
      <c r="BW340">
        <v>7.7030000000000001E-2</v>
      </c>
      <c r="BX340" t="s">
        <v>75</v>
      </c>
      <c r="BY340">
        <v>0.30108000000000001</v>
      </c>
      <c r="BZ340" t="s">
        <v>75</v>
      </c>
      <c r="CA340">
        <v>7.9670000000000005E-2</v>
      </c>
      <c r="CB340" t="s">
        <v>75</v>
      </c>
      <c r="CC340">
        <v>1.457E-2</v>
      </c>
      <c r="CD340" t="s">
        <v>75</v>
      </c>
      <c r="CE340">
        <v>1.01E-3</v>
      </c>
      <c r="CF340" t="s">
        <v>75</v>
      </c>
      <c r="CG340">
        <v>1.167E-2</v>
      </c>
      <c r="CH340" t="s">
        <v>75</v>
      </c>
      <c r="CI340">
        <v>8.5000000000000006E-3</v>
      </c>
      <c r="CJ340" t="s">
        <v>75</v>
      </c>
      <c r="CK340">
        <v>2.35E-2</v>
      </c>
      <c r="CL340" t="s">
        <v>75</v>
      </c>
      <c r="CM340">
        <v>1.83E-3</v>
      </c>
      <c r="CN340" t="s">
        <v>75</v>
      </c>
      <c r="CO340">
        <v>1.444E-2</v>
      </c>
      <c r="CP340" t="s">
        <v>75</v>
      </c>
      <c r="CQ340">
        <v>3.1370000000000002E-2</v>
      </c>
      <c r="CR340" t="s">
        <v>75</v>
      </c>
      <c r="CS340">
        <v>9.8711000000000002</v>
      </c>
      <c r="CT340" t="s">
        <v>75</v>
      </c>
      <c r="CW340">
        <v>0.35594999999999999</v>
      </c>
      <c r="CX340" t="s">
        <v>75</v>
      </c>
      <c r="DA340">
        <v>2.85412</v>
      </c>
      <c r="DB340" t="s">
        <v>75</v>
      </c>
      <c r="DC340">
        <v>2.2899999999999999E-3</v>
      </c>
      <c r="DD340" t="s">
        <v>75</v>
      </c>
      <c r="DE340">
        <v>0.33056999999999997</v>
      </c>
      <c r="DF340" t="s">
        <v>75</v>
      </c>
      <c r="DG340">
        <v>9.9589999999999998E-2</v>
      </c>
      <c r="DH340" t="s">
        <v>75</v>
      </c>
      <c r="DI340">
        <v>0.16108</v>
      </c>
      <c r="DJ340" t="s">
        <v>75</v>
      </c>
      <c r="DO340">
        <v>0.55559999999999998</v>
      </c>
      <c r="DP340" t="s">
        <v>75</v>
      </c>
    </row>
    <row r="341" spans="1:121" x14ac:dyDescent="0.2">
      <c r="D341" t="s">
        <v>65</v>
      </c>
      <c r="G341" t="s">
        <v>66</v>
      </c>
      <c r="I341" t="s">
        <v>66</v>
      </c>
      <c r="K341" t="s">
        <v>66</v>
      </c>
      <c r="M341" t="s">
        <v>66</v>
      </c>
      <c r="O341" t="s">
        <v>66</v>
      </c>
      <c r="Q341" t="s">
        <v>66</v>
      </c>
      <c r="S341" t="s">
        <v>66</v>
      </c>
      <c r="U341" t="s">
        <v>66</v>
      </c>
      <c r="W341" t="s">
        <v>66</v>
      </c>
      <c r="Y341" t="s">
        <v>66</v>
      </c>
      <c r="AA341" t="s">
        <v>66</v>
      </c>
      <c r="AC341" t="s">
        <v>66</v>
      </c>
      <c r="AE341" t="s">
        <v>66</v>
      </c>
      <c r="AG341" t="s">
        <v>66</v>
      </c>
      <c r="AI341" t="s">
        <v>66</v>
      </c>
      <c r="AK341" t="s">
        <v>66</v>
      </c>
      <c r="AM341" t="s">
        <v>66</v>
      </c>
      <c r="AO341" t="s">
        <v>66</v>
      </c>
      <c r="AQ341" t="s">
        <v>66</v>
      </c>
      <c r="AS341" t="s">
        <v>66</v>
      </c>
      <c r="AU341" t="s">
        <v>66</v>
      </c>
      <c r="AW341" t="s">
        <v>66</v>
      </c>
      <c r="AY341" t="s">
        <v>66</v>
      </c>
      <c r="BA341" t="s">
        <v>66</v>
      </c>
      <c r="BC341" t="s">
        <v>66</v>
      </c>
      <c r="BE341" t="s">
        <v>66</v>
      </c>
      <c r="BG341" t="s">
        <v>66</v>
      </c>
      <c r="BI341" t="s">
        <v>66</v>
      </c>
      <c r="BK341" t="s">
        <v>66</v>
      </c>
      <c r="BM341" t="s">
        <v>66</v>
      </c>
      <c r="BO341" t="s">
        <v>66</v>
      </c>
      <c r="BQ341" t="s">
        <v>66</v>
      </c>
      <c r="BS341" t="s">
        <v>66</v>
      </c>
      <c r="BU341" t="s">
        <v>66</v>
      </c>
      <c r="BW341" t="s">
        <v>66</v>
      </c>
      <c r="BY341" t="s">
        <v>66</v>
      </c>
      <c r="CA341" t="s">
        <v>66</v>
      </c>
      <c r="CC341" t="s">
        <v>66</v>
      </c>
      <c r="CE341" t="s">
        <v>66</v>
      </c>
      <c r="CG341" t="s">
        <v>66</v>
      </c>
      <c r="CI341" t="s">
        <v>66</v>
      </c>
      <c r="CK341" t="s">
        <v>66</v>
      </c>
      <c r="CM341" t="s">
        <v>66</v>
      </c>
      <c r="CO341" t="s">
        <v>66</v>
      </c>
      <c r="CQ341" t="s">
        <v>66</v>
      </c>
      <c r="CS341" t="s">
        <v>66</v>
      </c>
      <c r="CU341" t="s">
        <v>66</v>
      </c>
      <c r="CW341" t="s">
        <v>66</v>
      </c>
      <c r="CY341" t="s">
        <v>66</v>
      </c>
      <c r="DA341" t="s">
        <v>66</v>
      </c>
      <c r="DC341" t="s">
        <v>66</v>
      </c>
      <c r="DE341" t="s">
        <v>66</v>
      </c>
      <c r="DG341" t="s">
        <v>66</v>
      </c>
      <c r="DI341" t="s">
        <v>66</v>
      </c>
      <c r="DK341" t="s">
        <v>66</v>
      </c>
      <c r="DM341" t="s">
        <v>66</v>
      </c>
      <c r="DO341" t="s">
        <v>66</v>
      </c>
      <c r="DQ341" t="s">
        <v>66</v>
      </c>
    </row>
    <row r="342" spans="1:121" x14ac:dyDescent="0.2">
      <c r="A342" t="s">
        <v>638</v>
      </c>
      <c r="D342" t="s">
        <v>60</v>
      </c>
      <c r="E342" t="s">
        <v>61</v>
      </c>
      <c r="G342">
        <v>43814.5</v>
      </c>
      <c r="I342">
        <v>751.8</v>
      </c>
      <c r="K342">
        <v>3231872.7</v>
      </c>
      <c r="M342">
        <v>142084.79999999999</v>
      </c>
      <c r="O342">
        <v>821.2</v>
      </c>
      <c r="Q342">
        <v>35620.6</v>
      </c>
      <c r="S342">
        <v>2231</v>
      </c>
      <c r="U342">
        <v>1737.8</v>
      </c>
      <c r="W342">
        <v>193447.3</v>
      </c>
      <c r="Y342">
        <v>160384.6</v>
      </c>
      <c r="AA342">
        <v>10449633.300000001</v>
      </c>
      <c r="AC342">
        <v>11736878.6</v>
      </c>
      <c r="AE342">
        <v>57962543</v>
      </c>
      <c r="AG342">
        <v>185190.1</v>
      </c>
      <c r="AI342">
        <v>374336.4</v>
      </c>
      <c r="AK342">
        <v>24857.4</v>
      </c>
      <c r="AM342">
        <v>2671.1</v>
      </c>
      <c r="AO342">
        <v>303.10000000000002</v>
      </c>
      <c r="AQ342">
        <v>337.5</v>
      </c>
      <c r="AS342">
        <v>294.8</v>
      </c>
      <c r="AU342">
        <v>228.1</v>
      </c>
      <c r="AW342">
        <v>246.9</v>
      </c>
      <c r="AY342">
        <v>22300.3</v>
      </c>
      <c r="BA342">
        <v>677726.6</v>
      </c>
      <c r="BC342">
        <v>2250.8000000000002</v>
      </c>
      <c r="BE342">
        <v>86385.5</v>
      </c>
      <c r="BG342">
        <v>4915287.5</v>
      </c>
      <c r="BI342">
        <v>4170552.1</v>
      </c>
      <c r="BK342">
        <v>10197894.800000001</v>
      </c>
      <c r="BM342">
        <v>1802509.2</v>
      </c>
      <c r="BO342">
        <v>41415979.299999997</v>
      </c>
      <c r="BQ342">
        <v>48511.7</v>
      </c>
      <c r="BS342">
        <v>117488.6</v>
      </c>
      <c r="BU342">
        <v>7179075.7000000002</v>
      </c>
      <c r="BW342">
        <v>370213.8</v>
      </c>
      <c r="BY342">
        <v>839743.1</v>
      </c>
      <c r="CA342">
        <v>43335.4</v>
      </c>
      <c r="CC342">
        <v>288</v>
      </c>
      <c r="CE342">
        <v>405.6</v>
      </c>
      <c r="CG342">
        <v>18130.2</v>
      </c>
      <c r="CI342">
        <v>184391.2</v>
      </c>
      <c r="CK342">
        <v>287208.90000000002</v>
      </c>
      <c r="CM342">
        <v>34349.800000000003</v>
      </c>
      <c r="CO342">
        <v>4022.5</v>
      </c>
      <c r="CQ342">
        <v>575530.19999999995</v>
      </c>
      <c r="CS342">
        <v>13894017.699999999</v>
      </c>
      <c r="CU342">
        <v>1025815.4</v>
      </c>
      <c r="CW342">
        <v>1302954.1000000001</v>
      </c>
      <c r="CY342">
        <v>59692.800000000003</v>
      </c>
      <c r="DA342">
        <v>22654113</v>
      </c>
      <c r="DC342">
        <v>376.9</v>
      </c>
      <c r="DE342">
        <v>88751.1</v>
      </c>
      <c r="DG342">
        <v>130.5</v>
      </c>
      <c r="DI342">
        <v>1820.1</v>
      </c>
      <c r="DK342">
        <v>824.1</v>
      </c>
      <c r="DM342">
        <v>290555.90000000002</v>
      </c>
      <c r="DO342">
        <v>323655.3</v>
      </c>
      <c r="DQ342">
        <v>15876.6</v>
      </c>
    </row>
    <row r="343" spans="1:121" x14ac:dyDescent="0.2">
      <c r="D343" t="s">
        <v>62</v>
      </c>
      <c r="E343" t="s">
        <v>61</v>
      </c>
      <c r="G343">
        <v>207.3</v>
      </c>
      <c r="I343">
        <v>31.6</v>
      </c>
      <c r="K343">
        <v>31578.6</v>
      </c>
      <c r="M343">
        <v>1489.1</v>
      </c>
      <c r="O343">
        <v>99.8</v>
      </c>
      <c r="Q343">
        <v>259.60000000000002</v>
      </c>
      <c r="S343">
        <v>58.8</v>
      </c>
      <c r="U343">
        <v>10</v>
      </c>
      <c r="W343">
        <v>595.9</v>
      </c>
      <c r="Y343">
        <v>462.3</v>
      </c>
      <c r="AA343">
        <v>118525.8</v>
      </c>
      <c r="AC343">
        <v>136553.29999999999</v>
      </c>
      <c r="AE343">
        <v>918366.2</v>
      </c>
      <c r="AG343">
        <v>1897.6</v>
      </c>
      <c r="AI343">
        <v>2947.9</v>
      </c>
      <c r="AK343">
        <v>459</v>
      </c>
      <c r="AM343">
        <v>118.9</v>
      </c>
      <c r="AO343">
        <v>32.5</v>
      </c>
      <c r="AQ343">
        <v>48.5</v>
      </c>
      <c r="AS343">
        <v>9.6</v>
      </c>
      <c r="AU343">
        <v>11.3</v>
      </c>
      <c r="AW343">
        <v>44.1</v>
      </c>
      <c r="AY343">
        <v>329.3</v>
      </c>
      <c r="BA343">
        <v>6459.1</v>
      </c>
      <c r="BC343">
        <v>41.4</v>
      </c>
      <c r="BE343">
        <v>457.2</v>
      </c>
      <c r="BG343">
        <v>95532.3</v>
      </c>
      <c r="BI343">
        <v>71813.3</v>
      </c>
      <c r="BK343">
        <v>219716</v>
      </c>
      <c r="BM343">
        <v>24875.9</v>
      </c>
      <c r="BO343">
        <v>492456.3</v>
      </c>
      <c r="BQ343">
        <v>182.5</v>
      </c>
      <c r="BS343">
        <v>1920.6</v>
      </c>
      <c r="BU343">
        <v>58163.1</v>
      </c>
      <c r="BW343">
        <v>4753.1000000000004</v>
      </c>
      <c r="BY343">
        <v>1067.3</v>
      </c>
      <c r="CA343">
        <v>317.8</v>
      </c>
      <c r="CC343">
        <v>47.8</v>
      </c>
      <c r="CE343">
        <v>74.599999999999994</v>
      </c>
      <c r="CG343">
        <v>451.5</v>
      </c>
      <c r="CI343">
        <v>1063.3</v>
      </c>
      <c r="CK343">
        <v>3396.1</v>
      </c>
      <c r="CM343">
        <v>875.6</v>
      </c>
      <c r="CO343">
        <v>89.7</v>
      </c>
      <c r="CQ343">
        <v>14643.9</v>
      </c>
      <c r="CS343">
        <v>187723.8</v>
      </c>
      <c r="CU343">
        <v>9662.2000000000007</v>
      </c>
      <c r="CW343">
        <v>25573.4</v>
      </c>
      <c r="CY343">
        <v>1080.2</v>
      </c>
      <c r="DA343">
        <v>91636.3</v>
      </c>
      <c r="DC343">
        <v>115.2</v>
      </c>
      <c r="DE343">
        <v>695.6</v>
      </c>
      <c r="DG343">
        <v>32.5</v>
      </c>
      <c r="DI343">
        <v>155.5</v>
      </c>
      <c r="DK343">
        <v>75.3</v>
      </c>
      <c r="DM343">
        <v>2755.9</v>
      </c>
      <c r="DO343">
        <v>4158.2</v>
      </c>
      <c r="DQ343">
        <v>428.3</v>
      </c>
    </row>
    <row r="344" spans="1:121" x14ac:dyDescent="0.2">
      <c r="D344" t="s">
        <v>63</v>
      </c>
      <c r="G344">
        <v>0.31379000000000001</v>
      </c>
      <c r="H344" t="s">
        <v>75</v>
      </c>
      <c r="I344">
        <v>1.363E-2</v>
      </c>
      <c r="J344" t="s">
        <v>75</v>
      </c>
      <c r="K344">
        <v>4.1081099999999999</v>
      </c>
      <c r="L344" t="s">
        <v>75</v>
      </c>
      <c r="M344">
        <v>0.11018</v>
      </c>
      <c r="N344" t="s">
        <v>75</v>
      </c>
      <c r="O344">
        <v>3.6099999999999999E-3</v>
      </c>
      <c r="P344" t="s">
        <v>75</v>
      </c>
      <c r="Q344">
        <v>0.25106000000000001</v>
      </c>
      <c r="R344" t="s">
        <v>75</v>
      </c>
      <c r="S344">
        <v>1.2600000000000001E-3</v>
      </c>
      <c r="T344" t="s">
        <v>75</v>
      </c>
      <c r="U344">
        <v>1.2840000000000001E-2</v>
      </c>
      <c r="V344" t="s">
        <v>75</v>
      </c>
      <c r="W344">
        <v>0.41399000000000002</v>
      </c>
      <c r="X344" t="s">
        <v>75</v>
      </c>
      <c r="Y344">
        <v>2.38225</v>
      </c>
      <c r="Z344" t="s">
        <v>75</v>
      </c>
      <c r="AB344" t="s">
        <v>76</v>
      </c>
      <c r="AC344">
        <v>41.809759999999997</v>
      </c>
      <c r="AD344" t="s">
        <v>75</v>
      </c>
      <c r="AE344">
        <v>217.20903999999999</v>
      </c>
      <c r="AF344" t="s">
        <v>75</v>
      </c>
      <c r="AG344">
        <v>0.12908</v>
      </c>
      <c r="AH344" t="s">
        <v>75</v>
      </c>
      <c r="AI344">
        <v>2.3668100000000001</v>
      </c>
      <c r="AJ344" t="s">
        <v>75</v>
      </c>
      <c r="AK344">
        <v>1.4919999999999999E-2</v>
      </c>
      <c r="AL344" t="s">
        <v>75</v>
      </c>
      <c r="AM344">
        <v>-3.6800000000000001E-3</v>
      </c>
      <c r="AN344" t="s">
        <v>75</v>
      </c>
      <c r="AO344">
        <v>2.5400000000000002E-3</v>
      </c>
      <c r="AP344" t="s">
        <v>75</v>
      </c>
      <c r="AQ344">
        <v>4.8999999999999998E-4</v>
      </c>
      <c r="AR344" t="s">
        <v>75</v>
      </c>
      <c r="AS344">
        <v>2.7E-4</v>
      </c>
      <c r="AT344" t="s">
        <v>75</v>
      </c>
      <c r="AU344">
        <v>1.5E-3</v>
      </c>
      <c r="AV344" t="s">
        <v>75</v>
      </c>
      <c r="AW344">
        <v>-2.0000000000000001E-4</v>
      </c>
      <c r="AX344" t="s">
        <v>75</v>
      </c>
      <c r="AY344">
        <v>6.1620000000000001E-2</v>
      </c>
      <c r="AZ344" t="s">
        <v>75</v>
      </c>
      <c r="BC344">
        <v>-2.0531700000000002</v>
      </c>
      <c r="BD344" t="s">
        <v>75</v>
      </c>
      <c r="BE344">
        <v>8.5080000000000003E-2</v>
      </c>
      <c r="BF344" t="s">
        <v>75</v>
      </c>
      <c r="BG344">
        <v>14.098599999999999</v>
      </c>
      <c r="BH344" t="s">
        <v>75</v>
      </c>
      <c r="BI344">
        <v>13.7746</v>
      </c>
      <c r="BJ344" t="s">
        <v>75</v>
      </c>
      <c r="BK344">
        <v>14.14954</v>
      </c>
      <c r="BL344" t="s">
        <v>75</v>
      </c>
      <c r="BM344">
        <v>1.68468</v>
      </c>
      <c r="BN344" t="s">
        <v>75</v>
      </c>
      <c r="BO344">
        <v>911.87855999999999</v>
      </c>
      <c r="BP344" t="s">
        <v>75</v>
      </c>
      <c r="BQ344">
        <v>1.2205699999999999</v>
      </c>
      <c r="BR344" t="s">
        <v>75</v>
      </c>
      <c r="BS344">
        <v>2.1713300000000002</v>
      </c>
      <c r="BT344" t="s">
        <v>75</v>
      </c>
      <c r="BU344">
        <v>276.19974999999999</v>
      </c>
      <c r="BV344" t="s">
        <v>75</v>
      </c>
      <c r="BW344">
        <v>156.76996</v>
      </c>
      <c r="BX344" t="s">
        <v>75</v>
      </c>
      <c r="BY344">
        <v>227.54944</v>
      </c>
      <c r="BZ344" t="s">
        <v>75</v>
      </c>
      <c r="CA344">
        <v>19.592829999999999</v>
      </c>
      <c r="CB344" t="s">
        <v>75</v>
      </c>
      <c r="CC344">
        <v>4.7039999999999998E-2</v>
      </c>
      <c r="CD344" t="s">
        <v>75</v>
      </c>
      <c r="CE344">
        <v>4.3899999999999998E-3</v>
      </c>
      <c r="CF344" t="s">
        <v>75</v>
      </c>
      <c r="CG344">
        <v>0.29144999999999999</v>
      </c>
      <c r="CH344" t="s">
        <v>75</v>
      </c>
      <c r="CI344">
        <v>2.3747799999999999</v>
      </c>
      <c r="CJ344" t="s">
        <v>75</v>
      </c>
      <c r="CK344">
        <v>3.7331699999999999</v>
      </c>
      <c r="CL344" t="s">
        <v>75</v>
      </c>
      <c r="CM344">
        <v>0.48041</v>
      </c>
      <c r="CN344" t="s">
        <v>75</v>
      </c>
      <c r="CO344">
        <v>0.23754</v>
      </c>
      <c r="CP344" t="s">
        <v>75</v>
      </c>
      <c r="CQ344">
        <v>17.366209999999999</v>
      </c>
      <c r="CR344" t="s">
        <v>75</v>
      </c>
      <c r="CS344">
        <v>3631.4115400000001</v>
      </c>
      <c r="CT344" t="s">
        <v>75</v>
      </c>
      <c r="CV344" t="s">
        <v>76</v>
      </c>
      <c r="CW344">
        <v>48.306229999999999</v>
      </c>
      <c r="CX344" t="s">
        <v>75</v>
      </c>
      <c r="DA344">
        <v>1387.3139799999999</v>
      </c>
      <c r="DB344" t="s">
        <v>75</v>
      </c>
      <c r="DC344">
        <v>0.17008999999999999</v>
      </c>
      <c r="DD344" t="s">
        <v>75</v>
      </c>
      <c r="DE344">
        <v>41.245130000000003</v>
      </c>
      <c r="DF344" t="s">
        <v>75</v>
      </c>
      <c r="DG344">
        <v>0.64624000000000004</v>
      </c>
      <c r="DH344" t="s">
        <v>75</v>
      </c>
      <c r="DI344">
        <v>2.8450199999999999</v>
      </c>
      <c r="DJ344" t="s">
        <v>75</v>
      </c>
      <c r="DL344" t="s">
        <v>76</v>
      </c>
      <c r="DN344" t="s">
        <v>76</v>
      </c>
      <c r="DO344">
        <v>49.19509</v>
      </c>
      <c r="DP344" t="s">
        <v>75</v>
      </c>
    </row>
    <row r="345" spans="1:121" x14ac:dyDescent="0.2">
      <c r="D345" t="s">
        <v>64</v>
      </c>
      <c r="G345">
        <v>1.6800000000000001E-3</v>
      </c>
      <c r="H345" t="s">
        <v>75</v>
      </c>
      <c r="I345">
        <v>1.3600000000000001E-3</v>
      </c>
      <c r="J345" t="s">
        <v>75</v>
      </c>
      <c r="K345">
        <v>4.5500000000000002E-3</v>
      </c>
      <c r="L345" t="s">
        <v>75</v>
      </c>
      <c r="M345">
        <v>6.9999999999999999E-4</v>
      </c>
      <c r="N345" t="s">
        <v>75</v>
      </c>
      <c r="O345">
        <v>8.0000000000000007E-5</v>
      </c>
      <c r="P345" t="s">
        <v>75</v>
      </c>
      <c r="Q345">
        <v>2.5300000000000001E-3</v>
      </c>
      <c r="R345" t="s">
        <v>75</v>
      </c>
      <c r="S345">
        <v>6.9999999999999994E-5</v>
      </c>
      <c r="T345" t="s">
        <v>75</v>
      </c>
      <c r="U345">
        <v>1E-4</v>
      </c>
      <c r="V345" t="s">
        <v>75</v>
      </c>
      <c r="W345">
        <v>2.7299999999999998E-3</v>
      </c>
      <c r="X345" t="s">
        <v>75</v>
      </c>
      <c r="Y345">
        <v>2.043E-2</v>
      </c>
      <c r="Z345" t="s">
        <v>75</v>
      </c>
      <c r="AC345">
        <v>0.75851000000000002</v>
      </c>
      <c r="AD345" t="s">
        <v>75</v>
      </c>
      <c r="AE345">
        <v>5.0094399999999997</v>
      </c>
      <c r="AF345" t="s">
        <v>75</v>
      </c>
      <c r="AG345">
        <v>1.8699999999999999E-3</v>
      </c>
      <c r="AH345" t="s">
        <v>75</v>
      </c>
      <c r="AI345">
        <v>3.3309999999999999E-2</v>
      </c>
      <c r="AJ345" t="s">
        <v>75</v>
      </c>
      <c r="AK345">
        <v>2.2000000000000001E-4</v>
      </c>
      <c r="AL345" t="s">
        <v>75</v>
      </c>
      <c r="AM345">
        <v>1.1E-4</v>
      </c>
      <c r="AN345" t="s">
        <v>75</v>
      </c>
      <c r="AO345">
        <v>1.2999999999999999E-4</v>
      </c>
      <c r="AP345" t="s">
        <v>75</v>
      </c>
      <c r="AQ345">
        <v>2.0000000000000001E-4</v>
      </c>
      <c r="AR345" t="s">
        <v>75</v>
      </c>
      <c r="AS345">
        <v>5.0000000000000002E-5</v>
      </c>
      <c r="AT345" t="s">
        <v>75</v>
      </c>
      <c r="AU345">
        <v>1.0000000000000001E-5</v>
      </c>
      <c r="AV345" t="s">
        <v>75</v>
      </c>
      <c r="AW345">
        <v>1.1E-4</v>
      </c>
      <c r="AX345" t="s">
        <v>75</v>
      </c>
      <c r="AY345">
        <v>5.9000000000000003E-4</v>
      </c>
      <c r="AZ345" t="s">
        <v>75</v>
      </c>
      <c r="BC345">
        <v>1.1E-4</v>
      </c>
      <c r="BD345" t="s">
        <v>75</v>
      </c>
      <c r="BE345">
        <v>5.0000000000000001E-4</v>
      </c>
      <c r="BF345" t="s">
        <v>75</v>
      </c>
      <c r="BG345">
        <v>0.35894999999999999</v>
      </c>
      <c r="BH345" t="s">
        <v>75</v>
      </c>
      <c r="BI345">
        <v>0.35198000000000002</v>
      </c>
      <c r="BJ345" t="s">
        <v>75</v>
      </c>
      <c r="BK345">
        <v>0.35178999999999999</v>
      </c>
      <c r="BL345" t="s">
        <v>75</v>
      </c>
      <c r="BM345">
        <v>3.15E-2</v>
      </c>
      <c r="BN345" t="s">
        <v>75</v>
      </c>
      <c r="BO345">
        <v>25.87003</v>
      </c>
      <c r="BP345" t="s">
        <v>75</v>
      </c>
      <c r="BQ345">
        <v>2.6450000000000001E-2</v>
      </c>
      <c r="BR345" t="s">
        <v>75</v>
      </c>
      <c r="BS345">
        <v>8.7359999999999993E-2</v>
      </c>
      <c r="BT345" t="s">
        <v>75</v>
      </c>
      <c r="BU345">
        <v>7.8199399999999999</v>
      </c>
      <c r="BV345" t="s">
        <v>75</v>
      </c>
      <c r="BW345">
        <v>4.8150300000000001</v>
      </c>
      <c r="BX345" t="s">
        <v>75</v>
      </c>
      <c r="BY345">
        <v>4.0285700000000002</v>
      </c>
      <c r="BZ345" t="s">
        <v>75</v>
      </c>
      <c r="CA345">
        <v>0.57867000000000002</v>
      </c>
      <c r="CB345" t="s">
        <v>75</v>
      </c>
      <c r="CC345">
        <v>9.4599999999999997E-3</v>
      </c>
      <c r="CD345" t="s">
        <v>75</v>
      </c>
      <c r="CE345">
        <v>1.0499999999999999E-3</v>
      </c>
      <c r="CF345" t="s">
        <v>75</v>
      </c>
      <c r="CG345">
        <v>1.3339999999999999E-2</v>
      </c>
      <c r="CH345" t="s">
        <v>75</v>
      </c>
      <c r="CI345">
        <v>4.6370000000000001E-2</v>
      </c>
      <c r="CJ345" t="s">
        <v>75</v>
      </c>
      <c r="CK345">
        <v>8.9969999999999994E-2</v>
      </c>
      <c r="CL345" t="s">
        <v>75</v>
      </c>
      <c r="CM345">
        <v>1.6789999999999999E-2</v>
      </c>
      <c r="CN345" t="s">
        <v>75</v>
      </c>
      <c r="CO345">
        <v>6.0400000000000002E-3</v>
      </c>
      <c r="CP345" t="s">
        <v>75</v>
      </c>
      <c r="CQ345">
        <v>0.57286000000000004</v>
      </c>
      <c r="CR345" t="s">
        <v>75</v>
      </c>
      <c r="CS345">
        <v>98.880489999999995</v>
      </c>
      <c r="CT345" t="s">
        <v>75</v>
      </c>
      <c r="CW345">
        <v>1.67388</v>
      </c>
      <c r="CX345" t="s">
        <v>75</v>
      </c>
      <c r="DA345">
        <v>42.142240000000001</v>
      </c>
      <c r="DB345" t="s">
        <v>75</v>
      </c>
      <c r="DC345">
        <v>5.7020000000000001E-2</v>
      </c>
      <c r="DD345" t="s">
        <v>75</v>
      </c>
      <c r="DE345">
        <v>1.0511200000000001</v>
      </c>
      <c r="DF345" t="s">
        <v>75</v>
      </c>
      <c r="DG345">
        <v>0.19170000000000001</v>
      </c>
      <c r="DH345" t="s">
        <v>75</v>
      </c>
      <c r="DI345">
        <v>0.36570000000000003</v>
      </c>
      <c r="DJ345" t="s">
        <v>75</v>
      </c>
      <c r="DO345">
        <v>1.9596800000000001</v>
      </c>
      <c r="DP345" t="s">
        <v>75</v>
      </c>
    </row>
    <row r="346" spans="1:121" x14ac:dyDescent="0.2">
      <c r="D346" t="s">
        <v>65</v>
      </c>
      <c r="G346" t="s">
        <v>66</v>
      </c>
      <c r="I346" t="s">
        <v>66</v>
      </c>
      <c r="K346" t="s">
        <v>66</v>
      </c>
      <c r="M346" t="s">
        <v>66</v>
      </c>
      <c r="O346" t="s">
        <v>66</v>
      </c>
      <c r="Q346" t="s">
        <v>66</v>
      </c>
      <c r="S346" t="s">
        <v>66</v>
      </c>
      <c r="U346" t="s">
        <v>66</v>
      </c>
      <c r="W346" t="s">
        <v>66</v>
      </c>
      <c r="Y346" t="s">
        <v>66</v>
      </c>
      <c r="AA346" t="s">
        <v>66</v>
      </c>
      <c r="AC346" t="s">
        <v>66</v>
      </c>
      <c r="AE346" t="s">
        <v>66</v>
      </c>
      <c r="AG346" t="s">
        <v>66</v>
      </c>
      <c r="AI346" t="s">
        <v>66</v>
      </c>
      <c r="AK346" t="s">
        <v>66</v>
      </c>
      <c r="AM346" t="s">
        <v>66</v>
      </c>
      <c r="AO346" t="s">
        <v>66</v>
      </c>
      <c r="AQ346" t="s">
        <v>66</v>
      </c>
      <c r="AS346" t="s">
        <v>66</v>
      </c>
      <c r="AU346" t="s">
        <v>66</v>
      </c>
      <c r="AW346" t="s">
        <v>66</v>
      </c>
      <c r="AY346" t="s">
        <v>66</v>
      </c>
      <c r="BA346" t="s">
        <v>66</v>
      </c>
      <c r="BC346" t="s">
        <v>66</v>
      </c>
      <c r="BE346" t="s">
        <v>66</v>
      </c>
      <c r="BG346" t="s">
        <v>66</v>
      </c>
      <c r="BI346" t="s">
        <v>66</v>
      </c>
      <c r="BK346" t="s">
        <v>66</v>
      </c>
      <c r="BM346" t="s">
        <v>66</v>
      </c>
      <c r="BO346" t="s">
        <v>66</v>
      </c>
      <c r="BQ346" t="s">
        <v>66</v>
      </c>
      <c r="BS346" t="s">
        <v>66</v>
      </c>
      <c r="BU346" t="s">
        <v>66</v>
      </c>
      <c r="BW346" t="s">
        <v>66</v>
      </c>
      <c r="BY346" t="s">
        <v>66</v>
      </c>
      <c r="CA346" t="s">
        <v>66</v>
      </c>
      <c r="CC346" t="s">
        <v>66</v>
      </c>
      <c r="CE346" t="s">
        <v>66</v>
      </c>
      <c r="CG346" t="s">
        <v>66</v>
      </c>
      <c r="CI346" t="s">
        <v>66</v>
      </c>
      <c r="CK346" t="s">
        <v>66</v>
      </c>
      <c r="CM346" t="s">
        <v>66</v>
      </c>
      <c r="CO346" t="s">
        <v>66</v>
      </c>
      <c r="CQ346" t="s">
        <v>66</v>
      </c>
      <c r="CS346" t="s">
        <v>66</v>
      </c>
      <c r="CU346" t="s">
        <v>66</v>
      </c>
      <c r="CW346" t="s">
        <v>66</v>
      </c>
      <c r="CY346" t="s">
        <v>66</v>
      </c>
      <c r="DA346" t="s">
        <v>66</v>
      </c>
      <c r="DC346" t="s">
        <v>66</v>
      </c>
      <c r="DE346" t="s">
        <v>66</v>
      </c>
      <c r="DG346" t="s">
        <v>66</v>
      </c>
      <c r="DI346" t="s">
        <v>66</v>
      </c>
      <c r="DK346" t="s">
        <v>66</v>
      </c>
      <c r="DM346" t="s">
        <v>66</v>
      </c>
      <c r="DO346" t="s">
        <v>66</v>
      </c>
      <c r="DQ346" t="s">
        <v>66</v>
      </c>
    </row>
    <row r="347" spans="1:121" x14ac:dyDescent="0.2">
      <c r="A347" t="s">
        <v>639</v>
      </c>
      <c r="D347" t="s">
        <v>60</v>
      </c>
      <c r="E347" t="s">
        <v>61</v>
      </c>
      <c r="G347">
        <v>31127.4</v>
      </c>
      <c r="I347">
        <v>758.7</v>
      </c>
      <c r="K347">
        <v>1888567.8</v>
      </c>
      <c r="M347">
        <v>111219.4</v>
      </c>
      <c r="O347">
        <v>527.20000000000005</v>
      </c>
      <c r="Q347">
        <v>24548.400000000001</v>
      </c>
      <c r="S347">
        <v>1955.7</v>
      </c>
      <c r="U347">
        <v>1676.3</v>
      </c>
      <c r="W347">
        <v>107991.3</v>
      </c>
      <c r="Y347">
        <v>122241.2</v>
      </c>
      <c r="AA347">
        <v>10218009.5</v>
      </c>
      <c r="AC347">
        <v>10423334.300000001</v>
      </c>
      <c r="AE347">
        <v>60367504.5</v>
      </c>
      <c r="AG347">
        <v>109802.9</v>
      </c>
      <c r="AI347">
        <v>218624.7</v>
      </c>
      <c r="AK347">
        <v>23365.4</v>
      </c>
      <c r="AM347">
        <v>1383.3</v>
      </c>
      <c r="AO347">
        <v>146.9</v>
      </c>
      <c r="AQ347">
        <v>297.89999999999998</v>
      </c>
      <c r="AS347">
        <v>329.2</v>
      </c>
      <c r="AU347">
        <v>268.8</v>
      </c>
      <c r="AW347">
        <v>220.8</v>
      </c>
      <c r="AY347">
        <v>13626.6</v>
      </c>
      <c r="BA347">
        <v>689440.7</v>
      </c>
      <c r="BC347">
        <v>2286.1999999999998</v>
      </c>
      <c r="BE347">
        <v>48165.1</v>
      </c>
      <c r="BG347">
        <v>3485843</v>
      </c>
      <c r="BI347">
        <v>2963330.7</v>
      </c>
      <c r="BK347">
        <v>6401166.5999999996</v>
      </c>
      <c r="BM347">
        <v>1185748.7</v>
      </c>
      <c r="BO347">
        <v>30165693.300000001</v>
      </c>
      <c r="BQ347">
        <v>45082.7</v>
      </c>
      <c r="BS347">
        <v>104762.7</v>
      </c>
      <c r="BU347">
        <v>6082742</v>
      </c>
      <c r="BW347">
        <v>327851.40000000002</v>
      </c>
      <c r="BY347">
        <v>493187</v>
      </c>
      <c r="CA347">
        <v>44133.1</v>
      </c>
      <c r="CC347">
        <v>143.5</v>
      </c>
      <c r="CE347">
        <v>527</v>
      </c>
      <c r="CG347">
        <v>15163.4</v>
      </c>
      <c r="CI347">
        <v>110898.9</v>
      </c>
      <c r="CK347">
        <v>241205.2</v>
      </c>
      <c r="CM347">
        <v>30499.3</v>
      </c>
      <c r="CO347">
        <v>3322.6</v>
      </c>
      <c r="CQ347">
        <v>421775.6</v>
      </c>
      <c r="CS347">
        <v>10251591.5</v>
      </c>
      <c r="CU347">
        <v>1021410.5</v>
      </c>
      <c r="CW347">
        <v>1180871.7</v>
      </c>
      <c r="CY347">
        <v>60912.3</v>
      </c>
      <c r="DA347">
        <v>13438741</v>
      </c>
      <c r="DC347">
        <v>142.19999999999999</v>
      </c>
      <c r="DE347">
        <v>71056.3</v>
      </c>
      <c r="DG347">
        <v>210.5</v>
      </c>
      <c r="DI347">
        <v>3054</v>
      </c>
      <c r="DK347">
        <v>866.4</v>
      </c>
      <c r="DM347">
        <v>275129.3</v>
      </c>
      <c r="DO347">
        <v>282716.7</v>
      </c>
      <c r="DQ347">
        <v>15998.5</v>
      </c>
    </row>
    <row r="348" spans="1:121" x14ac:dyDescent="0.2">
      <c r="D348" t="s">
        <v>62</v>
      </c>
      <c r="E348" t="s">
        <v>61</v>
      </c>
      <c r="G348">
        <v>307.60000000000002</v>
      </c>
      <c r="I348">
        <v>50</v>
      </c>
      <c r="K348">
        <v>18954.3</v>
      </c>
      <c r="M348">
        <v>1853.2</v>
      </c>
      <c r="O348">
        <v>66.3</v>
      </c>
      <c r="Q348">
        <v>395.9</v>
      </c>
      <c r="S348">
        <v>75.099999999999994</v>
      </c>
      <c r="U348">
        <v>152.9</v>
      </c>
      <c r="W348">
        <v>757.6</v>
      </c>
      <c r="Y348">
        <v>1455.9</v>
      </c>
      <c r="AA348">
        <v>52045.9</v>
      </c>
      <c r="AC348">
        <v>165004.6</v>
      </c>
      <c r="AE348">
        <v>829721.4</v>
      </c>
      <c r="AG348">
        <v>660.3</v>
      </c>
      <c r="AI348">
        <v>2005.9</v>
      </c>
      <c r="AK348">
        <v>151.1</v>
      </c>
      <c r="AM348">
        <v>43.8</v>
      </c>
      <c r="AO348">
        <v>41.3</v>
      </c>
      <c r="AQ348">
        <v>81.599999999999994</v>
      </c>
      <c r="AS348">
        <v>33.5</v>
      </c>
      <c r="AU348">
        <v>27.1</v>
      </c>
      <c r="AW348">
        <v>50.6</v>
      </c>
      <c r="AY348">
        <v>114.9</v>
      </c>
      <c r="BA348">
        <v>3998.4</v>
      </c>
      <c r="BC348">
        <v>195.2</v>
      </c>
      <c r="BE348">
        <v>833.7</v>
      </c>
      <c r="BG348">
        <v>15049.8</v>
      </c>
      <c r="BI348">
        <v>24288.9</v>
      </c>
      <c r="BK348">
        <v>36776.300000000003</v>
      </c>
      <c r="BM348">
        <v>13973.4</v>
      </c>
      <c r="BO348">
        <v>45500</v>
      </c>
      <c r="BQ348">
        <v>723.6</v>
      </c>
      <c r="BS348">
        <v>517.5</v>
      </c>
      <c r="BU348">
        <v>50666.3</v>
      </c>
      <c r="BW348">
        <v>8024.3</v>
      </c>
      <c r="BY348">
        <v>4727.7</v>
      </c>
      <c r="CA348">
        <v>328.6</v>
      </c>
      <c r="CC348">
        <v>8.5</v>
      </c>
      <c r="CE348">
        <v>42.2</v>
      </c>
      <c r="CG348">
        <v>91.1</v>
      </c>
      <c r="CI348">
        <v>1062.5999999999999</v>
      </c>
      <c r="CK348">
        <v>3982.9</v>
      </c>
      <c r="CM348">
        <v>101.8</v>
      </c>
      <c r="CO348">
        <v>70.2</v>
      </c>
      <c r="CQ348">
        <v>2397.6999999999998</v>
      </c>
      <c r="CS348">
        <v>133330.70000000001</v>
      </c>
      <c r="CU348">
        <v>7291.9</v>
      </c>
      <c r="CW348">
        <v>11250.3</v>
      </c>
      <c r="CY348">
        <v>395.8</v>
      </c>
      <c r="DA348">
        <v>132810.4</v>
      </c>
      <c r="DC348">
        <v>12.5</v>
      </c>
      <c r="DE348">
        <v>934.1</v>
      </c>
      <c r="DG348">
        <v>9.3000000000000007</v>
      </c>
      <c r="DI348">
        <v>110.1</v>
      </c>
      <c r="DK348">
        <v>57.6</v>
      </c>
      <c r="DM348">
        <v>2961.4</v>
      </c>
      <c r="DO348">
        <v>1489</v>
      </c>
      <c r="DQ348">
        <v>164</v>
      </c>
    </row>
    <row r="349" spans="1:121" x14ac:dyDescent="0.2">
      <c r="D349" t="s">
        <v>63</v>
      </c>
      <c r="G349">
        <v>0.20877999999999999</v>
      </c>
      <c r="H349" t="s">
        <v>75</v>
      </c>
      <c r="I349">
        <v>1.341E-2</v>
      </c>
      <c r="J349" t="s">
        <v>75</v>
      </c>
      <c r="K349">
        <v>2.35846</v>
      </c>
      <c r="L349" t="s">
        <v>75</v>
      </c>
      <c r="M349">
        <v>7.689E-2</v>
      </c>
      <c r="N349" t="s">
        <v>75</v>
      </c>
      <c r="O349">
        <v>3.3600000000000001E-3</v>
      </c>
      <c r="P349" t="s">
        <v>75</v>
      </c>
      <c r="Q349">
        <v>0.17685000000000001</v>
      </c>
      <c r="R349" t="s">
        <v>75</v>
      </c>
      <c r="S349">
        <v>9.8999999999999999E-4</v>
      </c>
      <c r="T349" t="s">
        <v>75</v>
      </c>
      <c r="U349">
        <v>1.247E-2</v>
      </c>
      <c r="V349" t="s">
        <v>75</v>
      </c>
      <c r="W349">
        <v>0.22877</v>
      </c>
      <c r="X349" t="s">
        <v>75</v>
      </c>
      <c r="Y349">
        <v>1.78487</v>
      </c>
      <c r="Z349" t="s">
        <v>75</v>
      </c>
      <c r="AB349" t="s">
        <v>76</v>
      </c>
      <c r="AC349">
        <v>36.501730000000002</v>
      </c>
      <c r="AD349" t="s">
        <v>75</v>
      </c>
      <c r="AE349">
        <v>222.34289999999999</v>
      </c>
      <c r="AF349" t="s">
        <v>75</v>
      </c>
      <c r="AG349">
        <v>6.8409999999999999E-2</v>
      </c>
      <c r="AH349" t="s">
        <v>75</v>
      </c>
      <c r="AI349">
        <v>1.35869</v>
      </c>
      <c r="AJ349" t="s">
        <v>75</v>
      </c>
      <c r="AK349">
        <v>1.362E-2</v>
      </c>
      <c r="AL349" t="s">
        <v>75</v>
      </c>
      <c r="AM349">
        <v>-4.6600000000000001E-3</v>
      </c>
      <c r="AN349" t="s">
        <v>75</v>
      </c>
      <c r="AO349">
        <v>1.9599999999999999E-3</v>
      </c>
      <c r="AP349" t="s">
        <v>75</v>
      </c>
      <c r="AQ349">
        <v>2.9999999999999997E-4</v>
      </c>
      <c r="AR349" t="s">
        <v>75</v>
      </c>
      <c r="AS349">
        <v>4.0000000000000002E-4</v>
      </c>
      <c r="AT349" t="s">
        <v>75</v>
      </c>
      <c r="AU349">
        <v>1.5200000000000001E-3</v>
      </c>
      <c r="AV349" t="s">
        <v>75</v>
      </c>
      <c r="AW349">
        <v>-2.7E-4</v>
      </c>
      <c r="AX349" t="s">
        <v>75</v>
      </c>
      <c r="AY349">
        <v>3.2870000000000003E-2</v>
      </c>
      <c r="AZ349" t="s">
        <v>75</v>
      </c>
      <c r="BC349">
        <v>-2.0531799999999998</v>
      </c>
      <c r="BD349" t="s">
        <v>75</v>
      </c>
      <c r="BE349">
        <v>4.7789999999999999E-2</v>
      </c>
      <c r="BF349" t="s">
        <v>75</v>
      </c>
      <c r="BG349">
        <v>9.8158700000000003</v>
      </c>
      <c r="BH349" t="s">
        <v>75</v>
      </c>
      <c r="BI349">
        <v>9.6147799999999997</v>
      </c>
      <c r="BJ349" t="s">
        <v>75</v>
      </c>
      <c r="BK349">
        <v>9.2514699999999994</v>
      </c>
      <c r="BL349" t="s">
        <v>75</v>
      </c>
      <c r="BM349">
        <v>1.0857600000000001</v>
      </c>
      <c r="BN349" t="s">
        <v>75</v>
      </c>
      <c r="BO349">
        <v>650.18528000000003</v>
      </c>
      <c r="BP349" t="s">
        <v>75</v>
      </c>
      <c r="BQ349">
        <v>1.0739799999999999</v>
      </c>
      <c r="BR349" t="s">
        <v>75</v>
      </c>
      <c r="BS349">
        <v>1.83856</v>
      </c>
      <c r="BT349" t="s">
        <v>75</v>
      </c>
      <c r="BU349">
        <v>225.78693000000001</v>
      </c>
      <c r="BV349" t="s">
        <v>75</v>
      </c>
      <c r="BW349">
        <v>135.96511000000001</v>
      </c>
      <c r="BX349" t="s">
        <v>75</v>
      </c>
      <c r="BY349">
        <v>127.49164</v>
      </c>
      <c r="BZ349" t="s">
        <v>75</v>
      </c>
      <c r="CA349">
        <v>19.541409999999999</v>
      </c>
      <c r="CB349" t="s">
        <v>75</v>
      </c>
      <c r="CC349">
        <v>1.5709999999999998E-2</v>
      </c>
      <c r="CD349" t="s">
        <v>75</v>
      </c>
      <c r="CE349">
        <v>6.0400000000000002E-3</v>
      </c>
      <c r="CF349" t="s">
        <v>75</v>
      </c>
      <c r="CG349">
        <v>0.23563000000000001</v>
      </c>
      <c r="CH349" t="s">
        <v>75</v>
      </c>
      <c r="CI349">
        <v>1.38761</v>
      </c>
      <c r="CJ349" t="s">
        <v>75</v>
      </c>
      <c r="CK349">
        <v>3.0134799999999999</v>
      </c>
      <c r="CL349" t="s">
        <v>75</v>
      </c>
      <c r="CM349">
        <v>0.41699999999999998</v>
      </c>
      <c r="CN349" t="s">
        <v>75</v>
      </c>
      <c r="CO349">
        <v>0.19422</v>
      </c>
      <c r="CP349" t="s">
        <v>75</v>
      </c>
      <c r="CQ349">
        <v>12.461309999999999</v>
      </c>
      <c r="CR349" t="s">
        <v>75</v>
      </c>
      <c r="CS349">
        <v>2624.9021899999998</v>
      </c>
      <c r="CT349" t="s">
        <v>75</v>
      </c>
      <c r="CV349" t="s">
        <v>76</v>
      </c>
      <c r="CW349">
        <v>42.887300000000003</v>
      </c>
      <c r="CX349" t="s">
        <v>75</v>
      </c>
      <c r="DA349">
        <v>816.17958999999996</v>
      </c>
      <c r="DB349" t="s">
        <v>75</v>
      </c>
      <c r="DC349">
        <v>6.2700000000000006E-2</v>
      </c>
      <c r="DD349" t="s">
        <v>75</v>
      </c>
      <c r="DE349">
        <v>32.754130000000004</v>
      </c>
      <c r="DF349" t="s">
        <v>75</v>
      </c>
      <c r="DG349">
        <v>1.0666500000000001</v>
      </c>
      <c r="DH349" t="s">
        <v>75</v>
      </c>
      <c r="DI349">
        <v>5.0286799999999996</v>
      </c>
      <c r="DJ349" t="s">
        <v>75</v>
      </c>
      <c r="DL349" t="s">
        <v>76</v>
      </c>
      <c r="DN349" t="s">
        <v>76</v>
      </c>
      <c r="DO349">
        <v>42.615749999999998</v>
      </c>
      <c r="DP349" t="s">
        <v>75</v>
      </c>
    </row>
    <row r="350" spans="1:121" x14ac:dyDescent="0.2">
      <c r="D350" t="s">
        <v>64</v>
      </c>
      <c r="G350">
        <v>3.46E-3</v>
      </c>
      <c r="H350" t="s">
        <v>75</v>
      </c>
      <c r="I350">
        <v>1.64E-3</v>
      </c>
      <c r="J350" t="s">
        <v>75</v>
      </c>
      <c r="K350">
        <v>3.5580000000000001E-2</v>
      </c>
      <c r="L350" t="s">
        <v>75</v>
      </c>
      <c r="M350">
        <v>1.92E-3</v>
      </c>
      <c r="N350" t="s">
        <v>75</v>
      </c>
      <c r="O350">
        <v>5.0000000000000002E-5</v>
      </c>
      <c r="P350" t="s">
        <v>75</v>
      </c>
      <c r="Q350">
        <v>2.0699999999999998E-3</v>
      </c>
      <c r="R350" t="s">
        <v>75</v>
      </c>
      <c r="S350">
        <v>6.9999999999999994E-5</v>
      </c>
      <c r="T350" t="s">
        <v>75</v>
      </c>
      <c r="U350">
        <v>6.4999999999999997E-4</v>
      </c>
      <c r="V350" t="s">
        <v>75</v>
      </c>
      <c r="W350">
        <v>1.4499999999999999E-3</v>
      </c>
      <c r="X350" t="s">
        <v>75</v>
      </c>
      <c r="Y350">
        <v>3.1460000000000002E-2</v>
      </c>
      <c r="Z350" t="s">
        <v>75</v>
      </c>
      <c r="AC350">
        <v>0.55447000000000002</v>
      </c>
      <c r="AD350" t="s">
        <v>75</v>
      </c>
      <c r="AE350">
        <v>1.8080000000000001</v>
      </c>
      <c r="AF350" t="s">
        <v>75</v>
      </c>
      <c r="AG350">
        <v>1E-3</v>
      </c>
      <c r="AH350" t="s">
        <v>75</v>
      </c>
      <c r="AI350">
        <v>4.8999999999999998E-3</v>
      </c>
      <c r="AJ350" t="s">
        <v>75</v>
      </c>
      <c r="AK350">
        <v>1.9000000000000001E-4</v>
      </c>
      <c r="AL350" t="s">
        <v>75</v>
      </c>
      <c r="AM350">
        <v>3.0000000000000001E-5</v>
      </c>
      <c r="AN350" t="s">
        <v>75</v>
      </c>
      <c r="AO350">
        <v>1.4999999999999999E-4</v>
      </c>
      <c r="AP350" t="s">
        <v>75</v>
      </c>
      <c r="AQ350">
        <v>3.5E-4</v>
      </c>
      <c r="AR350" t="s">
        <v>75</v>
      </c>
      <c r="AS350">
        <v>1.3999999999999999E-4</v>
      </c>
      <c r="AT350" t="s">
        <v>75</v>
      </c>
      <c r="AU350">
        <v>2.0000000000000002E-5</v>
      </c>
      <c r="AV350" t="s">
        <v>75</v>
      </c>
      <c r="AW350">
        <v>1.2E-4</v>
      </c>
      <c r="AX350" t="s">
        <v>75</v>
      </c>
      <c r="AY350">
        <v>5.9999999999999995E-4</v>
      </c>
      <c r="AZ350" t="s">
        <v>75</v>
      </c>
      <c r="BC350">
        <v>6.0999999999999997E-4</v>
      </c>
      <c r="BD350" t="s">
        <v>75</v>
      </c>
      <c r="BE350">
        <v>5.4000000000000001E-4</v>
      </c>
      <c r="BF350" t="s">
        <v>75</v>
      </c>
      <c r="BG350">
        <v>5.9200000000000003E-2</v>
      </c>
      <c r="BH350" t="s">
        <v>75</v>
      </c>
      <c r="BI350">
        <v>5.5019999999999999E-2</v>
      </c>
      <c r="BJ350" t="s">
        <v>75</v>
      </c>
      <c r="BK350">
        <v>6.2880000000000005E-2</v>
      </c>
      <c r="BL350" t="s">
        <v>75</v>
      </c>
      <c r="BM350">
        <v>7.0600000000000003E-3</v>
      </c>
      <c r="BN350" t="s">
        <v>75</v>
      </c>
      <c r="BO350">
        <v>3.9145500000000002</v>
      </c>
      <c r="BP350" t="s">
        <v>75</v>
      </c>
      <c r="BQ350">
        <v>3.354E-2</v>
      </c>
      <c r="BR350" t="s">
        <v>75</v>
      </c>
      <c r="BS350">
        <v>2.324E-2</v>
      </c>
      <c r="BT350" t="s">
        <v>75</v>
      </c>
      <c r="BU350">
        <v>2.0033099999999999</v>
      </c>
      <c r="BV350" t="s">
        <v>75</v>
      </c>
      <c r="BW350">
        <v>2.9626399999999999</v>
      </c>
      <c r="BX350" t="s">
        <v>75</v>
      </c>
      <c r="BY350">
        <v>1.6719900000000001</v>
      </c>
      <c r="BZ350" t="s">
        <v>75</v>
      </c>
      <c r="CA350">
        <v>0.32345000000000002</v>
      </c>
      <c r="CB350" t="s">
        <v>75</v>
      </c>
      <c r="CC350">
        <v>1.73E-3</v>
      </c>
      <c r="CD350" t="s">
        <v>75</v>
      </c>
      <c r="CE350">
        <v>6.0999999999999997E-4</v>
      </c>
      <c r="CF350" t="s">
        <v>75</v>
      </c>
      <c r="CG350">
        <v>3.0899999999999999E-3</v>
      </c>
      <c r="CH350" t="s">
        <v>75</v>
      </c>
      <c r="CI350">
        <v>1.575E-2</v>
      </c>
      <c r="CJ350" t="s">
        <v>75</v>
      </c>
      <c r="CK350">
        <v>6.2719999999999998E-2</v>
      </c>
      <c r="CL350" t="s">
        <v>75</v>
      </c>
      <c r="CM350">
        <v>3.5999999999999999E-3</v>
      </c>
      <c r="CN350" t="s">
        <v>75</v>
      </c>
      <c r="CO350">
        <v>4.45E-3</v>
      </c>
      <c r="CP350" t="s">
        <v>75</v>
      </c>
      <c r="CQ350">
        <v>9.4490000000000005E-2</v>
      </c>
      <c r="CR350" t="s">
        <v>75</v>
      </c>
      <c r="CS350">
        <v>19.92296</v>
      </c>
      <c r="CT350" t="s">
        <v>75</v>
      </c>
      <c r="CW350">
        <v>0.67557999999999996</v>
      </c>
      <c r="CX350" t="s">
        <v>75</v>
      </c>
      <c r="DA350">
        <v>5.97872</v>
      </c>
      <c r="DB350" t="s">
        <v>75</v>
      </c>
      <c r="DC350">
        <v>6.2599999999999999E-3</v>
      </c>
      <c r="DD350" t="s">
        <v>75</v>
      </c>
      <c r="DE350">
        <v>0.53346000000000005</v>
      </c>
      <c r="DF350" t="s">
        <v>75</v>
      </c>
      <c r="DG350">
        <v>5.2670000000000002E-2</v>
      </c>
      <c r="DH350" t="s">
        <v>75</v>
      </c>
      <c r="DI350">
        <v>0.25389</v>
      </c>
      <c r="DJ350" t="s">
        <v>75</v>
      </c>
      <c r="DO350">
        <v>0.40621000000000002</v>
      </c>
      <c r="DP350" t="s">
        <v>75</v>
      </c>
    </row>
    <row r="351" spans="1:121" x14ac:dyDescent="0.2">
      <c r="D351" t="s">
        <v>65</v>
      </c>
      <c r="G351" t="s">
        <v>66</v>
      </c>
      <c r="I351" t="s">
        <v>66</v>
      </c>
      <c r="K351" t="s">
        <v>66</v>
      </c>
      <c r="M351" t="s">
        <v>66</v>
      </c>
      <c r="O351" t="s">
        <v>66</v>
      </c>
      <c r="Q351" t="s">
        <v>66</v>
      </c>
      <c r="S351" t="s">
        <v>66</v>
      </c>
      <c r="U351" t="s">
        <v>66</v>
      </c>
      <c r="W351" t="s">
        <v>66</v>
      </c>
      <c r="Y351" t="s">
        <v>66</v>
      </c>
      <c r="AA351" t="s">
        <v>66</v>
      </c>
      <c r="AC351" t="s">
        <v>66</v>
      </c>
      <c r="AE351" t="s">
        <v>66</v>
      </c>
      <c r="AG351" t="s">
        <v>66</v>
      </c>
      <c r="AI351" t="s">
        <v>66</v>
      </c>
      <c r="AK351" t="s">
        <v>66</v>
      </c>
      <c r="AM351" t="s">
        <v>66</v>
      </c>
      <c r="AO351" t="s">
        <v>66</v>
      </c>
      <c r="AQ351" t="s">
        <v>66</v>
      </c>
      <c r="AS351" t="s">
        <v>66</v>
      </c>
      <c r="AU351" t="s">
        <v>66</v>
      </c>
      <c r="AW351" t="s">
        <v>66</v>
      </c>
      <c r="AY351" t="s">
        <v>66</v>
      </c>
      <c r="BA351" t="s">
        <v>66</v>
      </c>
      <c r="BC351" t="s">
        <v>66</v>
      </c>
      <c r="BE351" t="s">
        <v>66</v>
      </c>
      <c r="BG351" t="s">
        <v>66</v>
      </c>
      <c r="BI351" t="s">
        <v>66</v>
      </c>
      <c r="BK351" t="s">
        <v>66</v>
      </c>
      <c r="BM351" t="s">
        <v>66</v>
      </c>
      <c r="BO351" t="s">
        <v>66</v>
      </c>
      <c r="BQ351" t="s">
        <v>66</v>
      </c>
      <c r="BS351" t="s">
        <v>66</v>
      </c>
      <c r="BU351" t="s">
        <v>66</v>
      </c>
      <c r="BW351" t="s">
        <v>66</v>
      </c>
      <c r="BY351" t="s">
        <v>66</v>
      </c>
      <c r="CA351" t="s">
        <v>66</v>
      </c>
      <c r="CC351" t="s">
        <v>66</v>
      </c>
      <c r="CE351" t="s">
        <v>66</v>
      </c>
      <c r="CG351" t="s">
        <v>66</v>
      </c>
      <c r="CI351" t="s">
        <v>66</v>
      </c>
      <c r="CK351" t="s">
        <v>66</v>
      </c>
      <c r="CM351" t="s">
        <v>66</v>
      </c>
      <c r="CO351" t="s">
        <v>66</v>
      </c>
      <c r="CQ351" t="s">
        <v>66</v>
      </c>
      <c r="CS351" t="s">
        <v>66</v>
      </c>
      <c r="CU351" t="s">
        <v>66</v>
      </c>
      <c r="CW351" t="s">
        <v>66</v>
      </c>
      <c r="CY351" t="s">
        <v>66</v>
      </c>
      <c r="DA351" t="s">
        <v>66</v>
      </c>
      <c r="DC351" t="s">
        <v>66</v>
      </c>
      <c r="DE351" t="s">
        <v>66</v>
      </c>
      <c r="DG351" t="s">
        <v>66</v>
      </c>
      <c r="DI351" t="s">
        <v>66</v>
      </c>
      <c r="DK351" t="s">
        <v>66</v>
      </c>
      <c r="DM351" t="s">
        <v>66</v>
      </c>
      <c r="DO351" t="s">
        <v>66</v>
      </c>
      <c r="DQ351" t="s">
        <v>66</v>
      </c>
    </row>
    <row r="352" spans="1:121" x14ac:dyDescent="0.2">
      <c r="A352" t="s">
        <v>640</v>
      </c>
      <c r="D352" t="s">
        <v>60</v>
      </c>
      <c r="E352" t="s">
        <v>61</v>
      </c>
      <c r="G352">
        <v>155521.60000000001</v>
      </c>
      <c r="I352">
        <v>34790</v>
      </c>
      <c r="K352">
        <v>945505.1</v>
      </c>
      <c r="M352">
        <v>1232894.5</v>
      </c>
      <c r="O352">
        <v>1446780</v>
      </c>
      <c r="Q352">
        <v>178367.6</v>
      </c>
      <c r="S352">
        <v>1366535.2</v>
      </c>
      <c r="U352">
        <v>276751.09999999998</v>
      </c>
      <c r="W352">
        <v>548904</v>
      </c>
      <c r="Y352">
        <v>79548.7</v>
      </c>
      <c r="AA352">
        <v>3100005</v>
      </c>
      <c r="AC352">
        <v>318676.8</v>
      </c>
      <c r="AE352">
        <v>317277.59999999998</v>
      </c>
      <c r="AG352">
        <v>1561495.5</v>
      </c>
      <c r="AI352">
        <v>648215.80000000005</v>
      </c>
      <c r="AK352">
        <v>1746735.5</v>
      </c>
      <c r="AM352">
        <v>1598515.2</v>
      </c>
      <c r="AO352">
        <v>329895.09999999998</v>
      </c>
      <c r="AQ352">
        <v>282378.7</v>
      </c>
      <c r="AS352">
        <v>271876.8</v>
      </c>
      <c r="AU352">
        <v>1904323.7</v>
      </c>
      <c r="AW352">
        <v>508842.6</v>
      </c>
      <c r="AY352">
        <v>384122.6</v>
      </c>
      <c r="BA352">
        <v>699312.5</v>
      </c>
      <c r="BC352">
        <v>301926.5</v>
      </c>
      <c r="BE352">
        <v>1243828.2</v>
      </c>
      <c r="BG352">
        <v>415673.2</v>
      </c>
      <c r="BI352">
        <v>354909.6</v>
      </c>
      <c r="BK352">
        <v>895815.7</v>
      </c>
      <c r="BM352">
        <v>1355998.7</v>
      </c>
      <c r="BO352">
        <v>428393.1</v>
      </c>
      <c r="BQ352">
        <v>254528.1</v>
      </c>
      <c r="BS352">
        <v>199489.1</v>
      </c>
      <c r="BU352">
        <v>734437.8</v>
      </c>
      <c r="BW352">
        <v>3722.1</v>
      </c>
      <c r="BY352">
        <v>110771.8</v>
      </c>
      <c r="CA352">
        <v>22892.2</v>
      </c>
      <c r="CC352">
        <v>5658.8</v>
      </c>
      <c r="CE352">
        <v>78963.600000000006</v>
      </c>
      <c r="CG352">
        <v>69706.5</v>
      </c>
      <c r="CI352">
        <v>90496.3</v>
      </c>
      <c r="CK352">
        <v>284967</v>
      </c>
      <c r="CM352">
        <v>81978.5</v>
      </c>
      <c r="CO352">
        <v>18908.599999999999</v>
      </c>
      <c r="CQ352">
        <v>39756.5</v>
      </c>
      <c r="CS352">
        <v>22162.6</v>
      </c>
      <c r="CU352">
        <v>257228</v>
      </c>
      <c r="CW352">
        <v>33484.6</v>
      </c>
      <c r="CY352">
        <v>59357.8</v>
      </c>
      <c r="DA352">
        <v>201790.4</v>
      </c>
      <c r="DC352">
        <v>3080.7</v>
      </c>
      <c r="DE352">
        <v>2797.2</v>
      </c>
      <c r="DG352">
        <v>389.7</v>
      </c>
      <c r="DI352">
        <v>3556.6</v>
      </c>
      <c r="DK352">
        <v>887</v>
      </c>
      <c r="DM352">
        <v>69994.100000000006</v>
      </c>
      <c r="DO352">
        <v>8172</v>
      </c>
      <c r="DQ352">
        <v>15782.8</v>
      </c>
    </row>
    <row r="353" spans="1:121" x14ac:dyDescent="0.2">
      <c r="D353" t="s">
        <v>62</v>
      </c>
      <c r="E353" t="s">
        <v>61</v>
      </c>
      <c r="G353">
        <v>1140.8</v>
      </c>
      <c r="I353">
        <v>711.4</v>
      </c>
      <c r="K353">
        <v>9086.6</v>
      </c>
      <c r="M353">
        <v>14237.6</v>
      </c>
      <c r="O353">
        <v>15296.1</v>
      </c>
      <c r="Q353">
        <v>2205.8000000000002</v>
      </c>
      <c r="S353">
        <v>14837.5</v>
      </c>
      <c r="U353">
        <v>2712.5</v>
      </c>
      <c r="W353">
        <v>1342.3</v>
      </c>
      <c r="Y353">
        <v>408.3</v>
      </c>
      <c r="AA353">
        <v>22844.1</v>
      </c>
      <c r="AC353">
        <v>3731.2</v>
      </c>
      <c r="AE353">
        <v>992.8</v>
      </c>
      <c r="AG353">
        <v>30602.1</v>
      </c>
      <c r="AI353">
        <v>8050.5</v>
      </c>
      <c r="AK353">
        <v>22102.799999999999</v>
      </c>
      <c r="AM353">
        <v>2011.3</v>
      </c>
      <c r="AO353">
        <v>1969.2</v>
      </c>
      <c r="AQ353">
        <v>2904.2</v>
      </c>
      <c r="AS353">
        <v>991.3</v>
      </c>
      <c r="AU353">
        <v>15009.7</v>
      </c>
      <c r="AW353">
        <v>3311.5</v>
      </c>
      <c r="AY353">
        <v>4631</v>
      </c>
      <c r="BA353">
        <v>8828.1</v>
      </c>
      <c r="BC353">
        <v>3856.2</v>
      </c>
      <c r="BE353">
        <v>12796.4</v>
      </c>
      <c r="BG353">
        <v>5108.2</v>
      </c>
      <c r="BI353">
        <v>7626</v>
      </c>
      <c r="BK353">
        <v>10208.9</v>
      </c>
      <c r="BM353">
        <v>4806.7</v>
      </c>
      <c r="BO353">
        <v>7456.5</v>
      </c>
      <c r="BQ353">
        <v>5543.6</v>
      </c>
      <c r="BS353">
        <v>3352.7</v>
      </c>
      <c r="BU353">
        <v>10919.2</v>
      </c>
      <c r="BW353">
        <v>279.5</v>
      </c>
      <c r="BY353">
        <v>1339.9</v>
      </c>
      <c r="CA353">
        <v>592.70000000000005</v>
      </c>
      <c r="CC353">
        <v>185.1</v>
      </c>
      <c r="CE353">
        <v>2478.5</v>
      </c>
      <c r="CG353">
        <v>2104.1999999999998</v>
      </c>
      <c r="CI353">
        <v>1914.1</v>
      </c>
      <c r="CK353">
        <v>1271.7</v>
      </c>
      <c r="CM353">
        <v>815.6</v>
      </c>
      <c r="CO353">
        <v>350.5</v>
      </c>
      <c r="CQ353">
        <v>1178.2</v>
      </c>
      <c r="CS353">
        <v>1641.1</v>
      </c>
      <c r="CU353">
        <v>4176.8</v>
      </c>
      <c r="CW353">
        <v>766.8</v>
      </c>
      <c r="CY353">
        <v>2148.1999999999998</v>
      </c>
      <c r="DA353">
        <v>2707.2</v>
      </c>
      <c r="DC353">
        <v>128.1</v>
      </c>
      <c r="DE353">
        <v>71.7</v>
      </c>
      <c r="DG353">
        <v>40.1</v>
      </c>
      <c r="DI353">
        <v>157.5</v>
      </c>
      <c r="DK353">
        <v>65.099999999999994</v>
      </c>
      <c r="DM353">
        <v>636.20000000000005</v>
      </c>
      <c r="DO353">
        <v>387.5</v>
      </c>
      <c r="DQ353">
        <v>472.1</v>
      </c>
    </row>
    <row r="354" spans="1:121" x14ac:dyDescent="0.2">
      <c r="D354" t="s">
        <v>63</v>
      </c>
      <c r="G354">
        <v>1.16344</v>
      </c>
      <c r="H354" t="s">
        <v>75</v>
      </c>
      <c r="I354">
        <v>1.16625</v>
      </c>
      <c r="J354" t="s">
        <v>75</v>
      </c>
      <c r="K354">
        <v>1.16235</v>
      </c>
      <c r="L354" t="s">
        <v>75</v>
      </c>
      <c r="M354">
        <v>1.18018</v>
      </c>
      <c r="N354" t="s">
        <v>75</v>
      </c>
      <c r="O354">
        <v>1.1719999999999999</v>
      </c>
      <c r="P354" t="s">
        <v>75</v>
      </c>
      <c r="Q354">
        <v>1.1376299999999999</v>
      </c>
      <c r="R354" t="s">
        <v>75</v>
      </c>
      <c r="S354">
        <v>1.15815</v>
      </c>
      <c r="T354" t="s">
        <v>75</v>
      </c>
      <c r="U354">
        <v>1.1155200000000001</v>
      </c>
      <c r="V354" t="s">
        <v>75</v>
      </c>
      <c r="W354">
        <v>1.1323099999999999</v>
      </c>
      <c r="X354" t="s">
        <v>75</v>
      </c>
      <c r="Y354">
        <v>1.1451100000000001</v>
      </c>
      <c r="Z354" t="s">
        <v>75</v>
      </c>
      <c r="AB354" t="s">
        <v>76</v>
      </c>
      <c r="AC354">
        <v>1.1407</v>
      </c>
      <c r="AD354" t="s">
        <v>75</v>
      </c>
      <c r="AE354">
        <v>1.1912499999999999</v>
      </c>
      <c r="AF354" t="s">
        <v>75</v>
      </c>
      <c r="AG354">
        <v>1.17197</v>
      </c>
      <c r="AH354" t="s">
        <v>75</v>
      </c>
      <c r="AI354">
        <v>3.9718599999999999</v>
      </c>
      <c r="AJ354" t="s">
        <v>75</v>
      </c>
      <c r="AK354">
        <v>1.15981</v>
      </c>
      <c r="AL354" t="s">
        <v>75</v>
      </c>
      <c r="AM354">
        <v>1.15865</v>
      </c>
      <c r="AN354" t="s">
        <v>75</v>
      </c>
      <c r="AO354">
        <v>1.16934</v>
      </c>
      <c r="AP354" t="s">
        <v>75</v>
      </c>
      <c r="AQ354">
        <v>1.1731100000000001</v>
      </c>
      <c r="AR354" t="s">
        <v>75</v>
      </c>
      <c r="AS354">
        <v>1.16917</v>
      </c>
      <c r="AT354" t="s">
        <v>75</v>
      </c>
      <c r="AU354">
        <v>1.2163200000000001</v>
      </c>
      <c r="AV354" t="s">
        <v>75</v>
      </c>
      <c r="AW354">
        <v>1.18824</v>
      </c>
      <c r="AX354" t="s">
        <v>75</v>
      </c>
      <c r="AY354">
        <v>1.1915</v>
      </c>
      <c r="AZ354" t="s">
        <v>75</v>
      </c>
      <c r="BC354">
        <v>-1.1839299999999999</v>
      </c>
      <c r="BD354" t="s">
        <v>75</v>
      </c>
      <c r="BE354">
        <v>1.1540299999999999</v>
      </c>
      <c r="BF354" t="s">
        <v>75</v>
      </c>
      <c r="BG354">
        <v>1.11995</v>
      </c>
      <c r="BH354" t="s">
        <v>75</v>
      </c>
      <c r="BI354">
        <v>1.1213500000000001</v>
      </c>
      <c r="BJ354" t="s">
        <v>75</v>
      </c>
      <c r="BK354">
        <v>1.14107</v>
      </c>
      <c r="BL354" t="s">
        <v>75</v>
      </c>
      <c r="BM354">
        <v>1.22559</v>
      </c>
      <c r="BN354" t="s">
        <v>75</v>
      </c>
      <c r="BO354">
        <v>7.7762700000000002</v>
      </c>
      <c r="BP354" t="s">
        <v>75</v>
      </c>
      <c r="BQ354">
        <v>8.2359100000000005</v>
      </c>
      <c r="BR354" t="s">
        <v>75</v>
      </c>
      <c r="BS354">
        <v>4.0335700000000001</v>
      </c>
      <c r="BT354" t="s">
        <v>75</v>
      </c>
      <c r="BU354">
        <v>10.05907</v>
      </c>
      <c r="BV354" t="s">
        <v>75</v>
      </c>
      <c r="BW354">
        <v>1.33555</v>
      </c>
      <c r="BX354" t="s">
        <v>75</v>
      </c>
      <c r="BY354">
        <v>23.155239999999999</v>
      </c>
      <c r="BZ354" t="s">
        <v>75</v>
      </c>
      <c r="CA354">
        <v>8.7219099999999994</v>
      </c>
      <c r="CB354" t="s">
        <v>75</v>
      </c>
      <c r="CC354">
        <v>1.1991000000000001</v>
      </c>
      <c r="CD354" t="s">
        <v>75</v>
      </c>
      <c r="CE354">
        <v>1.18062</v>
      </c>
      <c r="CF354" t="s">
        <v>75</v>
      </c>
      <c r="CG354">
        <v>1.1767000000000001</v>
      </c>
      <c r="CH354" t="s">
        <v>75</v>
      </c>
      <c r="CI354">
        <v>1.15805</v>
      </c>
      <c r="CJ354" t="s">
        <v>75</v>
      </c>
      <c r="CK354">
        <v>3.7264699999999999</v>
      </c>
      <c r="CL354" t="s">
        <v>75</v>
      </c>
      <c r="CM354">
        <v>1.16377</v>
      </c>
      <c r="CN354" t="s">
        <v>75</v>
      </c>
      <c r="CO354">
        <v>1.0857000000000001</v>
      </c>
      <c r="CP354" t="s">
        <v>75</v>
      </c>
      <c r="CQ354">
        <v>1.1819</v>
      </c>
      <c r="CR354" t="s">
        <v>75</v>
      </c>
      <c r="CS354">
        <v>5.7396599999999998</v>
      </c>
      <c r="CT354" t="s">
        <v>75</v>
      </c>
      <c r="CV354" t="s">
        <v>76</v>
      </c>
      <c r="CW354">
        <v>1.2245200000000001</v>
      </c>
      <c r="CX354" t="s">
        <v>75</v>
      </c>
      <c r="DA354">
        <v>12.207240000000001</v>
      </c>
      <c r="DB354" t="s">
        <v>75</v>
      </c>
      <c r="DC354">
        <v>1.39903</v>
      </c>
      <c r="DD354" t="s">
        <v>75</v>
      </c>
      <c r="DE354">
        <v>1.28969</v>
      </c>
      <c r="DF354" t="s">
        <v>75</v>
      </c>
      <c r="DG354">
        <v>2.05403</v>
      </c>
      <c r="DH354" t="s">
        <v>75</v>
      </c>
      <c r="DI354">
        <v>6.0139399999999998</v>
      </c>
      <c r="DJ354" t="s">
        <v>75</v>
      </c>
      <c r="DL354" t="s">
        <v>76</v>
      </c>
      <c r="DN354" t="s">
        <v>76</v>
      </c>
      <c r="DO354">
        <v>1.2416400000000001</v>
      </c>
      <c r="DP354" t="s">
        <v>75</v>
      </c>
    </row>
    <row r="355" spans="1:121" x14ac:dyDescent="0.2">
      <c r="D355" t="s">
        <v>64</v>
      </c>
      <c r="G355">
        <v>2.392E-2</v>
      </c>
      <c r="H355" t="s">
        <v>75</v>
      </c>
      <c r="I355">
        <v>3.6130000000000002E-2</v>
      </c>
      <c r="J355" t="s">
        <v>75</v>
      </c>
      <c r="K355">
        <v>1.423E-2</v>
      </c>
      <c r="L355" t="s">
        <v>75</v>
      </c>
      <c r="M355">
        <v>2.511E-2</v>
      </c>
      <c r="N355" t="s">
        <v>75</v>
      </c>
      <c r="O355">
        <v>1.443E-2</v>
      </c>
      <c r="P355" t="s">
        <v>75</v>
      </c>
      <c r="Q355">
        <v>2.7789999999999999E-2</v>
      </c>
      <c r="R355" t="s">
        <v>75</v>
      </c>
      <c r="S355">
        <v>2.63E-2</v>
      </c>
      <c r="T355" t="s">
        <v>75</v>
      </c>
      <c r="U355">
        <v>1.5630000000000002E-2</v>
      </c>
      <c r="V355" t="s">
        <v>75</v>
      </c>
      <c r="W355">
        <v>1.6899999999999998E-2</v>
      </c>
      <c r="X355" t="s">
        <v>75</v>
      </c>
      <c r="Y355">
        <v>1.038E-2</v>
      </c>
      <c r="Z355" t="s">
        <v>75</v>
      </c>
      <c r="AC355">
        <v>7.2300000000000003E-3</v>
      </c>
      <c r="AD355" t="s">
        <v>75</v>
      </c>
      <c r="AE355">
        <v>1.29E-2</v>
      </c>
      <c r="AF355" t="s">
        <v>75</v>
      </c>
      <c r="AG355">
        <v>8.3099999999999997E-3</v>
      </c>
      <c r="AH355" t="s">
        <v>75</v>
      </c>
      <c r="AI355">
        <v>4.8730000000000002E-2</v>
      </c>
      <c r="AJ355" t="s">
        <v>75</v>
      </c>
      <c r="AK355">
        <v>1.8010000000000002E-2</v>
      </c>
      <c r="AL355" t="s">
        <v>75</v>
      </c>
      <c r="AM355">
        <v>1.6129999999999999E-2</v>
      </c>
      <c r="AN355" t="s">
        <v>75</v>
      </c>
      <c r="AO355">
        <v>2.1600000000000001E-2</v>
      </c>
      <c r="AP355" t="s">
        <v>75</v>
      </c>
      <c r="AQ355">
        <v>2.5680000000000001E-2</v>
      </c>
      <c r="AR355" t="s">
        <v>75</v>
      </c>
      <c r="AS355">
        <v>1.8939999999999999E-2</v>
      </c>
      <c r="AT355" t="s">
        <v>75</v>
      </c>
      <c r="AU355">
        <v>1.9910000000000001E-2</v>
      </c>
      <c r="AV355" t="s">
        <v>75</v>
      </c>
      <c r="AW355">
        <v>2.2749999999999999E-2</v>
      </c>
      <c r="AX355" t="s">
        <v>75</v>
      </c>
      <c r="AY355">
        <v>2.9059999999999999E-2</v>
      </c>
      <c r="AZ355" t="s">
        <v>75</v>
      </c>
      <c r="BC355">
        <v>1.4630000000000001E-2</v>
      </c>
      <c r="BD355" t="s">
        <v>75</v>
      </c>
      <c r="BE355">
        <v>2.3050000000000001E-2</v>
      </c>
      <c r="BF355" t="s">
        <v>75</v>
      </c>
      <c r="BG355">
        <v>2.8080000000000001E-2</v>
      </c>
      <c r="BH355" t="s">
        <v>75</v>
      </c>
      <c r="BI355">
        <v>3.737E-2</v>
      </c>
      <c r="BJ355" t="s">
        <v>75</v>
      </c>
      <c r="BK355">
        <v>2.613E-2</v>
      </c>
      <c r="BL355" t="s">
        <v>75</v>
      </c>
      <c r="BM355">
        <v>1.9429999999999999E-2</v>
      </c>
      <c r="BN355" t="s">
        <v>75</v>
      </c>
      <c r="BO355">
        <v>0.29909000000000002</v>
      </c>
      <c r="BP355" t="s">
        <v>75</v>
      </c>
      <c r="BQ355">
        <v>0.12761</v>
      </c>
      <c r="BR355" t="s">
        <v>75</v>
      </c>
      <c r="BS355">
        <v>9.7170000000000006E-2</v>
      </c>
      <c r="BT355" t="s">
        <v>75</v>
      </c>
      <c r="BU355">
        <v>0.86280000000000001</v>
      </c>
      <c r="BV355" t="s">
        <v>75</v>
      </c>
      <c r="BW355">
        <v>0.10621</v>
      </c>
      <c r="BX355" t="s">
        <v>75</v>
      </c>
      <c r="BY355">
        <v>1.2034899999999999</v>
      </c>
      <c r="BZ355" t="s">
        <v>75</v>
      </c>
      <c r="CA355">
        <v>0.41714000000000001</v>
      </c>
      <c r="CB355" t="s">
        <v>75</v>
      </c>
      <c r="CC355">
        <v>3.2770000000000001E-2</v>
      </c>
      <c r="CD355" t="s">
        <v>75</v>
      </c>
      <c r="CE355">
        <v>4.4479999999999999E-2</v>
      </c>
      <c r="CF355" t="s">
        <v>75</v>
      </c>
      <c r="CG355">
        <v>4.1230000000000003E-2</v>
      </c>
      <c r="CH355" t="s">
        <v>75</v>
      </c>
      <c r="CI355">
        <v>3.8640000000000001E-2</v>
      </c>
      <c r="CJ355" t="s">
        <v>75</v>
      </c>
      <c r="CK355">
        <v>0.13156999999999999</v>
      </c>
      <c r="CL355" t="s">
        <v>75</v>
      </c>
      <c r="CM355">
        <v>5.5149999999999998E-2</v>
      </c>
      <c r="CN355" t="s">
        <v>75</v>
      </c>
      <c r="CO355">
        <v>5.7329999999999999E-2</v>
      </c>
      <c r="CP355" t="s">
        <v>75</v>
      </c>
      <c r="CQ355">
        <v>6.3320000000000001E-2</v>
      </c>
      <c r="CR355" t="s">
        <v>75</v>
      </c>
      <c r="CS355">
        <v>0.64331000000000005</v>
      </c>
      <c r="CT355" t="s">
        <v>75</v>
      </c>
      <c r="CW355">
        <v>6.9940000000000002E-2</v>
      </c>
      <c r="CX355" t="s">
        <v>75</v>
      </c>
      <c r="DA355">
        <v>0.45367000000000002</v>
      </c>
      <c r="DB355" t="s">
        <v>75</v>
      </c>
      <c r="DC355">
        <v>7.1859999999999993E-2</v>
      </c>
      <c r="DD355" t="s">
        <v>75</v>
      </c>
      <c r="DE355">
        <v>2.827E-2</v>
      </c>
      <c r="DF355" t="s">
        <v>75</v>
      </c>
      <c r="DG355">
        <v>0.18428</v>
      </c>
      <c r="DH355" t="s">
        <v>75</v>
      </c>
      <c r="DI355">
        <v>0.16325000000000001</v>
      </c>
      <c r="DJ355" t="s">
        <v>75</v>
      </c>
      <c r="DO355">
        <v>7.6439999999999994E-2</v>
      </c>
      <c r="DP355" t="s">
        <v>75</v>
      </c>
    </row>
    <row r="356" spans="1:121" x14ac:dyDescent="0.2">
      <c r="D356" t="s">
        <v>65</v>
      </c>
      <c r="G356" t="s">
        <v>66</v>
      </c>
      <c r="I356" t="s">
        <v>66</v>
      </c>
      <c r="K356" t="s">
        <v>66</v>
      </c>
      <c r="M356" t="s">
        <v>66</v>
      </c>
      <c r="O356" t="s">
        <v>66</v>
      </c>
      <c r="Q356" t="s">
        <v>66</v>
      </c>
      <c r="S356" t="s">
        <v>66</v>
      </c>
      <c r="U356" t="s">
        <v>66</v>
      </c>
      <c r="W356" t="s">
        <v>66</v>
      </c>
      <c r="Y356" t="s">
        <v>66</v>
      </c>
      <c r="AA356" t="s">
        <v>66</v>
      </c>
      <c r="AC356" t="s">
        <v>66</v>
      </c>
      <c r="AE356" t="s">
        <v>66</v>
      </c>
      <c r="AG356" t="s">
        <v>66</v>
      </c>
      <c r="AI356" t="s">
        <v>66</v>
      </c>
      <c r="AK356" t="s">
        <v>66</v>
      </c>
      <c r="AM356" t="s">
        <v>66</v>
      </c>
      <c r="AO356" t="s">
        <v>66</v>
      </c>
      <c r="AQ356" t="s">
        <v>66</v>
      </c>
      <c r="AS356" t="s">
        <v>66</v>
      </c>
      <c r="AU356" t="s">
        <v>66</v>
      </c>
      <c r="AW356" t="s">
        <v>66</v>
      </c>
      <c r="AY356" t="s">
        <v>66</v>
      </c>
      <c r="BA356" t="s">
        <v>66</v>
      </c>
      <c r="BC356" t="s">
        <v>66</v>
      </c>
      <c r="BE356" t="s">
        <v>66</v>
      </c>
      <c r="BG356" t="s">
        <v>66</v>
      </c>
      <c r="BI356" t="s">
        <v>66</v>
      </c>
      <c r="BK356" t="s">
        <v>66</v>
      </c>
      <c r="BM356" t="s">
        <v>66</v>
      </c>
      <c r="BO356" t="s">
        <v>66</v>
      </c>
      <c r="BQ356" t="s">
        <v>66</v>
      </c>
      <c r="BS356" t="s">
        <v>66</v>
      </c>
      <c r="BU356" t="s">
        <v>66</v>
      </c>
      <c r="BW356" t="s">
        <v>66</v>
      </c>
      <c r="BY356" t="s">
        <v>66</v>
      </c>
      <c r="CA356" t="s">
        <v>66</v>
      </c>
      <c r="CC356" t="s">
        <v>66</v>
      </c>
      <c r="CE356" t="s">
        <v>66</v>
      </c>
      <c r="CG356" t="s">
        <v>66</v>
      </c>
      <c r="CI356" t="s">
        <v>66</v>
      </c>
      <c r="CK356" t="s">
        <v>66</v>
      </c>
      <c r="CM356" t="s">
        <v>66</v>
      </c>
      <c r="CO356" t="s">
        <v>66</v>
      </c>
      <c r="CQ356" t="s">
        <v>66</v>
      </c>
      <c r="CS356" t="s">
        <v>66</v>
      </c>
      <c r="CU356" t="s">
        <v>66</v>
      </c>
      <c r="CW356" t="s">
        <v>66</v>
      </c>
      <c r="CY356" t="s">
        <v>66</v>
      </c>
      <c r="DA356" t="s">
        <v>66</v>
      </c>
      <c r="DC356" t="s">
        <v>66</v>
      </c>
      <c r="DE356" t="s">
        <v>66</v>
      </c>
      <c r="DG356" t="s">
        <v>66</v>
      </c>
      <c r="DI356" t="s">
        <v>66</v>
      </c>
      <c r="DK356" t="s">
        <v>66</v>
      </c>
      <c r="DM356" t="s">
        <v>66</v>
      </c>
      <c r="DO356" t="s">
        <v>66</v>
      </c>
      <c r="DQ356" t="s">
        <v>66</v>
      </c>
    </row>
    <row r="357" spans="1:121" x14ac:dyDescent="0.2">
      <c r="A357" t="s">
        <v>641</v>
      </c>
      <c r="D357" t="s">
        <v>60</v>
      </c>
      <c r="E357" t="s">
        <v>61</v>
      </c>
      <c r="G357">
        <v>10200.700000000001</v>
      </c>
      <c r="I357">
        <v>831</v>
      </c>
      <c r="K357">
        <v>9642</v>
      </c>
      <c r="M357">
        <v>33738.300000000003</v>
      </c>
      <c r="O357">
        <v>188.5</v>
      </c>
      <c r="Q357">
        <v>607.5</v>
      </c>
      <c r="S357">
        <v>1639.7</v>
      </c>
      <c r="U357">
        <v>1336.3</v>
      </c>
      <c r="W357">
        <v>1653.3</v>
      </c>
      <c r="Y357">
        <v>55.2</v>
      </c>
      <c r="AA357">
        <v>2975028</v>
      </c>
      <c r="AC357">
        <v>3273.9</v>
      </c>
      <c r="AE357">
        <v>6764.9</v>
      </c>
      <c r="AG357">
        <v>2531.4</v>
      </c>
      <c r="AI357">
        <v>6083.8</v>
      </c>
      <c r="AK357">
        <v>414.7</v>
      </c>
      <c r="AM357">
        <v>287.5</v>
      </c>
      <c r="AO357">
        <v>153.1</v>
      </c>
      <c r="AQ357">
        <v>321.89999999999998</v>
      </c>
      <c r="AS357">
        <v>297.89999999999998</v>
      </c>
      <c r="AU357">
        <v>388.6</v>
      </c>
      <c r="AW357">
        <v>928.9</v>
      </c>
      <c r="AY357">
        <v>2537.8000000000002</v>
      </c>
      <c r="BA357">
        <v>680016.3</v>
      </c>
      <c r="BC357">
        <v>2729.5</v>
      </c>
      <c r="BE357">
        <v>1121.7</v>
      </c>
      <c r="BG357">
        <v>4688.6000000000004</v>
      </c>
      <c r="BI357">
        <v>3135.1</v>
      </c>
      <c r="BK357">
        <v>5886.1</v>
      </c>
      <c r="BM357">
        <v>1739.9</v>
      </c>
      <c r="BO357">
        <v>43211</v>
      </c>
      <c r="BQ357">
        <v>9572.7000000000007</v>
      </c>
      <c r="BS357">
        <v>12863.2</v>
      </c>
      <c r="BU357">
        <v>491061.2</v>
      </c>
      <c r="BW357">
        <v>577</v>
      </c>
      <c r="BY357">
        <v>24711.8</v>
      </c>
      <c r="CA357">
        <v>7628.2</v>
      </c>
      <c r="CC357">
        <v>12</v>
      </c>
      <c r="CE357">
        <v>174.1</v>
      </c>
      <c r="CG357">
        <v>612.20000000000005</v>
      </c>
      <c r="CI357">
        <v>145.4</v>
      </c>
      <c r="CK357">
        <v>2509.5</v>
      </c>
      <c r="CM357">
        <v>69.400000000000006</v>
      </c>
      <c r="CO357">
        <v>136.1</v>
      </c>
      <c r="CQ357">
        <v>255.6</v>
      </c>
      <c r="CS357">
        <v>426</v>
      </c>
      <c r="CU357">
        <v>257156.7</v>
      </c>
      <c r="CW357">
        <v>299.10000000000002</v>
      </c>
      <c r="CY357">
        <v>60779.9</v>
      </c>
      <c r="DA357">
        <v>26584.799999999999</v>
      </c>
      <c r="DC357">
        <v>1.7</v>
      </c>
      <c r="DE357">
        <v>55.8</v>
      </c>
      <c r="DG357">
        <v>76.8</v>
      </c>
      <c r="DI357">
        <v>1876.9</v>
      </c>
      <c r="DK357">
        <v>956.5</v>
      </c>
      <c r="DM357">
        <v>70148.100000000006</v>
      </c>
      <c r="DO357">
        <v>83.3</v>
      </c>
      <c r="DQ357">
        <v>15474</v>
      </c>
    </row>
    <row r="358" spans="1:121" x14ac:dyDescent="0.2">
      <c r="D358" t="s">
        <v>62</v>
      </c>
      <c r="E358" t="s">
        <v>61</v>
      </c>
      <c r="G358">
        <v>552.79999999999995</v>
      </c>
      <c r="I358">
        <v>94.6</v>
      </c>
      <c r="K358">
        <v>463.6</v>
      </c>
      <c r="M358">
        <v>421.8</v>
      </c>
      <c r="O358">
        <v>4.8</v>
      </c>
      <c r="Q358">
        <v>15.7</v>
      </c>
      <c r="S358">
        <v>39.4</v>
      </c>
      <c r="U358">
        <v>24.3</v>
      </c>
      <c r="W358">
        <v>129.80000000000001</v>
      </c>
      <c r="Y358">
        <v>29.7</v>
      </c>
      <c r="AA358">
        <v>24603.7</v>
      </c>
      <c r="AC358">
        <v>135.5</v>
      </c>
      <c r="AE358">
        <v>514.4</v>
      </c>
      <c r="AG358">
        <v>235.4</v>
      </c>
      <c r="AI358">
        <v>17.3</v>
      </c>
      <c r="AK358">
        <v>28.4</v>
      </c>
      <c r="AM358">
        <v>96.3</v>
      </c>
      <c r="AO358">
        <v>49.1</v>
      </c>
      <c r="AQ358">
        <v>84.3</v>
      </c>
      <c r="AS358">
        <v>31.5</v>
      </c>
      <c r="AU358">
        <v>23</v>
      </c>
      <c r="AW358">
        <v>1292.9000000000001</v>
      </c>
      <c r="AY358">
        <v>1387</v>
      </c>
      <c r="BA358">
        <v>4264</v>
      </c>
      <c r="BC358">
        <v>393.6</v>
      </c>
      <c r="BE358">
        <v>1152.5</v>
      </c>
      <c r="BG358">
        <v>7241.1</v>
      </c>
      <c r="BI358">
        <v>4482.8</v>
      </c>
      <c r="BK358">
        <v>7646.6</v>
      </c>
      <c r="BM358">
        <v>1297.2</v>
      </c>
      <c r="BO358">
        <v>736.4</v>
      </c>
      <c r="BQ358">
        <v>373.3</v>
      </c>
      <c r="BS358">
        <v>213.5</v>
      </c>
      <c r="BU358">
        <v>3957.2</v>
      </c>
      <c r="BW358">
        <v>72.599999999999994</v>
      </c>
      <c r="BY358">
        <v>420.9</v>
      </c>
      <c r="CA358">
        <v>309.10000000000002</v>
      </c>
      <c r="CC358">
        <v>11.6</v>
      </c>
      <c r="CE358">
        <v>25.8</v>
      </c>
      <c r="CG358">
        <v>15.8</v>
      </c>
      <c r="CI358">
        <v>8.9</v>
      </c>
      <c r="CK358">
        <v>69.599999999999994</v>
      </c>
      <c r="CM358">
        <v>7.3</v>
      </c>
      <c r="CO358">
        <v>29</v>
      </c>
      <c r="CQ358">
        <v>36.1</v>
      </c>
      <c r="CS358">
        <v>55.6</v>
      </c>
      <c r="CU358">
        <v>6907.3</v>
      </c>
      <c r="CW358">
        <v>30.9</v>
      </c>
      <c r="CY358">
        <v>276.7</v>
      </c>
      <c r="DA358">
        <v>881.8</v>
      </c>
      <c r="DC358">
        <v>2.9</v>
      </c>
      <c r="DE358">
        <v>22.7</v>
      </c>
      <c r="DG358">
        <v>22.4</v>
      </c>
      <c r="DI358">
        <v>175.6</v>
      </c>
      <c r="DK358">
        <v>37.6</v>
      </c>
      <c r="DM358">
        <v>669.2</v>
      </c>
      <c r="DO358">
        <v>16.399999999999999</v>
      </c>
      <c r="DQ358">
        <v>228.6</v>
      </c>
    </row>
    <row r="359" spans="1:121" x14ac:dyDescent="0.2">
      <c r="D359" t="s">
        <v>63</v>
      </c>
      <c r="G359">
        <v>4.6429999999999999E-2</v>
      </c>
      <c r="H359" t="s">
        <v>75</v>
      </c>
      <c r="I359">
        <v>1.6299999999999999E-2</v>
      </c>
      <c r="J359" t="s">
        <v>75</v>
      </c>
      <c r="K359">
        <v>8.7399999999999995E-3</v>
      </c>
      <c r="L359" t="s">
        <v>75</v>
      </c>
      <c r="M359">
        <v>-4.0000000000000003E-5</v>
      </c>
      <c r="N359" t="s">
        <v>75</v>
      </c>
      <c r="O359">
        <v>3.0899999999999999E-3</v>
      </c>
      <c r="P359" t="s">
        <v>75</v>
      </c>
      <c r="Q359">
        <v>2.4910000000000002E-2</v>
      </c>
      <c r="R359" t="s">
        <v>75</v>
      </c>
      <c r="S359">
        <v>7.3999999999999999E-4</v>
      </c>
      <c r="T359" t="s">
        <v>75</v>
      </c>
      <c r="U359">
        <v>1.116E-2</v>
      </c>
      <c r="V359" t="s">
        <v>75</v>
      </c>
      <c r="W359">
        <v>7.0400000000000003E-3</v>
      </c>
      <c r="X359" t="s">
        <v>75</v>
      </c>
      <c r="Y359">
        <v>8.1999999999999998E-4</v>
      </c>
      <c r="Z359" t="s">
        <v>75</v>
      </c>
      <c r="AB359" t="s">
        <v>76</v>
      </c>
      <c r="AC359">
        <v>5.3319999999999999E-2</v>
      </c>
      <c r="AD359" t="s">
        <v>75</v>
      </c>
      <c r="AE359">
        <v>6.4490000000000006E-2</v>
      </c>
      <c r="AF359" t="s">
        <v>75</v>
      </c>
      <c r="AG359">
        <v>-1.438E-2</v>
      </c>
      <c r="AH359" t="s">
        <v>75</v>
      </c>
      <c r="AI359">
        <v>3.8330000000000003E-2</v>
      </c>
      <c r="AJ359" t="s">
        <v>75</v>
      </c>
      <c r="AK359">
        <v>-1.8600000000000001E-3</v>
      </c>
      <c r="AL359" t="s">
        <v>75</v>
      </c>
      <c r="AM359">
        <v>-5.47E-3</v>
      </c>
      <c r="AN359" t="s">
        <v>75</v>
      </c>
      <c r="AO359">
        <v>1.99E-3</v>
      </c>
      <c r="AP359" t="s">
        <v>75</v>
      </c>
      <c r="AQ359">
        <v>4.2000000000000002E-4</v>
      </c>
      <c r="AR359" t="s">
        <v>75</v>
      </c>
      <c r="AS359">
        <v>2.7999999999999998E-4</v>
      </c>
      <c r="AT359" t="s">
        <v>75</v>
      </c>
      <c r="AU359">
        <v>1.6000000000000001E-3</v>
      </c>
      <c r="AV359" t="s">
        <v>75</v>
      </c>
      <c r="AW359">
        <v>1.4499999999999999E-3</v>
      </c>
      <c r="AX359" t="s">
        <v>75</v>
      </c>
      <c r="AY359">
        <v>-2.1800000000000001E-3</v>
      </c>
      <c r="AZ359" t="s">
        <v>75</v>
      </c>
      <c r="BC359">
        <v>-2.0517599999999998</v>
      </c>
      <c r="BD359" t="s">
        <v>75</v>
      </c>
      <c r="BE359">
        <v>3.64E-3</v>
      </c>
      <c r="BF359" t="s">
        <v>75</v>
      </c>
      <c r="BG359">
        <v>-2.529E-2</v>
      </c>
      <c r="BH359" t="s">
        <v>75</v>
      </c>
      <c r="BI359">
        <v>-5.7400000000000003E-3</v>
      </c>
      <c r="BJ359" t="s">
        <v>75</v>
      </c>
      <c r="BK359">
        <v>-3.7900000000000003E-2</v>
      </c>
      <c r="BL359" t="s">
        <v>75</v>
      </c>
      <c r="BM359">
        <v>-8.3599999999999994E-3</v>
      </c>
      <c r="BN359" t="s">
        <v>75</v>
      </c>
      <c r="BO359">
        <v>-0.79459000000000002</v>
      </c>
      <c r="BP359" t="s">
        <v>75</v>
      </c>
      <c r="BQ359">
        <v>-0.10176</v>
      </c>
      <c r="BR359" t="s">
        <v>75</v>
      </c>
      <c r="BS359">
        <v>-0.17710000000000001</v>
      </c>
      <c r="BT359" t="s">
        <v>75</v>
      </c>
      <c r="BU359">
        <v>-0.54854999999999998</v>
      </c>
      <c r="BV359" t="s">
        <v>75</v>
      </c>
      <c r="BW359">
        <v>-1.1339999999999999E-2</v>
      </c>
      <c r="BX359" t="s">
        <v>75</v>
      </c>
      <c r="BY359">
        <v>-1.3202199999999999</v>
      </c>
      <c r="BZ359" t="s">
        <v>75</v>
      </c>
      <c r="CA359">
        <v>0.40394000000000002</v>
      </c>
      <c r="CB359" t="s">
        <v>75</v>
      </c>
      <c r="CC359">
        <v>-1.175E-2</v>
      </c>
      <c r="CD359" t="s">
        <v>75</v>
      </c>
      <c r="CE359">
        <v>8.9999999999999998E-4</v>
      </c>
      <c r="CF359" t="s">
        <v>75</v>
      </c>
      <c r="CG359">
        <v>-7.1300000000000001E-3</v>
      </c>
      <c r="CH359" t="s">
        <v>75</v>
      </c>
      <c r="CI359">
        <v>-2.6849999999999999E-2</v>
      </c>
      <c r="CJ359" t="s">
        <v>75</v>
      </c>
      <c r="CK359">
        <v>-0.29476999999999998</v>
      </c>
      <c r="CL359" t="s">
        <v>75</v>
      </c>
      <c r="CM359">
        <v>-6.0200000000000002E-3</v>
      </c>
      <c r="CN359" t="s">
        <v>75</v>
      </c>
      <c r="CO359">
        <v>1.7850000000000001E-2</v>
      </c>
      <c r="CP359" t="s">
        <v>75</v>
      </c>
      <c r="CQ359">
        <v>-1.9800000000000002E-2</v>
      </c>
      <c r="CR359" t="s">
        <v>75</v>
      </c>
      <c r="CS359">
        <v>1.025E-2</v>
      </c>
      <c r="CT359" t="s">
        <v>75</v>
      </c>
      <c r="CV359" t="s">
        <v>76</v>
      </c>
      <c r="CW359">
        <v>-1.4829999999999999E-2</v>
      </c>
      <c r="CX359" t="s">
        <v>75</v>
      </c>
      <c r="DA359">
        <v>1.44204</v>
      </c>
      <c r="DB359" t="s">
        <v>75</v>
      </c>
      <c r="DC359">
        <v>-3.1E-4</v>
      </c>
      <c r="DD359" t="s">
        <v>75</v>
      </c>
      <c r="DE359">
        <v>8.43E-3</v>
      </c>
      <c r="DF359" t="s">
        <v>75</v>
      </c>
      <c r="DG359">
        <v>0.36412</v>
      </c>
      <c r="DH359" t="s">
        <v>75</v>
      </c>
      <c r="DI359">
        <v>3.0217999999999998</v>
      </c>
      <c r="DJ359" t="s">
        <v>75</v>
      </c>
      <c r="DL359" t="s">
        <v>76</v>
      </c>
      <c r="DN359" t="s">
        <v>76</v>
      </c>
      <c r="DO359">
        <v>4.81E-3</v>
      </c>
      <c r="DP359" t="s">
        <v>75</v>
      </c>
    </row>
    <row r="360" spans="1:121" x14ac:dyDescent="0.2">
      <c r="D360" t="s">
        <v>64</v>
      </c>
      <c r="G360">
        <v>4.79E-3</v>
      </c>
      <c r="H360" t="s">
        <v>75</v>
      </c>
      <c r="I360">
        <v>3.4499999999999999E-3</v>
      </c>
      <c r="J360" t="s">
        <v>75</v>
      </c>
      <c r="K360">
        <v>6.6E-4</v>
      </c>
      <c r="L360" t="s">
        <v>75</v>
      </c>
      <c r="M360">
        <v>5.9000000000000003E-4</v>
      </c>
      <c r="N360" t="s">
        <v>75</v>
      </c>
      <c r="O360">
        <v>0</v>
      </c>
      <c r="P360" t="s">
        <v>75</v>
      </c>
      <c r="Q360">
        <v>1.2E-4</v>
      </c>
      <c r="R360" t="s">
        <v>75</v>
      </c>
      <c r="S360">
        <v>4.0000000000000003E-5</v>
      </c>
      <c r="T360" t="s">
        <v>75</v>
      </c>
      <c r="U360">
        <v>1.2999999999999999E-4</v>
      </c>
      <c r="V360" t="s">
        <v>75</v>
      </c>
      <c r="W360">
        <v>2.5999999999999998E-4</v>
      </c>
      <c r="X360" t="s">
        <v>75</v>
      </c>
      <c r="Y360">
        <v>4.4000000000000002E-4</v>
      </c>
      <c r="Z360" t="s">
        <v>75</v>
      </c>
      <c r="AC360">
        <v>4.0999999999999999E-4</v>
      </c>
      <c r="AD360" t="s">
        <v>75</v>
      </c>
      <c r="AE360">
        <v>2.0799999999999998E-3</v>
      </c>
      <c r="AF360" t="s">
        <v>75</v>
      </c>
      <c r="AG360">
        <v>1.9000000000000001E-4</v>
      </c>
      <c r="AH360" t="s">
        <v>75</v>
      </c>
      <c r="AI360">
        <v>3.4000000000000002E-4</v>
      </c>
      <c r="AJ360" t="s">
        <v>75</v>
      </c>
      <c r="AK360">
        <v>2.0000000000000002E-5</v>
      </c>
      <c r="AL360" t="s">
        <v>75</v>
      </c>
      <c r="AM360">
        <v>6.9999999999999994E-5</v>
      </c>
      <c r="AN360" t="s">
        <v>75</v>
      </c>
      <c r="AO360">
        <v>1.8000000000000001E-4</v>
      </c>
      <c r="AP360" t="s">
        <v>75</v>
      </c>
      <c r="AQ360">
        <v>3.6999999999999999E-4</v>
      </c>
      <c r="AR360" t="s">
        <v>75</v>
      </c>
      <c r="AS360">
        <v>1.2999999999999999E-4</v>
      </c>
      <c r="AT360" t="s">
        <v>75</v>
      </c>
      <c r="AU360">
        <v>1.0000000000000001E-5</v>
      </c>
      <c r="AV360" t="s">
        <v>75</v>
      </c>
      <c r="AW360">
        <v>3.13E-3</v>
      </c>
      <c r="AX360" t="s">
        <v>75</v>
      </c>
      <c r="AY360">
        <v>4.5199999999999997E-3</v>
      </c>
      <c r="AZ360" t="s">
        <v>75</v>
      </c>
      <c r="BC360">
        <v>1.2199999999999999E-3</v>
      </c>
      <c r="BD360" t="s">
        <v>75</v>
      </c>
      <c r="BE360">
        <v>1.1100000000000001E-3</v>
      </c>
      <c r="BF360" t="s">
        <v>75</v>
      </c>
      <c r="BG360">
        <v>2.0899999999999998E-2</v>
      </c>
      <c r="BH360" t="s">
        <v>75</v>
      </c>
      <c r="BI360">
        <v>1.4880000000000001E-2</v>
      </c>
      <c r="BJ360" t="s">
        <v>75</v>
      </c>
      <c r="BK360">
        <v>1.4319999999999999E-2</v>
      </c>
      <c r="BL360" t="s">
        <v>75</v>
      </c>
      <c r="BM360">
        <v>1.23E-3</v>
      </c>
      <c r="BN360" t="s">
        <v>75</v>
      </c>
      <c r="BO360">
        <v>1.265E-2</v>
      </c>
      <c r="BP360" t="s">
        <v>75</v>
      </c>
      <c r="BQ360">
        <v>1.358E-2</v>
      </c>
      <c r="BR360" t="s">
        <v>75</v>
      </c>
      <c r="BS360">
        <v>5.9500000000000004E-3</v>
      </c>
      <c r="BT360" t="s">
        <v>75</v>
      </c>
      <c r="BU360">
        <v>0.15204999999999999</v>
      </c>
      <c r="BV360" t="s">
        <v>75</v>
      </c>
      <c r="BW360">
        <v>3.1099999999999999E-2</v>
      </c>
      <c r="BX360" t="s">
        <v>75</v>
      </c>
      <c r="BY360">
        <v>0.11248</v>
      </c>
      <c r="BZ360" t="s">
        <v>75</v>
      </c>
      <c r="CA360">
        <v>0.18035000000000001</v>
      </c>
      <c r="CB360" t="s">
        <v>75</v>
      </c>
      <c r="CC360">
        <v>2.4199999999999998E-3</v>
      </c>
      <c r="CD360" t="s">
        <v>75</v>
      </c>
      <c r="CE360">
        <v>3.8999999999999999E-4</v>
      </c>
      <c r="CF360" t="s">
        <v>75</v>
      </c>
      <c r="CG360">
        <v>2.9E-4</v>
      </c>
      <c r="CH360" t="s">
        <v>75</v>
      </c>
      <c r="CI360">
        <v>1.1E-4</v>
      </c>
      <c r="CJ360" t="s">
        <v>75</v>
      </c>
      <c r="CK360">
        <v>9.3000000000000005E-4</v>
      </c>
      <c r="CL360" t="s">
        <v>75</v>
      </c>
      <c r="CM360">
        <v>1E-4</v>
      </c>
      <c r="CN360" t="s">
        <v>75</v>
      </c>
      <c r="CO360">
        <v>1.6299999999999999E-3</v>
      </c>
      <c r="CP360" t="s">
        <v>75</v>
      </c>
      <c r="CQ360">
        <v>1.0399999999999999E-3</v>
      </c>
      <c r="CR360" t="s">
        <v>75</v>
      </c>
      <c r="CS360">
        <v>1.406E-2</v>
      </c>
      <c r="CT360" t="s">
        <v>75</v>
      </c>
      <c r="CW360">
        <v>1.1800000000000001E-3</v>
      </c>
      <c r="CX360" t="s">
        <v>75</v>
      </c>
      <c r="DA360">
        <v>3.3890000000000003E-2</v>
      </c>
      <c r="DB360" t="s">
        <v>75</v>
      </c>
      <c r="DC360">
        <v>1.32E-3</v>
      </c>
      <c r="DD360" t="s">
        <v>75</v>
      </c>
      <c r="DE360">
        <v>1.125E-2</v>
      </c>
      <c r="DF360" t="s">
        <v>75</v>
      </c>
      <c r="DG360">
        <v>0.12623000000000001</v>
      </c>
      <c r="DH360" t="s">
        <v>75</v>
      </c>
      <c r="DI360">
        <v>0.3357</v>
      </c>
      <c r="DJ360" t="s">
        <v>75</v>
      </c>
      <c r="DO360">
        <v>2.3700000000000001E-3</v>
      </c>
      <c r="DP360" t="s">
        <v>75</v>
      </c>
    </row>
    <row r="361" spans="1:121" x14ac:dyDescent="0.2">
      <c r="D361" t="s">
        <v>65</v>
      </c>
      <c r="G361" t="s">
        <v>66</v>
      </c>
      <c r="I361" t="s">
        <v>66</v>
      </c>
      <c r="K361" t="s">
        <v>66</v>
      </c>
      <c r="M361" t="s">
        <v>66</v>
      </c>
      <c r="O361" t="s">
        <v>66</v>
      </c>
      <c r="Q361" t="s">
        <v>66</v>
      </c>
      <c r="S361" t="s">
        <v>66</v>
      </c>
      <c r="U361" t="s">
        <v>66</v>
      </c>
      <c r="W361" t="s">
        <v>66</v>
      </c>
      <c r="Y361" t="s">
        <v>66</v>
      </c>
      <c r="AA361" t="s">
        <v>66</v>
      </c>
      <c r="AC361" t="s">
        <v>66</v>
      </c>
      <c r="AE361" t="s">
        <v>66</v>
      </c>
      <c r="AG361" t="s">
        <v>66</v>
      </c>
      <c r="AI361" t="s">
        <v>66</v>
      </c>
      <c r="AK361" t="s">
        <v>66</v>
      </c>
      <c r="AM361" t="s">
        <v>66</v>
      </c>
      <c r="AO361" t="s">
        <v>66</v>
      </c>
      <c r="AQ361" t="s">
        <v>66</v>
      </c>
      <c r="AS361" t="s">
        <v>66</v>
      </c>
      <c r="AU361" t="s">
        <v>66</v>
      </c>
      <c r="AW361" t="s">
        <v>66</v>
      </c>
      <c r="AY361" t="s">
        <v>66</v>
      </c>
      <c r="BA361" t="s">
        <v>66</v>
      </c>
      <c r="BC361" t="s">
        <v>66</v>
      </c>
      <c r="BE361" t="s">
        <v>66</v>
      </c>
      <c r="BG361" t="s">
        <v>66</v>
      </c>
      <c r="BI361" t="s">
        <v>66</v>
      </c>
      <c r="BK361" t="s">
        <v>66</v>
      </c>
      <c r="BM361" t="s">
        <v>66</v>
      </c>
      <c r="BO361" t="s">
        <v>66</v>
      </c>
      <c r="BQ361" t="s">
        <v>66</v>
      </c>
      <c r="BS361" t="s">
        <v>66</v>
      </c>
      <c r="BU361" t="s">
        <v>66</v>
      </c>
      <c r="BW361" t="s">
        <v>66</v>
      </c>
      <c r="BY361" t="s">
        <v>66</v>
      </c>
      <c r="CA361" t="s">
        <v>66</v>
      </c>
      <c r="CC361" t="s">
        <v>66</v>
      </c>
      <c r="CE361" t="s">
        <v>66</v>
      </c>
      <c r="CG361" t="s">
        <v>66</v>
      </c>
      <c r="CI361" t="s">
        <v>66</v>
      </c>
      <c r="CK361" t="s">
        <v>66</v>
      </c>
      <c r="CM361" t="s">
        <v>66</v>
      </c>
      <c r="CO361" t="s">
        <v>66</v>
      </c>
      <c r="CQ361" t="s">
        <v>66</v>
      </c>
      <c r="CS361" t="s">
        <v>66</v>
      </c>
      <c r="CU361" t="s">
        <v>66</v>
      </c>
      <c r="CW361" t="s">
        <v>66</v>
      </c>
      <c r="CY361" t="s">
        <v>66</v>
      </c>
      <c r="DA361" t="s">
        <v>66</v>
      </c>
      <c r="DC361" t="s">
        <v>66</v>
      </c>
      <c r="DE361" t="s">
        <v>66</v>
      </c>
      <c r="DG361" t="s">
        <v>66</v>
      </c>
      <c r="DI361" t="s">
        <v>66</v>
      </c>
      <c r="DK361" t="s">
        <v>66</v>
      </c>
      <c r="DM361" t="s">
        <v>66</v>
      </c>
      <c r="DO361" t="s">
        <v>66</v>
      </c>
      <c r="DQ361" t="s">
        <v>66</v>
      </c>
    </row>
    <row r="362" spans="1:121" x14ac:dyDescent="0.2">
      <c r="A362" t="s">
        <v>642</v>
      </c>
      <c r="D362" t="s">
        <v>60</v>
      </c>
      <c r="E362" t="s">
        <v>61</v>
      </c>
      <c r="G362">
        <v>31578.799999999999</v>
      </c>
      <c r="I362">
        <v>627.4</v>
      </c>
      <c r="K362">
        <v>1771510.5</v>
      </c>
      <c r="M362">
        <v>122698.8</v>
      </c>
      <c r="O362">
        <v>815</v>
      </c>
      <c r="Q362">
        <v>22176.1</v>
      </c>
      <c r="S362">
        <v>2156</v>
      </c>
      <c r="U362">
        <v>1660.6</v>
      </c>
      <c r="W362">
        <v>95684.800000000003</v>
      </c>
      <c r="Y362">
        <v>137263.1</v>
      </c>
      <c r="AA362">
        <v>12434830.699999999</v>
      </c>
      <c r="AC362">
        <v>13466613.6</v>
      </c>
      <c r="AE362">
        <v>70436267.599999994</v>
      </c>
      <c r="AG362">
        <v>100773.4</v>
      </c>
      <c r="AI362">
        <v>204070.39999999999</v>
      </c>
      <c r="AK362">
        <v>28937.4</v>
      </c>
      <c r="AM362">
        <v>2271.6999999999998</v>
      </c>
      <c r="AO362">
        <v>241.7</v>
      </c>
      <c r="AQ362">
        <v>345.9</v>
      </c>
      <c r="AS362">
        <v>324</v>
      </c>
      <c r="AU362">
        <v>366.7</v>
      </c>
      <c r="AW362">
        <v>287.5</v>
      </c>
      <c r="AY362">
        <v>9341.5</v>
      </c>
      <c r="BA362">
        <v>676085.1</v>
      </c>
      <c r="BC362">
        <v>2255</v>
      </c>
      <c r="BE362">
        <v>44515.7</v>
      </c>
      <c r="BG362">
        <v>3276299.7</v>
      </c>
      <c r="BI362">
        <v>2777958.3</v>
      </c>
      <c r="BK362">
        <v>6025062.2999999998</v>
      </c>
      <c r="BM362">
        <v>1158442.5</v>
      </c>
      <c r="BO362">
        <v>32149685.800000001</v>
      </c>
      <c r="BQ362">
        <v>77623.199999999997</v>
      </c>
      <c r="BS362">
        <v>140833.70000000001</v>
      </c>
      <c r="BU362">
        <v>7192376.4000000004</v>
      </c>
      <c r="BW362">
        <v>395665.9</v>
      </c>
      <c r="BY362">
        <v>332183.59999999998</v>
      </c>
      <c r="CA362">
        <v>46273.599999999999</v>
      </c>
      <c r="CC362">
        <v>213</v>
      </c>
      <c r="CE362">
        <v>367.6</v>
      </c>
      <c r="CG362">
        <v>14982.6</v>
      </c>
      <c r="CI362">
        <v>107949.5</v>
      </c>
      <c r="CK362">
        <v>283427.20000000001</v>
      </c>
      <c r="CM362">
        <v>31845.5</v>
      </c>
      <c r="CO362">
        <v>4510.1000000000004</v>
      </c>
      <c r="CQ362">
        <v>450821.6</v>
      </c>
      <c r="CS362">
        <v>10658596.1</v>
      </c>
      <c r="CU362">
        <v>1286966.5</v>
      </c>
      <c r="CW362">
        <v>1541979.6</v>
      </c>
      <c r="CY362">
        <v>60150.7</v>
      </c>
      <c r="DA362">
        <v>12754966.800000001</v>
      </c>
      <c r="DC362">
        <v>404.7</v>
      </c>
      <c r="DE362">
        <v>79058.600000000006</v>
      </c>
      <c r="DG362">
        <v>135</v>
      </c>
      <c r="DI362">
        <v>1741.8</v>
      </c>
      <c r="DK362">
        <v>786.3</v>
      </c>
      <c r="DM362">
        <v>340804.8</v>
      </c>
      <c r="DO362">
        <v>366334.4</v>
      </c>
      <c r="DQ362">
        <v>15697.7</v>
      </c>
    </row>
    <row r="363" spans="1:121" x14ac:dyDescent="0.2">
      <c r="D363" t="s">
        <v>62</v>
      </c>
      <c r="E363" t="s">
        <v>61</v>
      </c>
      <c r="G363">
        <v>385.3</v>
      </c>
      <c r="I363">
        <v>88.5</v>
      </c>
      <c r="K363">
        <v>16911.900000000001</v>
      </c>
      <c r="M363">
        <v>1261.5</v>
      </c>
      <c r="O363">
        <v>57</v>
      </c>
      <c r="Q363">
        <v>73.3</v>
      </c>
      <c r="S363">
        <v>125.2</v>
      </c>
      <c r="U363">
        <v>173.2</v>
      </c>
      <c r="W363">
        <v>579.9</v>
      </c>
      <c r="Y363">
        <v>2321.3000000000002</v>
      </c>
      <c r="AA363">
        <v>36423.800000000003</v>
      </c>
      <c r="AC363">
        <v>135518</v>
      </c>
      <c r="AE363">
        <v>631815.1</v>
      </c>
      <c r="AG363">
        <v>583.20000000000005</v>
      </c>
      <c r="AI363">
        <v>1219.3</v>
      </c>
      <c r="AK363">
        <v>1003.5</v>
      </c>
      <c r="AM363">
        <v>129.6</v>
      </c>
      <c r="AO363">
        <v>22.2</v>
      </c>
      <c r="AQ363">
        <v>15.8</v>
      </c>
      <c r="AS363">
        <v>72</v>
      </c>
      <c r="AU363">
        <v>65.900000000000006</v>
      </c>
      <c r="AW363">
        <v>27.2</v>
      </c>
      <c r="AY363">
        <v>108.4</v>
      </c>
      <c r="BA363">
        <v>1006.6</v>
      </c>
      <c r="BC363">
        <v>82.3</v>
      </c>
      <c r="BE363">
        <v>232.1</v>
      </c>
      <c r="BG363">
        <v>14351</v>
      </c>
      <c r="BI363">
        <v>18937.400000000001</v>
      </c>
      <c r="BK363">
        <v>43888.6</v>
      </c>
      <c r="BM363">
        <v>4311</v>
      </c>
      <c r="BO363">
        <v>602688.6</v>
      </c>
      <c r="BQ363">
        <v>1210</v>
      </c>
      <c r="BS363">
        <v>2016.6</v>
      </c>
      <c r="BU363">
        <v>40666.800000000003</v>
      </c>
      <c r="BW363">
        <v>2403.9</v>
      </c>
      <c r="BY363">
        <v>2620.6</v>
      </c>
      <c r="CA363">
        <v>946.9</v>
      </c>
      <c r="CC363">
        <v>23.6</v>
      </c>
      <c r="CE363">
        <v>25.2</v>
      </c>
      <c r="CG363">
        <v>378.5</v>
      </c>
      <c r="CI363">
        <v>1664.7</v>
      </c>
      <c r="CK363">
        <v>9179.2000000000007</v>
      </c>
      <c r="CM363">
        <v>577.4</v>
      </c>
      <c r="CO363">
        <v>86.8</v>
      </c>
      <c r="CQ363">
        <v>3581.3</v>
      </c>
      <c r="CS363">
        <v>158187.9</v>
      </c>
      <c r="CU363">
        <v>6094.9</v>
      </c>
      <c r="CW363">
        <v>23991.7</v>
      </c>
      <c r="CY363">
        <v>1148.8</v>
      </c>
      <c r="DA363">
        <v>62519.3</v>
      </c>
      <c r="DC363">
        <v>556.70000000000005</v>
      </c>
      <c r="DE363">
        <v>664.6</v>
      </c>
      <c r="DG363">
        <v>19.8</v>
      </c>
      <c r="DI363">
        <v>54.9</v>
      </c>
      <c r="DK363">
        <v>33.9</v>
      </c>
      <c r="DM363">
        <v>5922.1</v>
      </c>
      <c r="DO363">
        <v>6751.5</v>
      </c>
      <c r="DQ363">
        <v>197.9</v>
      </c>
    </row>
    <row r="364" spans="1:121" x14ac:dyDescent="0.2">
      <c r="D364" t="s">
        <v>63</v>
      </c>
      <c r="G364">
        <v>0.21715999999999999</v>
      </c>
      <c r="H364" t="s">
        <v>75</v>
      </c>
      <c r="I364">
        <v>9.3200000000000002E-3</v>
      </c>
      <c r="J364" t="s">
        <v>75</v>
      </c>
      <c r="K364">
        <v>2.25569</v>
      </c>
      <c r="L364" t="s">
        <v>75</v>
      </c>
      <c r="M364">
        <v>9.078E-2</v>
      </c>
      <c r="N364" t="s">
        <v>75</v>
      </c>
      <c r="O364">
        <v>3.6099999999999999E-3</v>
      </c>
      <c r="P364" t="s">
        <v>75</v>
      </c>
      <c r="Q364">
        <v>0.16456999999999999</v>
      </c>
      <c r="R364" t="s">
        <v>75</v>
      </c>
      <c r="S364">
        <v>1.1999999999999999E-3</v>
      </c>
      <c r="T364" t="s">
        <v>75</v>
      </c>
      <c r="U364">
        <v>1.2529999999999999E-2</v>
      </c>
      <c r="V364" t="s">
        <v>75</v>
      </c>
      <c r="W364">
        <v>0.20705000000000001</v>
      </c>
      <c r="X364" t="s">
        <v>75</v>
      </c>
      <c r="Y364">
        <v>2.0436399999999999</v>
      </c>
      <c r="Z364" t="s">
        <v>75</v>
      </c>
      <c r="AB364" t="s">
        <v>76</v>
      </c>
      <c r="AC364">
        <v>48.076880000000003</v>
      </c>
      <c r="AD364" t="s">
        <v>75</v>
      </c>
      <c r="AE364">
        <v>264.55437999999998</v>
      </c>
      <c r="AF364" t="s">
        <v>75</v>
      </c>
      <c r="AG364">
        <v>6.2969999999999998E-2</v>
      </c>
      <c r="AH364" t="s">
        <v>75</v>
      </c>
      <c r="AI364">
        <v>1.29331</v>
      </c>
      <c r="AJ364" t="s">
        <v>75</v>
      </c>
      <c r="AK364">
        <v>1.7760000000000001E-2</v>
      </c>
      <c r="AL364" t="s">
        <v>75</v>
      </c>
      <c r="AM364">
        <v>-3.98E-3</v>
      </c>
      <c r="AN364" t="s">
        <v>75</v>
      </c>
      <c r="AO364">
        <v>2.31E-3</v>
      </c>
      <c r="AP364" t="s">
        <v>75</v>
      </c>
      <c r="AQ364">
        <v>5.2999999999999998E-4</v>
      </c>
      <c r="AR364" t="s">
        <v>75</v>
      </c>
      <c r="AS364">
        <v>4.0999999999999999E-4</v>
      </c>
      <c r="AT364" t="s">
        <v>75</v>
      </c>
      <c r="AU364">
        <v>1.5900000000000001E-3</v>
      </c>
      <c r="AV364" t="s">
        <v>75</v>
      </c>
      <c r="AW364">
        <v>-1E-4</v>
      </c>
      <c r="AX364" t="s">
        <v>75</v>
      </c>
      <c r="AY364">
        <v>1.9859999999999999E-2</v>
      </c>
      <c r="AZ364" t="s">
        <v>75</v>
      </c>
      <c r="BC364">
        <v>-2.05314</v>
      </c>
      <c r="BD364" t="s">
        <v>75</v>
      </c>
      <c r="BE364">
        <v>4.5190000000000001E-2</v>
      </c>
      <c r="BF364" t="s">
        <v>75</v>
      </c>
      <c r="BG364">
        <v>9.4063199999999991</v>
      </c>
      <c r="BH364" t="s">
        <v>75</v>
      </c>
      <c r="BI364">
        <v>9.1906400000000001</v>
      </c>
      <c r="BJ364" t="s">
        <v>75</v>
      </c>
      <c r="BK364">
        <v>8.8659700000000008</v>
      </c>
      <c r="BL364" t="s">
        <v>75</v>
      </c>
      <c r="BM364">
        <v>1.0817000000000001</v>
      </c>
      <c r="BN364" t="s">
        <v>75</v>
      </c>
      <c r="BO364">
        <v>702.17475999999999</v>
      </c>
      <c r="BP364" t="s">
        <v>75</v>
      </c>
      <c r="BQ364">
        <v>2.1855099999999998</v>
      </c>
      <c r="BR364" t="s">
        <v>75</v>
      </c>
      <c r="BS364">
        <v>2.6702400000000002</v>
      </c>
      <c r="BT364" t="s">
        <v>75</v>
      </c>
      <c r="BU364">
        <v>274.46877000000001</v>
      </c>
      <c r="BV364" t="s">
        <v>75</v>
      </c>
      <c r="BW364">
        <v>166.25758999999999</v>
      </c>
      <c r="BX364" t="s">
        <v>75</v>
      </c>
      <c r="BY364">
        <v>84.392930000000007</v>
      </c>
      <c r="BZ364" t="s">
        <v>75</v>
      </c>
      <c r="CA364">
        <v>20.97805</v>
      </c>
      <c r="CB364" t="s">
        <v>75</v>
      </c>
      <c r="CC364">
        <v>3.082E-2</v>
      </c>
      <c r="CD364" t="s">
        <v>75</v>
      </c>
      <c r="CE364">
        <v>3.7799999999999999E-3</v>
      </c>
      <c r="CF364" t="s">
        <v>75</v>
      </c>
      <c r="CG364">
        <v>0.23588999999999999</v>
      </c>
      <c r="CH364" t="s">
        <v>75</v>
      </c>
      <c r="CI364">
        <v>1.36768</v>
      </c>
      <c r="CJ364" t="s">
        <v>75</v>
      </c>
      <c r="CK364">
        <v>3.6498900000000001</v>
      </c>
      <c r="CL364" t="s">
        <v>75</v>
      </c>
      <c r="CM364">
        <v>0.44142999999999999</v>
      </c>
      <c r="CN364" t="s">
        <v>75</v>
      </c>
      <c r="CO364">
        <v>0.26321</v>
      </c>
      <c r="CP364" t="s">
        <v>75</v>
      </c>
      <c r="CQ364">
        <v>13.494630000000001</v>
      </c>
      <c r="CR364" t="s">
        <v>75</v>
      </c>
      <c r="CS364">
        <v>2764.8780000000002</v>
      </c>
      <c r="CT364" t="s">
        <v>75</v>
      </c>
      <c r="CV364" t="s">
        <v>76</v>
      </c>
      <c r="CW364">
        <v>56.740879999999997</v>
      </c>
      <c r="CX364" t="s">
        <v>75</v>
      </c>
      <c r="DA364">
        <v>789.53858000000002</v>
      </c>
      <c r="DB364" t="s">
        <v>75</v>
      </c>
      <c r="DC364">
        <v>0.18189</v>
      </c>
      <c r="DD364" t="s">
        <v>75</v>
      </c>
      <c r="DE364">
        <v>37.14687</v>
      </c>
      <c r="DF364" t="s">
        <v>75</v>
      </c>
      <c r="DG364">
        <v>0.67503999999999997</v>
      </c>
      <c r="DH364" t="s">
        <v>75</v>
      </c>
      <c r="DI364">
        <v>2.7354799999999999</v>
      </c>
      <c r="DJ364" t="s">
        <v>75</v>
      </c>
      <c r="DL364" t="s">
        <v>76</v>
      </c>
      <c r="DN364" t="s">
        <v>76</v>
      </c>
      <c r="DO364">
        <v>56.290790000000001</v>
      </c>
      <c r="DP364" t="s">
        <v>75</v>
      </c>
    </row>
    <row r="365" spans="1:121" x14ac:dyDescent="0.2">
      <c r="D365" t="s">
        <v>64</v>
      </c>
      <c r="G365">
        <v>3.2299999999999998E-3</v>
      </c>
      <c r="H365" t="s">
        <v>75</v>
      </c>
      <c r="I365">
        <v>3.0799999999999998E-3</v>
      </c>
      <c r="J365" t="s">
        <v>75</v>
      </c>
      <c r="K365">
        <v>1.8339999999999999E-2</v>
      </c>
      <c r="L365" t="s">
        <v>75</v>
      </c>
      <c r="M365">
        <v>1.1199999999999999E-3</v>
      </c>
      <c r="N365" t="s">
        <v>75</v>
      </c>
      <c r="O365">
        <v>5.0000000000000002E-5</v>
      </c>
      <c r="P365" t="s">
        <v>75</v>
      </c>
      <c r="Q365">
        <v>2.5999999999999998E-4</v>
      </c>
      <c r="R365" t="s">
        <v>75</v>
      </c>
      <c r="S365">
        <v>1.1E-4</v>
      </c>
      <c r="T365" t="s">
        <v>75</v>
      </c>
      <c r="U365">
        <v>7.1000000000000002E-4</v>
      </c>
      <c r="V365" t="s">
        <v>75</v>
      </c>
      <c r="W365">
        <v>1.5E-3</v>
      </c>
      <c r="X365" t="s">
        <v>75</v>
      </c>
      <c r="Y365">
        <v>3.2469999999999999E-2</v>
      </c>
      <c r="Z365" t="s">
        <v>75</v>
      </c>
      <c r="AC365">
        <v>0.43015999999999999</v>
      </c>
      <c r="AD365" t="s">
        <v>75</v>
      </c>
      <c r="AE365">
        <v>2.5768900000000001</v>
      </c>
      <c r="AF365" t="s">
        <v>75</v>
      </c>
      <c r="AG365">
        <v>4.2000000000000002E-4</v>
      </c>
      <c r="AH365" t="s">
        <v>75</v>
      </c>
      <c r="AI365">
        <v>8.6300000000000005E-3</v>
      </c>
      <c r="AJ365" t="s">
        <v>75</v>
      </c>
      <c r="AK365">
        <v>6.9999999999999999E-4</v>
      </c>
      <c r="AL365" t="s">
        <v>75</v>
      </c>
      <c r="AM365">
        <v>1E-4</v>
      </c>
      <c r="AN365" t="s">
        <v>75</v>
      </c>
      <c r="AO365">
        <v>8.0000000000000007E-5</v>
      </c>
      <c r="AP365" t="s">
        <v>75</v>
      </c>
      <c r="AQ365">
        <v>6.9999999999999994E-5</v>
      </c>
      <c r="AR365" t="s">
        <v>75</v>
      </c>
      <c r="AS365">
        <v>3.2000000000000003E-4</v>
      </c>
      <c r="AT365" t="s">
        <v>75</v>
      </c>
      <c r="AU365">
        <v>4.0000000000000003E-5</v>
      </c>
      <c r="AV365" t="s">
        <v>75</v>
      </c>
      <c r="AW365">
        <v>6.9999999999999994E-5</v>
      </c>
      <c r="AX365" t="s">
        <v>75</v>
      </c>
      <c r="AY365">
        <v>3.1E-4</v>
      </c>
      <c r="AZ365" t="s">
        <v>75</v>
      </c>
      <c r="BC365">
        <v>2.5999999999999998E-4</v>
      </c>
      <c r="BD365" t="s">
        <v>75</v>
      </c>
      <c r="BE365">
        <v>1.8000000000000001E-4</v>
      </c>
      <c r="BF365" t="s">
        <v>75</v>
      </c>
      <c r="BG365">
        <v>4.7899999999999998E-2</v>
      </c>
      <c r="BH365" t="s">
        <v>75</v>
      </c>
      <c r="BI365">
        <v>5.3429999999999998E-2</v>
      </c>
      <c r="BJ365" t="s">
        <v>75</v>
      </c>
      <c r="BK365">
        <v>5.2769999999999997E-2</v>
      </c>
      <c r="BL365" t="s">
        <v>75</v>
      </c>
      <c r="BM365">
        <v>3.14E-3</v>
      </c>
      <c r="BN365" t="s">
        <v>75</v>
      </c>
      <c r="BO365">
        <v>26.51586</v>
      </c>
      <c r="BP365" t="s">
        <v>75</v>
      </c>
      <c r="BQ365">
        <v>9.1130000000000003E-2</v>
      </c>
      <c r="BR365" t="s">
        <v>75</v>
      </c>
      <c r="BS365">
        <v>0.10259</v>
      </c>
      <c r="BT365" t="s">
        <v>75</v>
      </c>
      <c r="BU365">
        <v>6.1357900000000001</v>
      </c>
      <c r="BV365" t="s">
        <v>75</v>
      </c>
      <c r="BW365">
        <v>2.48584</v>
      </c>
      <c r="BX365" t="s">
        <v>75</v>
      </c>
      <c r="BY365">
        <v>1.89249</v>
      </c>
      <c r="BZ365" t="s">
        <v>75</v>
      </c>
      <c r="CA365">
        <v>0.79386999999999996</v>
      </c>
      <c r="CB365" t="s">
        <v>75</v>
      </c>
      <c r="CC365">
        <v>5.3899999999999998E-3</v>
      </c>
      <c r="CD365" t="s">
        <v>75</v>
      </c>
      <c r="CE365">
        <v>2.7999999999999998E-4</v>
      </c>
      <c r="CF365" t="s">
        <v>75</v>
      </c>
      <c r="CG365">
        <v>1.0789999999999999E-2</v>
      </c>
      <c r="CH365" t="s">
        <v>75</v>
      </c>
      <c r="CI365">
        <v>3.2539999999999999E-2</v>
      </c>
      <c r="CJ365" t="s">
        <v>75</v>
      </c>
      <c r="CK365">
        <v>0.17308999999999999</v>
      </c>
      <c r="CL365" t="s">
        <v>75</v>
      </c>
      <c r="CM365">
        <v>1.2670000000000001E-2</v>
      </c>
      <c r="CN365" t="s">
        <v>75</v>
      </c>
      <c r="CO365">
        <v>8.7399999999999995E-3</v>
      </c>
      <c r="CP365" t="s">
        <v>75</v>
      </c>
      <c r="CQ365">
        <v>0.36077999999999999</v>
      </c>
      <c r="CR365" t="s">
        <v>75</v>
      </c>
      <c r="CS365">
        <v>91.522080000000003</v>
      </c>
      <c r="CT365" t="s">
        <v>75</v>
      </c>
      <c r="CW365">
        <v>1.9783599999999999</v>
      </c>
      <c r="CX365" t="s">
        <v>75</v>
      </c>
      <c r="DA365">
        <v>8.2932299999999994</v>
      </c>
      <c r="DB365" t="s">
        <v>75</v>
      </c>
      <c r="DC365">
        <v>0.25054999999999999</v>
      </c>
      <c r="DD365" t="s">
        <v>75</v>
      </c>
      <c r="DE365">
        <v>0.71165999999999996</v>
      </c>
      <c r="DF365" t="s">
        <v>75</v>
      </c>
      <c r="DG365">
        <v>0.10077999999999999</v>
      </c>
      <c r="DH365" t="s">
        <v>75</v>
      </c>
      <c r="DI365">
        <v>0.13603000000000001</v>
      </c>
      <c r="DJ365" t="s">
        <v>75</v>
      </c>
      <c r="DO365">
        <v>1.6727000000000001</v>
      </c>
      <c r="DP365" t="s">
        <v>75</v>
      </c>
    </row>
    <row r="366" spans="1:121" x14ac:dyDescent="0.2">
      <c r="D366" t="s">
        <v>65</v>
      </c>
      <c r="G366" t="s">
        <v>66</v>
      </c>
      <c r="I366" t="s">
        <v>66</v>
      </c>
      <c r="K366" t="s">
        <v>66</v>
      </c>
      <c r="M366" t="s">
        <v>66</v>
      </c>
      <c r="O366" t="s">
        <v>66</v>
      </c>
      <c r="Q366" t="s">
        <v>66</v>
      </c>
      <c r="S366" t="s">
        <v>66</v>
      </c>
      <c r="U366" t="s">
        <v>66</v>
      </c>
      <c r="W366" t="s">
        <v>66</v>
      </c>
      <c r="Y366" t="s">
        <v>66</v>
      </c>
      <c r="AA366" t="s">
        <v>66</v>
      </c>
      <c r="AC366" t="s">
        <v>66</v>
      </c>
      <c r="AE366" t="s">
        <v>66</v>
      </c>
      <c r="AG366" t="s">
        <v>66</v>
      </c>
      <c r="AI366" t="s">
        <v>66</v>
      </c>
      <c r="AK366" t="s">
        <v>66</v>
      </c>
      <c r="AM366" t="s">
        <v>66</v>
      </c>
      <c r="AO366" t="s">
        <v>66</v>
      </c>
      <c r="AQ366" t="s">
        <v>66</v>
      </c>
      <c r="AS366" t="s">
        <v>66</v>
      </c>
      <c r="AU366" t="s">
        <v>66</v>
      </c>
      <c r="AW366" t="s">
        <v>66</v>
      </c>
      <c r="AY366" t="s">
        <v>66</v>
      </c>
      <c r="BA366" t="s">
        <v>66</v>
      </c>
      <c r="BC366" t="s">
        <v>66</v>
      </c>
      <c r="BE366" t="s">
        <v>66</v>
      </c>
      <c r="BG366" t="s">
        <v>66</v>
      </c>
      <c r="BI366" t="s">
        <v>66</v>
      </c>
      <c r="BK366" t="s">
        <v>66</v>
      </c>
      <c r="BM366" t="s">
        <v>66</v>
      </c>
      <c r="BO366" t="s">
        <v>66</v>
      </c>
      <c r="BQ366" t="s">
        <v>66</v>
      </c>
      <c r="BS366" t="s">
        <v>66</v>
      </c>
      <c r="BU366" t="s">
        <v>66</v>
      </c>
      <c r="BW366" t="s">
        <v>66</v>
      </c>
      <c r="BY366" t="s">
        <v>66</v>
      </c>
      <c r="CA366" t="s">
        <v>66</v>
      </c>
      <c r="CC366" t="s">
        <v>66</v>
      </c>
      <c r="CE366" t="s">
        <v>66</v>
      </c>
      <c r="CG366" t="s">
        <v>66</v>
      </c>
      <c r="CI366" t="s">
        <v>66</v>
      </c>
      <c r="CK366" t="s">
        <v>66</v>
      </c>
      <c r="CM366" t="s">
        <v>66</v>
      </c>
      <c r="CO366" t="s">
        <v>66</v>
      </c>
      <c r="CQ366" t="s">
        <v>66</v>
      </c>
      <c r="CS366" t="s">
        <v>66</v>
      </c>
      <c r="CU366" t="s">
        <v>66</v>
      </c>
      <c r="CW366" t="s">
        <v>66</v>
      </c>
      <c r="CY366" t="s">
        <v>66</v>
      </c>
      <c r="DA366" t="s">
        <v>66</v>
      </c>
      <c r="DC366" t="s">
        <v>66</v>
      </c>
      <c r="DE366" t="s">
        <v>66</v>
      </c>
      <c r="DG366" t="s">
        <v>66</v>
      </c>
      <c r="DI366" t="s">
        <v>66</v>
      </c>
      <c r="DK366" t="s">
        <v>66</v>
      </c>
      <c r="DM366" t="s">
        <v>66</v>
      </c>
      <c r="DO366" t="s">
        <v>66</v>
      </c>
      <c r="DQ366" t="s">
        <v>66</v>
      </c>
    </row>
    <row r="367" spans="1:121" x14ac:dyDescent="0.2">
      <c r="A367" t="s">
        <v>643</v>
      </c>
      <c r="D367" t="s">
        <v>60</v>
      </c>
      <c r="E367" t="s">
        <v>61</v>
      </c>
      <c r="G367">
        <v>22946.6</v>
      </c>
      <c r="I367">
        <v>751.8</v>
      </c>
      <c r="K367">
        <v>799678.8</v>
      </c>
      <c r="M367">
        <v>84319.1</v>
      </c>
      <c r="O367">
        <v>412.5</v>
      </c>
      <c r="Q367">
        <v>16049.8</v>
      </c>
      <c r="S367">
        <v>1914</v>
      </c>
      <c r="U367">
        <v>1591.8</v>
      </c>
      <c r="W367">
        <v>58249.1</v>
      </c>
      <c r="Y367">
        <v>110439.3</v>
      </c>
      <c r="AA367">
        <v>12278676.4</v>
      </c>
      <c r="AC367">
        <v>11760561.800000001</v>
      </c>
      <c r="AE367">
        <v>59068631.799999997</v>
      </c>
      <c r="AG367">
        <v>52449.1</v>
      </c>
      <c r="AI367">
        <v>136173.4</v>
      </c>
      <c r="AK367">
        <v>23232.799999999999</v>
      </c>
      <c r="AM367">
        <v>1507.3</v>
      </c>
      <c r="AO367">
        <v>178.1</v>
      </c>
      <c r="AQ367">
        <v>263.60000000000002</v>
      </c>
      <c r="AS367">
        <v>292.7</v>
      </c>
      <c r="AU367">
        <v>259.39999999999998</v>
      </c>
      <c r="AW367">
        <v>216.7</v>
      </c>
      <c r="AY367">
        <v>7515.9</v>
      </c>
      <c r="BA367">
        <v>681938.2</v>
      </c>
      <c r="BC367">
        <v>2347.8000000000002</v>
      </c>
      <c r="BE367">
        <v>33715.699999999997</v>
      </c>
      <c r="BG367">
        <v>2194906</v>
      </c>
      <c r="BI367">
        <v>1849371.3</v>
      </c>
      <c r="BK367">
        <v>4142650.8</v>
      </c>
      <c r="BM367">
        <v>753803.4</v>
      </c>
      <c r="BO367">
        <v>22409305</v>
      </c>
      <c r="BQ367">
        <v>35594.9</v>
      </c>
      <c r="BS367">
        <v>210205.2</v>
      </c>
      <c r="BU367">
        <v>5692436.9000000004</v>
      </c>
      <c r="BW367">
        <v>311890.8</v>
      </c>
      <c r="BY367">
        <v>185866</v>
      </c>
      <c r="CA367">
        <v>35651.5</v>
      </c>
      <c r="CC367">
        <v>155.6</v>
      </c>
      <c r="CE367">
        <v>225.9</v>
      </c>
      <c r="CG367">
        <v>5097</v>
      </c>
      <c r="CI367">
        <v>69440.800000000003</v>
      </c>
      <c r="CK367">
        <v>222011.6</v>
      </c>
      <c r="CM367">
        <v>42667.3</v>
      </c>
      <c r="CO367">
        <v>2487.3000000000002</v>
      </c>
      <c r="CQ367">
        <v>419603.9</v>
      </c>
      <c r="CS367">
        <v>7724608.5999999996</v>
      </c>
      <c r="CU367">
        <v>1237783.1000000001</v>
      </c>
      <c r="CW367">
        <v>1317999.1000000001</v>
      </c>
      <c r="CY367">
        <v>59347.7</v>
      </c>
      <c r="DA367">
        <v>6931195.5</v>
      </c>
      <c r="DC367">
        <v>54.4</v>
      </c>
      <c r="DE367">
        <v>66696.100000000006</v>
      </c>
      <c r="DG367">
        <v>144.5</v>
      </c>
      <c r="DI367">
        <v>2208</v>
      </c>
      <c r="DK367">
        <v>865.9</v>
      </c>
      <c r="DM367">
        <v>329764.90000000002</v>
      </c>
      <c r="DO367">
        <v>313021.40000000002</v>
      </c>
      <c r="DQ367">
        <v>16136.6</v>
      </c>
    </row>
    <row r="368" spans="1:121" x14ac:dyDescent="0.2">
      <c r="D368" t="s">
        <v>62</v>
      </c>
      <c r="E368" t="s">
        <v>61</v>
      </c>
      <c r="G368">
        <v>392.2</v>
      </c>
      <c r="I368">
        <v>36</v>
      </c>
      <c r="K368">
        <v>10288.5</v>
      </c>
      <c r="M368">
        <v>567.20000000000005</v>
      </c>
      <c r="O368">
        <v>29.8</v>
      </c>
      <c r="Q368">
        <v>385.5</v>
      </c>
      <c r="S368">
        <v>93.3</v>
      </c>
      <c r="U368">
        <v>29.8</v>
      </c>
      <c r="W368">
        <v>356.1</v>
      </c>
      <c r="Y368">
        <v>2164.1999999999998</v>
      </c>
      <c r="AA368">
        <v>172915.7</v>
      </c>
      <c r="AC368">
        <v>402467.5</v>
      </c>
      <c r="AE368">
        <v>1010306.1</v>
      </c>
      <c r="AG368">
        <v>262.8</v>
      </c>
      <c r="AI368">
        <v>412.9</v>
      </c>
      <c r="AK368">
        <v>557.1</v>
      </c>
      <c r="AM368">
        <v>120</v>
      </c>
      <c r="AO368">
        <v>49.6</v>
      </c>
      <c r="AQ368">
        <v>50.5</v>
      </c>
      <c r="AS368">
        <v>35.200000000000003</v>
      </c>
      <c r="AU368">
        <v>8.3000000000000007</v>
      </c>
      <c r="AW368">
        <v>47</v>
      </c>
      <c r="AY368">
        <v>215.1</v>
      </c>
      <c r="BA368">
        <v>5049.8</v>
      </c>
      <c r="BC368">
        <v>44.7</v>
      </c>
      <c r="BE368">
        <v>299.39999999999998</v>
      </c>
      <c r="BG368">
        <v>27458.9</v>
      </c>
      <c r="BI368">
        <v>16093.1</v>
      </c>
      <c r="BK368">
        <v>53982.6</v>
      </c>
      <c r="BM368">
        <v>2399.9</v>
      </c>
      <c r="BO368">
        <v>379417</v>
      </c>
      <c r="BQ368">
        <v>526.5</v>
      </c>
      <c r="BS368">
        <v>2339.5</v>
      </c>
      <c r="BU368">
        <v>73480.399999999994</v>
      </c>
      <c r="BW368">
        <v>5339.7</v>
      </c>
      <c r="BY368">
        <v>955.8</v>
      </c>
      <c r="CA368">
        <v>197.9</v>
      </c>
      <c r="CC368">
        <v>24.2</v>
      </c>
      <c r="CE368">
        <v>21.6</v>
      </c>
      <c r="CG368">
        <v>319.7</v>
      </c>
      <c r="CI368">
        <v>1897.3</v>
      </c>
      <c r="CK368">
        <v>2763.3</v>
      </c>
      <c r="CM368">
        <v>415.9</v>
      </c>
      <c r="CO368">
        <v>93.1</v>
      </c>
      <c r="CQ368">
        <v>3365.5</v>
      </c>
      <c r="CS368">
        <v>66018.5</v>
      </c>
      <c r="CU368">
        <v>6354.4</v>
      </c>
      <c r="CW368">
        <v>22541.599999999999</v>
      </c>
      <c r="CY368">
        <v>781.2</v>
      </c>
      <c r="DA368">
        <v>45393.2</v>
      </c>
      <c r="DC368">
        <v>3.5</v>
      </c>
      <c r="DE368">
        <v>1431.9</v>
      </c>
      <c r="DG368">
        <v>25.1</v>
      </c>
      <c r="DI368">
        <v>225.5</v>
      </c>
      <c r="DK368">
        <v>48.2</v>
      </c>
      <c r="DM368">
        <v>5117.7</v>
      </c>
      <c r="DO368">
        <v>1074.5</v>
      </c>
      <c r="DQ368">
        <v>303.39999999999998</v>
      </c>
    </row>
    <row r="369" spans="1:121" x14ac:dyDescent="0.2">
      <c r="D369" t="s">
        <v>63</v>
      </c>
      <c r="G369">
        <v>0.14682999999999999</v>
      </c>
      <c r="H369" t="s">
        <v>75</v>
      </c>
      <c r="I369">
        <v>1.345E-2</v>
      </c>
      <c r="J369" t="s">
        <v>75</v>
      </c>
      <c r="K369">
        <v>1.00763</v>
      </c>
      <c r="L369" t="s">
        <v>75</v>
      </c>
      <c r="M369">
        <v>5.0950000000000002E-2</v>
      </c>
      <c r="N369" t="s">
        <v>75</v>
      </c>
      <c r="O369">
        <v>3.2699999999999999E-3</v>
      </c>
      <c r="P369" t="s">
        <v>75</v>
      </c>
      <c r="Q369">
        <v>0.12401</v>
      </c>
      <c r="R369" t="s">
        <v>75</v>
      </c>
      <c r="S369">
        <v>9.7000000000000005E-4</v>
      </c>
      <c r="T369" t="s">
        <v>75</v>
      </c>
      <c r="U369">
        <v>1.2189999999999999E-2</v>
      </c>
      <c r="V369" t="s">
        <v>75</v>
      </c>
      <c r="W369">
        <v>0.12637000000000001</v>
      </c>
      <c r="X369" t="s">
        <v>75</v>
      </c>
      <c r="Y369">
        <v>1.6302000000000001</v>
      </c>
      <c r="Z369" t="s">
        <v>75</v>
      </c>
      <c r="AB369" t="s">
        <v>76</v>
      </c>
      <c r="AC369">
        <v>41.633540000000004</v>
      </c>
      <c r="AD369" t="s">
        <v>75</v>
      </c>
      <c r="AE369">
        <v>219.96992</v>
      </c>
      <c r="AF369" t="s">
        <v>75</v>
      </c>
      <c r="AG369">
        <v>2.4580000000000001E-2</v>
      </c>
      <c r="AH369" t="s">
        <v>75</v>
      </c>
      <c r="AI369">
        <v>0.85562000000000005</v>
      </c>
      <c r="AJ369" t="s">
        <v>75</v>
      </c>
      <c r="AK369">
        <v>1.37E-2</v>
      </c>
      <c r="AL369" t="s">
        <v>75</v>
      </c>
      <c r="AM369">
        <v>-4.5599999999999998E-3</v>
      </c>
      <c r="AN369" t="s">
        <v>75</v>
      </c>
      <c r="AO369">
        <v>2.0799999999999998E-3</v>
      </c>
      <c r="AP369" t="s">
        <v>75</v>
      </c>
      <c r="AQ369">
        <v>1.6000000000000001E-4</v>
      </c>
      <c r="AR369" t="s">
        <v>75</v>
      </c>
      <c r="AS369">
        <v>2.5999999999999998E-4</v>
      </c>
      <c r="AT369" t="s">
        <v>75</v>
      </c>
      <c r="AU369">
        <v>1.5200000000000001E-3</v>
      </c>
      <c r="AV369" t="s">
        <v>75</v>
      </c>
      <c r="AW369">
        <v>-2.7999999999999998E-4</v>
      </c>
      <c r="AX369" t="s">
        <v>75</v>
      </c>
      <c r="AY369">
        <v>1.374E-2</v>
      </c>
      <c r="AZ369" t="s">
        <v>75</v>
      </c>
      <c r="BC369">
        <v>-2.0529199999999999</v>
      </c>
      <c r="BD369" t="s">
        <v>75</v>
      </c>
      <c r="BE369">
        <v>3.4569999999999997E-2</v>
      </c>
      <c r="BF369" t="s">
        <v>75</v>
      </c>
      <c r="BG369">
        <v>6.2344200000000001</v>
      </c>
      <c r="BH369" t="s">
        <v>75</v>
      </c>
      <c r="BI369">
        <v>6.06081</v>
      </c>
      <c r="BJ369" t="s">
        <v>75</v>
      </c>
      <c r="BK369">
        <v>5.94177</v>
      </c>
      <c r="BL369" t="s">
        <v>75</v>
      </c>
      <c r="BM369">
        <v>0.69430999999999998</v>
      </c>
      <c r="BN369" t="s">
        <v>75</v>
      </c>
      <c r="BO369">
        <v>495.35073</v>
      </c>
      <c r="BP369" t="s">
        <v>75</v>
      </c>
      <c r="BQ369">
        <v>0.79091999999999996</v>
      </c>
      <c r="BR369" t="s">
        <v>75</v>
      </c>
      <c r="BS369">
        <v>4.2742599999999999</v>
      </c>
      <c r="BT369" t="s">
        <v>75</v>
      </c>
      <c r="BU369">
        <v>216.0607</v>
      </c>
      <c r="BV369" t="s">
        <v>75</v>
      </c>
      <c r="BW369">
        <v>132.77742000000001</v>
      </c>
      <c r="BX369" t="s">
        <v>75</v>
      </c>
      <c r="BY369">
        <v>44.335090000000001</v>
      </c>
      <c r="BZ369" t="s">
        <v>75</v>
      </c>
      <c r="CA369">
        <v>15.58745</v>
      </c>
      <c r="CB369" t="s">
        <v>75</v>
      </c>
      <c r="CC369">
        <v>1.9050000000000001E-2</v>
      </c>
      <c r="CD369" t="s">
        <v>75</v>
      </c>
      <c r="CE369">
        <v>1.74E-3</v>
      </c>
      <c r="CF369" t="s">
        <v>75</v>
      </c>
      <c r="CG369">
        <v>6.9949999999999998E-2</v>
      </c>
      <c r="CH369" t="s">
        <v>75</v>
      </c>
      <c r="CI369">
        <v>0.88149</v>
      </c>
      <c r="CJ369" t="s">
        <v>75</v>
      </c>
      <c r="CK369">
        <v>2.82856</v>
      </c>
      <c r="CL369" t="s">
        <v>75</v>
      </c>
      <c r="CM369">
        <v>0.60185</v>
      </c>
      <c r="CN369" t="s">
        <v>75</v>
      </c>
      <c r="CO369">
        <v>0.15157999999999999</v>
      </c>
      <c r="CP369" t="s">
        <v>75</v>
      </c>
      <c r="CQ369">
        <v>12.726610000000001</v>
      </c>
      <c r="CR369" t="s">
        <v>75</v>
      </c>
      <c r="CS369">
        <v>2030.2011299999999</v>
      </c>
      <c r="CT369" t="s">
        <v>75</v>
      </c>
      <c r="CV369" t="s">
        <v>76</v>
      </c>
      <c r="CW369">
        <v>49.142940000000003</v>
      </c>
      <c r="CX369" t="s">
        <v>75</v>
      </c>
      <c r="DA369">
        <v>417.32893000000001</v>
      </c>
      <c r="DB369" t="s">
        <v>75</v>
      </c>
      <c r="DC369">
        <v>2.3130000000000001E-2</v>
      </c>
      <c r="DD369" t="s">
        <v>75</v>
      </c>
      <c r="DE369">
        <v>30.48526</v>
      </c>
      <c r="DF369" t="s">
        <v>75</v>
      </c>
      <c r="DG369">
        <v>0.70772999999999997</v>
      </c>
      <c r="DH369" t="s">
        <v>75</v>
      </c>
      <c r="DI369">
        <v>3.4783300000000001</v>
      </c>
      <c r="DJ369" t="s">
        <v>75</v>
      </c>
      <c r="DL369" t="s">
        <v>76</v>
      </c>
      <c r="DN369" t="s">
        <v>76</v>
      </c>
      <c r="DO369">
        <v>46.787990000000001</v>
      </c>
      <c r="DP369" t="s">
        <v>75</v>
      </c>
    </row>
    <row r="370" spans="1:121" x14ac:dyDescent="0.2">
      <c r="D370" t="s">
        <v>64</v>
      </c>
      <c r="G370">
        <v>2.0899999999999998E-3</v>
      </c>
      <c r="H370" t="s">
        <v>75</v>
      </c>
      <c r="I370">
        <v>1.1000000000000001E-3</v>
      </c>
      <c r="J370" t="s">
        <v>75</v>
      </c>
      <c r="K370">
        <v>1.5509999999999999E-2</v>
      </c>
      <c r="L370" t="s">
        <v>75</v>
      </c>
      <c r="M370">
        <v>8.7000000000000001E-4</v>
      </c>
      <c r="N370" t="s">
        <v>75</v>
      </c>
      <c r="O370">
        <v>2.0000000000000002E-5</v>
      </c>
      <c r="P370" t="s">
        <v>75</v>
      </c>
      <c r="Q370">
        <v>2.0400000000000001E-3</v>
      </c>
      <c r="R370" t="s">
        <v>75</v>
      </c>
      <c r="S370">
        <v>6.9999999999999994E-5</v>
      </c>
      <c r="T370" t="s">
        <v>75</v>
      </c>
      <c r="U370">
        <v>1.3999999999999999E-4</v>
      </c>
      <c r="V370" t="s">
        <v>75</v>
      </c>
      <c r="W370">
        <v>1.15E-3</v>
      </c>
      <c r="X370" t="s">
        <v>75</v>
      </c>
      <c r="Y370">
        <v>3.1730000000000001E-2</v>
      </c>
      <c r="Z370" t="s">
        <v>75</v>
      </c>
      <c r="AC370">
        <v>1.4673</v>
      </c>
      <c r="AD370" t="s">
        <v>75</v>
      </c>
      <c r="AE370">
        <v>4.2776199999999998</v>
      </c>
      <c r="AF370" t="s">
        <v>75</v>
      </c>
      <c r="AG370">
        <v>1E-4</v>
      </c>
      <c r="AH370" t="s">
        <v>75</v>
      </c>
      <c r="AI370">
        <v>4.0699999999999998E-3</v>
      </c>
      <c r="AJ370" t="s">
        <v>75</v>
      </c>
      <c r="AK370">
        <v>3.4000000000000002E-4</v>
      </c>
      <c r="AL370" t="s">
        <v>75</v>
      </c>
      <c r="AM370">
        <v>8.0000000000000007E-5</v>
      </c>
      <c r="AN370" t="s">
        <v>75</v>
      </c>
      <c r="AO370">
        <v>1.9000000000000001E-4</v>
      </c>
      <c r="AP370" t="s">
        <v>75</v>
      </c>
      <c r="AQ370">
        <v>2.1000000000000001E-4</v>
      </c>
      <c r="AR370" t="s">
        <v>75</v>
      </c>
      <c r="AS370">
        <v>1.6000000000000001E-4</v>
      </c>
      <c r="AT370" t="s">
        <v>75</v>
      </c>
      <c r="AU370">
        <v>1.0000000000000001E-5</v>
      </c>
      <c r="AV370" t="s">
        <v>75</v>
      </c>
      <c r="AW370">
        <v>1.1E-4</v>
      </c>
      <c r="AX370" t="s">
        <v>75</v>
      </c>
      <c r="AY370">
        <v>5.9999999999999995E-4</v>
      </c>
      <c r="AZ370" t="s">
        <v>75</v>
      </c>
      <c r="BC370">
        <v>9.0000000000000006E-5</v>
      </c>
      <c r="BD370" t="s">
        <v>75</v>
      </c>
      <c r="BE370">
        <v>8.0000000000000007E-5</v>
      </c>
      <c r="BF370" t="s">
        <v>75</v>
      </c>
      <c r="BG370">
        <v>5.33E-2</v>
      </c>
      <c r="BH370" t="s">
        <v>75</v>
      </c>
      <c r="BI370">
        <v>7.9280000000000003E-2</v>
      </c>
      <c r="BJ370" t="s">
        <v>75</v>
      </c>
      <c r="BK370">
        <v>4.0349999999999997E-2</v>
      </c>
      <c r="BL370" t="s">
        <v>75</v>
      </c>
      <c r="BM370">
        <v>7.0699999999999999E-3</v>
      </c>
      <c r="BN370" t="s">
        <v>75</v>
      </c>
      <c r="BO370">
        <v>8.98386</v>
      </c>
      <c r="BP370" t="s">
        <v>75</v>
      </c>
      <c r="BQ370">
        <v>3.3590000000000002E-2</v>
      </c>
      <c r="BR370" t="s">
        <v>75</v>
      </c>
      <c r="BS370">
        <v>0.10756</v>
      </c>
      <c r="BT370" t="s">
        <v>75</v>
      </c>
      <c r="BU370">
        <v>1.2815399999999999</v>
      </c>
      <c r="BV370" t="s">
        <v>75</v>
      </c>
      <c r="BW370">
        <v>3.3918599999999999</v>
      </c>
      <c r="BX370" t="s">
        <v>75</v>
      </c>
      <c r="BY370">
        <v>0.94789000000000001</v>
      </c>
      <c r="BZ370" t="s">
        <v>75</v>
      </c>
      <c r="CA370">
        <v>0.32507000000000003</v>
      </c>
      <c r="CB370" t="s">
        <v>75</v>
      </c>
      <c r="CC370">
        <v>4.9199999999999999E-3</v>
      </c>
      <c r="CD370" t="s">
        <v>75</v>
      </c>
      <c r="CE370">
        <v>3.4000000000000002E-4</v>
      </c>
      <c r="CF370" t="s">
        <v>75</v>
      </c>
      <c r="CG370">
        <v>6.0600000000000003E-3</v>
      </c>
      <c r="CH370" t="s">
        <v>75</v>
      </c>
      <c r="CI370">
        <v>2.1860000000000001E-2</v>
      </c>
      <c r="CJ370" t="s">
        <v>75</v>
      </c>
      <c r="CK370">
        <v>2.8299999999999999E-2</v>
      </c>
      <c r="CL370" t="s">
        <v>75</v>
      </c>
      <c r="CM370">
        <v>1.0789999999999999E-2</v>
      </c>
      <c r="CN370" t="s">
        <v>75</v>
      </c>
      <c r="CO370">
        <v>4.0000000000000001E-3</v>
      </c>
      <c r="CP370" t="s">
        <v>75</v>
      </c>
      <c r="CQ370">
        <v>0.26735999999999999</v>
      </c>
      <c r="CR370" t="s">
        <v>75</v>
      </c>
      <c r="CS370">
        <v>23.824639999999999</v>
      </c>
      <c r="CT370" t="s">
        <v>75</v>
      </c>
      <c r="CW370">
        <v>1.48061</v>
      </c>
      <c r="CX370" t="s">
        <v>75</v>
      </c>
      <c r="DA370">
        <v>8.1745900000000002</v>
      </c>
      <c r="DB370" t="s">
        <v>75</v>
      </c>
      <c r="DC370">
        <v>1.8E-3</v>
      </c>
      <c r="DD370" t="s">
        <v>75</v>
      </c>
      <c r="DE370">
        <v>0.88448000000000004</v>
      </c>
      <c r="DF370" t="s">
        <v>75</v>
      </c>
      <c r="DG370">
        <v>0.14624999999999999</v>
      </c>
      <c r="DH370" t="s">
        <v>75</v>
      </c>
      <c r="DI370">
        <v>0.4536</v>
      </c>
      <c r="DJ370" t="s">
        <v>75</v>
      </c>
      <c r="DO370">
        <v>0.79886999999999997</v>
      </c>
      <c r="DP370" t="s">
        <v>75</v>
      </c>
    </row>
    <row r="371" spans="1:121" x14ac:dyDescent="0.2">
      <c r="D371" t="s">
        <v>65</v>
      </c>
      <c r="G371" t="s">
        <v>66</v>
      </c>
      <c r="I371" t="s">
        <v>66</v>
      </c>
      <c r="K371" t="s">
        <v>66</v>
      </c>
      <c r="M371" t="s">
        <v>66</v>
      </c>
      <c r="O371" t="s">
        <v>66</v>
      </c>
      <c r="Q371" t="s">
        <v>66</v>
      </c>
      <c r="S371" t="s">
        <v>66</v>
      </c>
      <c r="U371" t="s">
        <v>66</v>
      </c>
      <c r="W371" t="s">
        <v>66</v>
      </c>
      <c r="Y371" t="s">
        <v>66</v>
      </c>
      <c r="AA371" t="s">
        <v>66</v>
      </c>
      <c r="AC371" t="s">
        <v>66</v>
      </c>
      <c r="AE371" t="s">
        <v>66</v>
      </c>
      <c r="AG371" t="s">
        <v>66</v>
      </c>
      <c r="AI371" t="s">
        <v>66</v>
      </c>
      <c r="AK371" t="s">
        <v>66</v>
      </c>
      <c r="AM371" t="s">
        <v>66</v>
      </c>
      <c r="AO371" t="s">
        <v>66</v>
      </c>
      <c r="AQ371" t="s">
        <v>66</v>
      </c>
      <c r="AS371" t="s">
        <v>66</v>
      </c>
      <c r="AU371" t="s">
        <v>66</v>
      </c>
      <c r="AW371" t="s">
        <v>66</v>
      </c>
      <c r="AY371" t="s">
        <v>66</v>
      </c>
      <c r="BA371" t="s">
        <v>66</v>
      </c>
      <c r="BC371" t="s">
        <v>66</v>
      </c>
      <c r="BE371" t="s">
        <v>66</v>
      </c>
      <c r="BG371" t="s">
        <v>66</v>
      </c>
      <c r="BI371" t="s">
        <v>66</v>
      </c>
      <c r="BK371" t="s">
        <v>66</v>
      </c>
      <c r="BM371" t="s">
        <v>66</v>
      </c>
      <c r="BO371" t="s">
        <v>66</v>
      </c>
      <c r="BQ371" t="s">
        <v>66</v>
      </c>
      <c r="BS371" t="s">
        <v>66</v>
      </c>
      <c r="BU371" t="s">
        <v>66</v>
      </c>
      <c r="BW371" t="s">
        <v>66</v>
      </c>
      <c r="BY371" t="s">
        <v>66</v>
      </c>
      <c r="CA371" t="s">
        <v>66</v>
      </c>
      <c r="CC371" t="s">
        <v>66</v>
      </c>
      <c r="CE371" t="s">
        <v>66</v>
      </c>
      <c r="CG371" t="s">
        <v>66</v>
      </c>
      <c r="CI371" t="s">
        <v>66</v>
      </c>
      <c r="CK371" t="s">
        <v>66</v>
      </c>
      <c r="CM371" t="s">
        <v>66</v>
      </c>
      <c r="CO371" t="s">
        <v>66</v>
      </c>
      <c r="CQ371" t="s">
        <v>66</v>
      </c>
      <c r="CS371" t="s">
        <v>66</v>
      </c>
      <c r="CU371" t="s">
        <v>66</v>
      </c>
      <c r="CW371" t="s">
        <v>66</v>
      </c>
      <c r="CY371" t="s">
        <v>66</v>
      </c>
      <c r="DA371" t="s">
        <v>66</v>
      </c>
      <c r="DC371" t="s">
        <v>66</v>
      </c>
      <c r="DE371" t="s">
        <v>66</v>
      </c>
      <c r="DG371" t="s">
        <v>66</v>
      </c>
      <c r="DI371" t="s">
        <v>66</v>
      </c>
      <c r="DK371" t="s">
        <v>66</v>
      </c>
      <c r="DM371" t="s">
        <v>66</v>
      </c>
      <c r="DO371" t="s">
        <v>66</v>
      </c>
      <c r="DQ371" t="s">
        <v>66</v>
      </c>
    </row>
    <row r="372" spans="1:121" x14ac:dyDescent="0.2">
      <c r="A372" t="s">
        <v>644</v>
      </c>
      <c r="D372" t="s">
        <v>60</v>
      </c>
      <c r="E372" t="s">
        <v>61</v>
      </c>
      <c r="G372">
        <v>14759.4</v>
      </c>
      <c r="I372">
        <v>774.2</v>
      </c>
      <c r="K372">
        <v>315815.5</v>
      </c>
      <c r="M372">
        <v>83294.899999999994</v>
      </c>
      <c r="O372">
        <v>785.8</v>
      </c>
      <c r="Q372">
        <v>7672.3</v>
      </c>
      <c r="S372">
        <v>2019.3</v>
      </c>
      <c r="U372">
        <v>1580.3</v>
      </c>
      <c r="W372">
        <v>26721.200000000001</v>
      </c>
      <c r="Y372">
        <v>57563.5</v>
      </c>
      <c r="AA372">
        <v>8865991.9000000004</v>
      </c>
      <c r="AC372">
        <v>10067159.1</v>
      </c>
      <c r="AE372">
        <v>34067023.399999999</v>
      </c>
      <c r="AG372">
        <v>23671.1</v>
      </c>
      <c r="AI372">
        <v>82051.7</v>
      </c>
      <c r="AK372">
        <v>15068.9</v>
      </c>
      <c r="AM372">
        <v>3063.2</v>
      </c>
      <c r="AO372">
        <v>338.6</v>
      </c>
      <c r="AQ372">
        <v>311.5</v>
      </c>
      <c r="AS372">
        <v>312.5</v>
      </c>
      <c r="AU372">
        <v>257.3</v>
      </c>
      <c r="AW372">
        <v>213.6</v>
      </c>
      <c r="AY372">
        <v>1619.9</v>
      </c>
      <c r="BA372">
        <v>677042</v>
      </c>
      <c r="BC372">
        <v>2161.1999999999998</v>
      </c>
      <c r="BE372">
        <v>17422.3</v>
      </c>
      <c r="BG372">
        <v>1085319</v>
      </c>
      <c r="BI372">
        <v>929394.8</v>
      </c>
      <c r="BK372">
        <v>2397974.7000000002</v>
      </c>
      <c r="BM372">
        <v>349661.3</v>
      </c>
      <c r="BO372">
        <v>11109895.199999999</v>
      </c>
      <c r="BQ372">
        <v>133242.1</v>
      </c>
      <c r="BS372">
        <v>111656.8</v>
      </c>
      <c r="BU372">
        <v>3605539.7</v>
      </c>
      <c r="BW372">
        <v>184282.2</v>
      </c>
      <c r="BY372">
        <v>100586.3</v>
      </c>
      <c r="CA372">
        <v>48332.5</v>
      </c>
      <c r="CC372">
        <v>163.9</v>
      </c>
      <c r="CE372">
        <v>275</v>
      </c>
      <c r="CG372">
        <v>10079.9</v>
      </c>
      <c r="CI372">
        <v>36196.6</v>
      </c>
      <c r="CK372">
        <v>329256.09999999998</v>
      </c>
      <c r="CM372">
        <v>24540.6</v>
      </c>
      <c r="CO372">
        <v>3890.9</v>
      </c>
      <c r="CQ372">
        <v>445892.7</v>
      </c>
      <c r="CS372">
        <v>3882575.8</v>
      </c>
      <c r="CU372">
        <v>879316.1</v>
      </c>
      <c r="CW372">
        <v>1129741.6000000001</v>
      </c>
      <c r="CY372">
        <v>58324.3</v>
      </c>
      <c r="DA372">
        <v>3064377.5</v>
      </c>
      <c r="DC372">
        <v>21.7</v>
      </c>
      <c r="DE372">
        <v>32743.1</v>
      </c>
      <c r="DG372">
        <v>187.2</v>
      </c>
      <c r="DI372">
        <v>3089.8</v>
      </c>
      <c r="DK372">
        <v>789.6</v>
      </c>
      <c r="DM372">
        <v>235470.8</v>
      </c>
      <c r="DO372">
        <v>269198.09999999998</v>
      </c>
      <c r="DQ372">
        <v>15209.3</v>
      </c>
    </row>
    <row r="373" spans="1:121" x14ac:dyDescent="0.2">
      <c r="D373" t="s">
        <v>62</v>
      </c>
      <c r="E373" t="s">
        <v>61</v>
      </c>
      <c r="G373">
        <v>69.3</v>
      </c>
      <c r="I373">
        <v>70.2</v>
      </c>
      <c r="K373">
        <v>1617.6</v>
      </c>
      <c r="M373">
        <v>357.5</v>
      </c>
      <c r="O373">
        <v>55.3</v>
      </c>
      <c r="Q373">
        <v>129.19999999999999</v>
      </c>
      <c r="S373">
        <v>113</v>
      </c>
      <c r="U373">
        <v>111</v>
      </c>
      <c r="W373">
        <v>202.1</v>
      </c>
      <c r="Y373">
        <v>1070.3</v>
      </c>
      <c r="AA373">
        <v>74547</v>
      </c>
      <c r="AC373">
        <v>150301.70000000001</v>
      </c>
      <c r="AE373">
        <v>650682.9</v>
      </c>
      <c r="AG373">
        <v>595.79999999999995</v>
      </c>
      <c r="AI373">
        <v>1541</v>
      </c>
      <c r="AK373">
        <v>239.6</v>
      </c>
      <c r="AM373">
        <v>53.9</v>
      </c>
      <c r="AO373">
        <v>23.5</v>
      </c>
      <c r="AQ373">
        <v>53.8</v>
      </c>
      <c r="AS373">
        <v>30.2</v>
      </c>
      <c r="AU373">
        <v>15.4</v>
      </c>
      <c r="AW373">
        <v>16</v>
      </c>
      <c r="AY373">
        <v>104.6</v>
      </c>
      <c r="BA373">
        <v>6899.3</v>
      </c>
      <c r="BC373">
        <v>43.8</v>
      </c>
      <c r="BE373">
        <v>205.5</v>
      </c>
      <c r="BG373">
        <v>19394.5</v>
      </c>
      <c r="BI373">
        <v>10589.7</v>
      </c>
      <c r="BK373">
        <v>28101.1</v>
      </c>
      <c r="BM373">
        <v>5763.4</v>
      </c>
      <c r="BO373">
        <v>126090.2</v>
      </c>
      <c r="BQ373">
        <v>3096.3</v>
      </c>
      <c r="BS373">
        <v>1841.3</v>
      </c>
      <c r="BU373">
        <v>28992.2</v>
      </c>
      <c r="BW373">
        <v>3195.7</v>
      </c>
      <c r="BY373">
        <v>1534.8</v>
      </c>
      <c r="CA373">
        <v>276.3</v>
      </c>
      <c r="CC373">
        <v>29.3</v>
      </c>
      <c r="CE373">
        <v>30.1</v>
      </c>
      <c r="CG373">
        <v>162.9</v>
      </c>
      <c r="CI373">
        <v>918.8</v>
      </c>
      <c r="CK373">
        <v>10616.8</v>
      </c>
      <c r="CM373">
        <v>971.3</v>
      </c>
      <c r="CO373">
        <v>159.9</v>
      </c>
      <c r="CQ373">
        <v>14722.9</v>
      </c>
      <c r="CS373">
        <v>105039</v>
      </c>
      <c r="CU373">
        <v>12528.6</v>
      </c>
      <c r="CW373">
        <v>29598.5</v>
      </c>
      <c r="CY373">
        <v>1263.0999999999999</v>
      </c>
      <c r="DA373">
        <v>20050.3</v>
      </c>
      <c r="DC373">
        <v>6</v>
      </c>
      <c r="DE373">
        <v>374.2</v>
      </c>
      <c r="DG373">
        <v>27.2</v>
      </c>
      <c r="DI373">
        <v>152.19999999999999</v>
      </c>
      <c r="DK373">
        <v>91.7</v>
      </c>
      <c r="DM373">
        <v>3340.3</v>
      </c>
      <c r="DO373">
        <v>2910.2</v>
      </c>
      <c r="DQ373">
        <v>351.5</v>
      </c>
    </row>
    <row r="374" spans="1:121" x14ac:dyDescent="0.2">
      <c r="D374" t="s">
        <v>63</v>
      </c>
      <c r="G374">
        <v>8.3040000000000003E-2</v>
      </c>
      <c r="H374" t="s">
        <v>75</v>
      </c>
      <c r="I374">
        <v>1.4420000000000001E-2</v>
      </c>
      <c r="J374" t="s">
        <v>75</v>
      </c>
      <c r="K374">
        <v>0.39873999999999998</v>
      </c>
      <c r="L374" t="s">
        <v>75</v>
      </c>
      <c r="M374">
        <v>5.0529999999999999E-2</v>
      </c>
      <c r="N374" t="s">
        <v>75</v>
      </c>
      <c r="O374">
        <v>3.5899999999999999E-3</v>
      </c>
      <c r="P374" t="s">
        <v>75</v>
      </c>
      <c r="Q374">
        <v>7.0599999999999996E-2</v>
      </c>
      <c r="R374" t="s">
        <v>75</v>
      </c>
      <c r="S374">
        <v>1.08E-3</v>
      </c>
      <c r="T374" t="s">
        <v>75</v>
      </c>
      <c r="U374">
        <v>1.2189999999999999E-2</v>
      </c>
      <c r="V374" t="s">
        <v>75</v>
      </c>
      <c r="W374">
        <v>6.0299999999999999E-2</v>
      </c>
      <c r="X374" t="s">
        <v>75</v>
      </c>
      <c r="Y374">
        <v>0.85580999999999996</v>
      </c>
      <c r="Z374" t="s">
        <v>75</v>
      </c>
      <c r="AB374" t="s">
        <v>76</v>
      </c>
      <c r="AC374">
        <v>35.899909999999998</v>
      </c>
      <c r="AD374" t="s">
        <v>75</v>
      </c>
      <c r="AE374">
        <v>127.78494999999999</v>
      </c>
      <c r="AF374" t="s">
        <v>75</v>
      </c>
      <c r="AG374">
        <v>2.2499999999999998E-3</v>
      </c>
      <c r="AH374" t="s">
        <v>75</v>
      </c>
      <c r="AI374">
        <v>0.51932999999999996</v>
      </c>
      <c r="AJ374" t="s">
        <v>75</v>
      </c>
      <c r="AK374">
        <v>8.2100000000000003E-3</v>
      </c>
      <c r="AL374" t="s">
        <v>75</v>
      </c>
      <c r="AM374">
        <v>-3.3800000000000002E-3</v>
      </c>
      <c r="AN374" t="s">
        <v>75</v>
      </c>
      <c r="AO374">
        <v>2.6700000000000001E-3</v>
      </c>
      <c r="AP374" t="s">
        <v>75</v>
      </c>
      <c r="AQ374">
        <v>3.8000000000000002E-4</v>
      </c>
      <c r="AR374" t="s">
        <v>75</v>
      </c>
      <c r="AS374">
        <v>3.5E-4</v>
      </c>
      <c r="AT374" t="s">
        <v>75</v>
      </c>
      <c r="AU374">
        <v>1.5200000000000001E-3</v>
      </c>
      <c r="AV374" t="s">
        <v>75</v>
      </c>
      <c r="AW374">
        <v>-2.7999999999999998E-4</v>
      </c>
      <c r="AX374" t="s">
        <v>75</v>
      </c>
      <c r="AY374">
        <v>-5.13E-3</v>
      </c>
      <c r="AZ374" t="s">
        <v>75</v>
      </c>
      <c r="BC374">
        <v>-2.0534300000000001</v>
      </c>
      <c r="BD374" t="s">
        <v>75</v>
      </c>
      <c r="BE374">
        <v>1.9230000000000001E-2</v>
      </c>
      <c r="BF374" t="s">
        <v>75</v>
      </c>
      <c r="BG374">
        <v>3.08616</v>
      </c>
      <c r="BH374" t="s">
        <v>75</v>
      </c>
      <c r="BI374">
        <v>3.0602</v>
      </c>
      <c r="BJ374" t="s">
        <v>75</v>
      </c>
      <c r="BK374">
        <v>3.20418</v>
      </c>
      <c r="BL374" t="s">
        <v>75</v>
      </c>
      <c r="BM374">
        <v>0.31909999999999999</v>
      </c>
      <c r="BN374" t="s">
        <v>75</v>
      </c>
      <c r="BO374">
        <v>249.0523</v>
      </c>
      <c r="BP374" t="s">
        <v>75</v>
      </c>
      <c r="BQ374">
        <v>4.1900000000000004</v>
      </c>
      <c r="BR374" t="s">
        <v>75</v>
      </c>
      <c r="BS374">
        <v>2.0986600000000002</v>
      </c>
      <c r="BT374" t="s">
        <v>75</v>
      </c>
      <c r="BU374">
        <v>132.00380000000001</v>
      </c>
      <c r="BV374" t="s">
        <v>75</v>
      </c>
      <c r="BW374">
        <v>79.7239</v>
      </c>
      <c r="BX374" t="s">
        <v>75</v>
      </c>
      <c r="BY374">
        <v>20.767250000000001</v>
      </c>
      <c r="BZ374" t="s">
        <v>75</v>
      </c>
      <c r="CA374">
        <v>22.876390000000001</v>
      </c>
      <c r="CB374" t="s">
        <v>75</v>
      </c>
      <c r="CC374">
        <v>2.1590000000000002E-2</v>
      </c>
      <c r="CD374" t="s">
        <v>75</v>
      </c>
      <c r="CE374">
        <v>2.5500000000000002E-3</v>
      </c>
      <c r="CF374" t="s">
        <v>75</v>
      </c>
      <c r="CG374">
        <v>0.15834000000000001</v>
      </c>
      <c r="CH374" t="s">
        <v>75</v>
      </c>
      <c r="CI374">
        <v>0.45438000000000001</v>
      </c>
      <c r="CJ374" t="s">
        <v>75</v>
      </c>
      <c r="CK374">
        <v>4.4394799999999996</v>
      </c>
      <c r="CL374" t="s">
        <v>75</v>
      </c>
      <c r="CM374">
        <v>0.34948000000000001</v>
      </c>
      <c r="CN374" t="s">
        <v>75</v>
      </c>
      <c r="CO374">
        <v>0.23541000000000001</v>
      </c>
      <c r="CP374" t="s">
        <v>75</v>
      </c>
      <c r="CQ374">
        <v>13.76844</v>
      </c>
      <c r="CR374" t="s">
        <v>75</v>
      </c>
      <c r="CS374">
        <v>1038.8277399999999</v>
      </c>
      <c r="CT374" t="s">
        <v>75</v>
      </c>
      <c r="CV374" t="s">
        <v>76</v>
      </c>
      <c r="CW374">
        <v>42.87124</v>
      </c>
      <c r="CX374" t="s">
        <v>75</v>
      </c>
      <c r="DA374">
        <v>195.65971999999999</v>
      </c>
      <c r="DB374" t="s">
        <v>75</v>
      </c>
      <c r="DC374">
        <v>9.1000000000000004E-3</v>
      </c>
      <c r="DD374" t="s">
        <v>75</v>
      </c>
      <c r="DE374">
        <v>15.872030000000001</v>
      </c>
      <c r="DF374" t="s">
        <v>75</v>
      </c>
      <c r="DG374">
        <v>0.99226000000000003</v>
      </c>
      <c r="DH374" t="s">
        <v>75</v>
      </c>
      <c r="DI374">
        <v>5.3804499999999997</v>
      </c>
      <c r="DJ374" t="s">
        <v>75</v>
      </c>
      <c r="DL374" t="s">
        <v>76</v>
      </c>
      <c r="DN374" t="s">
        <v>76</v>
      </c>
      <c r="DO374">
        <v>42.701180000000001</v>
      </c>
      <c r="DP374" t="s">
        <v>75</v>
      </c>
    </row>
    <row r="375" spans="1:121" x14ac:dyDescent="0.2">
      <c r="D375" t="s">
        <v>64</v>
      </c>
      <c r="G375">
        <v>1.41E-3</v>
      </c>
      <c r="H375" t="s">
        <v>75</v>
      </c>
      <c r="I375">
        <v>2.1900000000000001E-3</v>
      </c>
      <c r="J375" t="s">
        <v>75</v>
      </c>
      <c r="K375">
        <v>6.0699999999999999E-3</v>
      </c>
      <c r="L375" t="s">
        <v>75</v>
      </c>
      <c r="M375">
        <v>9.3999999999999997E-4</v>
      </c>
      <c r="N375" t="s">
        <v>75</v>
      </c>
      <c r="O375">
        <v>5.0000000000000002E-5</v>
      </c>
      <c r="P375" t="s">
        <v>75</v>
      </c>
      <c r="Q375">
        <v>4.4000000000000002E-4</v>
      </c>
      <c r="R375" t="s">
        <v>75</v>
      </c>
      <c r="S375">
        <v>1E-4</v>
      </c>
      <c r="T375" t="s">
        <v>75</v>
      </c>
      <c r="U375">
        <v>4.4000000000000002E-4</v>
      </c>
      <c r="V375" t="s">
        <v>75</v>
      </c>
      <c r="W375">
        <v>6.3000000000000003E-4</v>
      </c>
      <c r="X375" t="s">
        <v>75</v>
      </c>
      <c r="Y375">
        <v>1.1429999999999999E-2</v>
      </c>
      <c r="Z375" t="s">
        <v>75</v>
      </c>
      <c r="AC375">
        <v>0.28455999999999998</v>
      </c>
      <c r="AD375" t="s">
        <v>75</v>
      </c>
      <c r="AE375">
        <v>1.1745099999999999</v>
      </c>
      <c r="AF375" t="s">
        <v>75</v>
      </c>
      <c r="AG375">
        <v>5.6999999999999998E-4</v>
      </c>
      <c r="AH375" t="s">
        <v>75</v>
      </c>
      <c r="AI375">
        <v>1.24E-2</v>
      </c>
      <c r="AJ375" t="s">
        <v>75</v>
      </c>
      <c r="AK375">
        <v>2.3000000000000001E-4</v>
      </c>
      <c r="AL375" t="s">
        <v>75</v>
      </c>
      <c r="AM375">
        <v>6.0000000000000002E-5</v>
      </c>
      <c r="AN375" t="s">
        <v>75</v>
      </c>
      <c r="AO375">
        <v>9.0000000000000006E-5</v>
      </c>
      <c r="AP375" t="s">
        <v>75</v>
      </c>
      <c r="AQ375">
        <v>2.4000000000000001E-4</v>
      </c>
      <c r="AR375" t="s">
        <v>75</v>
      </c>
      <c r="AS375">
        <v>1.2E-4</v>
      </c>
      <c r="AT375" t="s">
        <v>75</v>
      </c>
      <c r="AU375">
        <v>1.0000000000000001E-5</v>
      </c>
      <c r="AV375" t="s">
        <v>75</v>
      </c>
      <c r="AW375">
        <v>3.0000000000000001E-5</v>
      </c>
      <c r="AX375" t="s">
        <v>75</v>
      </c>
      <c r="AY375">
        <v>3.8000000000000002E-4</v>
      </c>
      <c r="AZ375" t="s">
        <v>75</v>
      </c>
      <c r="BC375">
        <v>1.9000000000000001E-4</v>
      </c>
      <c r="BD375" t="s">
        <v>75</v>
      </c>
      <c r="BE375">
        <v>3.3E-4</v>
      </c>
      <c r="BF375" t="s">
        <v>75</v>
      </c>
      <c r="BG375">
        <v>8.5849999999999996E-2</v>
      </c>
      <c r="BH375" t="s">
        <v>75</v>
      </c>
      <c r="BI375">
        <v>6.6180000000000003E-2</v>
      </c>
      <c r="BJ375" t="s">
        <v>75</v>
      </c>
      <c r="BK375">
        <v>6.8760000000000002E-2</v>
      </c>
      <c r="BL375" t="s">
        <v>75</v>
      </c>
      <c r="BM375">
        <v>7.9299999999999995E-3</v>
      </c>
      <c r="BN375" t="s">
        <v>75</v>
      </c>
      <c r="BO375">
        <v>2.6076000000000001</v>
      </c>
      <c r="BP375" t="s">
        <v>75</v>
      </c>
      <c r="BQ375">
        <v>1.515E-2</v>
      </c>
      <c r="BR375" t="s">
        <v>75</v>
      </c>
      <c r="BS375">
        <v>2.4639999999999999E-2</v>
      </c>
      <c r="BT375" t="s">
        <v>75</v>
      </c>
      <c r="BU375">
        <v>2.18716</v>
      </c>
      <c r="BV375" t="s">
        <v>75</v>
      </c>
      <c r="BW375">
        <v>1.1268100000000001</v>
      </c>
      <c r="BX375" t="s">
        <v>75</v>
      </c>
      <c r="BY375">
        <v>0.85799999999999998</v>
      </c>
      <c r="BZ375" t="s">
        <v>75</v>
      </c>
      <c r="CA375">
        <v>0.65049999999999997</v>
      </c>
      <c r="CB375" t="s">
        <v>75</v>
      </c>
      <c r="CC375">
        <v>7.1799999999999998E-3</v>
      </c>
      <c r="CD375" t="s">
        <v>75</v>
      </c>
      <c r="CE375">
        <v>4.4000000000000002E-4</v>
      </c>
      <c r="CF375" t="s">
        <v>75</v>
      </c>
      <c r="CG375">
        <v>5.64E-3</v>
      </c>
      <c r="CH375" t="s">
        <v>75</v>
      </c>
      <c r="CI375">
        <v>2.2360000000000001E-2</v>
      </c>
      <c r="CJ375" t="s">
        <v>75</v>
      </c>
      <c r="CK375">
        <v>0.24404999999999999</v>
      </c>
      <c r="CL375" t="s">
        <v>75</v>
      </c>
      <c r="CM375">
        <v>1.8200000000000001E-2</v>
      </c>
      <c r="CN375" t="s">
        <v>75</v>
      </c>
      <c r="CO375">
        <v>1.3639999999999999E-2</v>
      </c>
      <c r="CP375" t="s">
        <v>75</v>
      </c>
      <c r="CQ375">
        <v>0.64844000000000002</v>
      </c>
      <c r="CR375" t="s">
        <v>75</v>
      </c>
      <c r="CS375">
        <v>46.907670000000003</v>
      </c>
      <c r="CT375" t="s">
        <v>75</v>
      </c>
      <c r="CW375">
        <v>1.82348</v>
      </c>
      <c r="CX375" t="s">
        <v>75</v>
      </c>
      <c r="DA375">
        <v>4.6849800000000004</v>
      </c>
      <c r="DB375" t="s">
        <v>75</v>
      </c>
      <c r="DC375">
        <v>2.5699999999999998E-3</v>
      </c>
      <c r="DD375" t="s">
        <v>75</v>
      </c>
      <c r="DE375">
        <v>0.43169000000000002</v>
      </c>
      <c r="DF375" t="s">
        <v>75</v>
      </c>
      <c r="DG375">
        <v>0.13111999999999999</v>
      </c>
      <c r="DH375" t="s">
        <v>75</v>
      </c>
      <c r="DI375">
        <v>0.23216999999999999</v>
      </c>
      <c r="DJ375" t="s">
        <v>75</v>
      </c>
      <c r="DO375">
        <v>1.33775</v>
      </c>
      <c r="DP375" t="s">
        <v>75</v>
      </c>
    </row>
    <row r="376" spans="1:121" x14ac:dyDescent="0.2">
      <c r="D376" t="s">
        <v>65</v>
      </c>
      <c r="G376" t="s">
        <v>66</v>
      </c>
      <c r="I376" t="s">
        <v>66</v>
      </c>
      <c r="K376" t="s">
        <v>66</v>
      </c>
      <c r="M376" t="s">
        <v>66</v>
      </c>
      <c r="O376" t="s">
        <v>66</v>
      </c>
      <c r="Q376" t="s">
        <v>66</v>
      </c>
      <c r="S376" t="s">
        <v>66</v>
      </c>
      <c r="U376" t="s">
        <v>66</v>
      </c>
      <c r="W376" t="s">
        <v>66</v>
      </c>
      <c r="Y376" t="s">
        <v>66</v>
      </c>
      <c r="AA376" t="s">
        <v>66</v>
      </c>
      <c r="AC376" t="s">
        <v>66</v>
      </c>
      <c r="AE376" t="s">
        <v>66</v>
      </c>
      <c r="AG376" t="s">
        <v>66</v>
      </c>
      <c r="AI376" t="s">
        <v>66</v>
      </c>
      <c r="AK376" t="s">
        <v>66</v>
      </c>
      <c r="AM376" t="s">
        <v>66</v>
      </c>
      <c r="AO376" t="s">
        <v>66</v>
      </c>
      <c r="AQ376" t="s">
        <v>66</v>
      </c>
      <c r="AS376" t="s">
        <v>66</v>
      </c>
      <c r="AU376" t="s">
        <v>66</v>
      </c>
      <c r="AW376" t="s">
        <v>66</v>
      </c>
      <c r="AY376" t="s">
        <v>66</v>
      </c>
      <c r="BA376" t="s">
        <v>66</v>
      </c>
      <c r="BC376" t="s">
        <v>66</v>
      </c>
      <c r="BE376" t="s">
        <v>66</v>
      </c>
      <c r="BG376" t="s">
        <v>66</v>
      </c>
      <c r="BI376" t="s">
        <v>66</v>
      </c>
      <c r="BK376" t="s">
        <v>66</v>
      </c>
      <c r="BM376" t="s">
        <v>66</v>
      </c>
      <c r="BO376" t="s">
        <v>66</v>
      </c>
      <c r="BQ376" t="s">
        <v>66</v>
      </c>
      <c r="BS376" t="s">
        <v>66</v>
      </c>
      <c r="BU376" t="s">
        <v>66</v>
      </c>
      <c r="BW376" t="s">
        <v>66</v>
      </c>
      <c r="BY376" t="s">
        <v>66</v>
      </c>
      <c r="CA376" t="s">
        <v>66</v>
      </c>
      <c r="CC376" t="s">
        <v>66</v>
      </c>
      <c r="CE376" t="s">
        <v>66</v>
      </c>
      <c r="CG376" t="s">
        <v>66</v>
      </c>
      <c r="CI376" t="s">
        <v>66</v>
      </c>
      <c r="CK376" t="s">
        <v>66</v>
      </c>
      <c r="CM376" t="s">
        <v>66</v>
      </c>
      <c r="CO376" t="s">
        <v>66</v>
      </c>
      <c r="CQ376" t="s">
        <v>66</v>
      </c>
      <c r="CS376" t="s">
        <v>66</v>
      </c>
      <c r="CU376" t="s">
        <v>66</v>
      </c>
      <c r="CW376" t="s">
        <v>66</v>
      </c>
      <c r="CY376" t="s">
        <v>66</v>
      </c>
      <c r="DA376" t="s">
        <v>66</v>
      </c>
      <c r="DC376" t="s">
        <v>66</v>
      </c>
      <c r="DE376" t="s">
        <v>66</v>
      </c>
      <c r="DG376" t="s">
        <v>66</v>
      </c>
      <c r="DI376" t="s">
        <v>66</v>
      </c>
      <c r="DK376" t="s">
        <v>66</v>
      </c>
      <c r="DM376" t="s">
        <v>66</v>
      </c>
      <c r="DO376" t="s">
        <v>66</v>
      </c>
      <c r="DQ376" t="s">
        <v>66</v>
      </c>
    </row>
    <row r="377" spans="1:121" x14ac:dyDescent="0.2">
      <c r="A377" t="s">
        <v>645</v>
      </c>
      <c r="D377" t="s">
        <v>60</v>
      </c>
      <c r="E377" t="s">
        <v>61</v>
      </c>
      <c r="G377">
        <v>10421.6</v>
      </c>
      <c r="I377">
        <v>729.6</v>
      </c>
      <c r="K377">
        <v>58617</v>
      </c>
      <c r="M377">
        <v>105070.3</v>
      </c>
      <c r="O377">
        <v>1457.3</v>
      </c>
      <c r="Q377">
        <v>5541.3</v>
      </c>
      <c r="S377">
        <v>1397.8</v>
      </c>
      <c r="U377">
        <v>1180.9000000000001</v>
      </c>
      <c r="W377">
        <v>5915.8</v>
      </c>
      <c r="Y377">
        <v>12597.8</v>
      </c>
      <c r="AA377">
        <v>4643566.4000000004</v>
      </c>
      <c r="AC377">
        <v>14590418.199999999</v>
      </c>
      <c r="AE377">
        <v>8792196.6999999993</v>
      </c>
      <c r="AG377">
        <v>5083.3999999999996</v>
      </c>
      <c r="AI377">
        <v>56403.5</v>
      </c>
      <c r="AK377">
        <v>12676.2</v>
      </c>
      <c r="AM377">
        <v>20697.8</v>
      </c>
      <c r="AO377">
        <v>1415.5</v>
      </c>
      <c r="AQ377">
        <v>328.2</v>
      </c>
      <c r="AS377">
        <v>437.6</v>
      </c>
      <c r="AU377">
        <v>291.7</v>
      </c>
      <c r="AW377">
        <v>207.3</v>
      </c>
      <c r="AY377">
        <v>2553.3000000000002</v>
      </c>
      <c r="BA377">
        <v>676370.8</v>
      </c>
      <c r="BC377">
        <v>2173.6999999999998</v>
      </c>
      <c r="BE377">
        <v>3517</v>
      </c>
      <c r="BG377">
        <v>166066.29999999999</v>
      </c>
      <c r="BI377">
        <v>139266.20000000001</v>
      </c>
      <c r="BK377">
        <v>347949.3</v>
      </c>
      <c r="BM377">
        <v>63615.199999999997</v>
      </c>
      <c r="BO377">
        <v>1944688.9</v>
      </c>
      <c r="BQ377">
        <v>354136.9</v>
      </c>
      <c r="BS377">
        <v>239581.2</v>
      </c>
      <c r="BU377">
        <v>1254744.8999999999</v>
      </c>
      <c r="BW377">
        <v>70933.3</v>
      </c>
      <c r="BY377">
        <v>49069.8</v>
      </c>
      <c r="CA377">
        <v>57908.6</v>
      </c>
      <c r="CC377">
        <v>210.2</v>
      </c>
      <c r="CE377">
        <v>257.39999999999998</v>
      </c>
      <c r="CG377">
        <v>6648.1</v>
      </c>
      <c r="CI377">
        <v>13529</v>
      </c>
      <c r="CK377">
        <v>864523.3</v>
      </c>
      <c r="CM377">
        <v>3645.2</v>
      </c>
      <c r="CO377">
        <v>4355.3</v>
      </c>
      <c r="CQ377">
        <v>73079</v>
      </c>
      <c r="CS377">
        <v>570591.69999999995</v>
      </c>
      <c r="CU377">
        <v>472922.5</v>
      </c>
      <c r="CW377">
        <v>1736153.5</v>
      </c>
      <c r="CY377">
        <v>60488.800000000003</v>
      </c>
      <c r="DA377">
        <v>489666</v>
      </c>
      <c r="DC377">
        <v>9.1</v>
      </c>
      <c r="DE377">
        <v>4002.9</v>
      </c>
      <c r="DG377">
        <v>72.8</v>
      </c>
      <c r="DI377">
        <v>1689</v>
      </c>
      <c r="DK377">
        <v>835.3</v>
      </c>
      <c r="DM377">
        <v>128832</v>
      </c>
      <c r="DO377">
        <v>401104.7</v>
      </c>
      <c r="DQ377">
        <v>15694.3</v>
      </c>
    </row>
    <row r="378" spans="1:121" x14ac:dyDescent="0.2">
      <c r="D378" t="s">
        <v>62</v>
      </c>
      <c r="E378" t="s">
        <v>61</v>
      </c>
      <c r="G378">
        <v>593.5</v>
      </c>
      <c r="I378">
        <v>75.900000000000006</v>
      </c>
      <c r="K378">
        <v>900.6</v>
      </c>
      <c r="M378">
        <v>617.70000000000005</v>
      </c>
      <c r="O378">
        <v>81.5</v>
      </c>
      <c r="Q378">
        <v>230.4</v>
      </c>
      <c r="S378">
        <v>62.4</v>
      </c>
      <c r="U378">
        <v>3.6</v>
      </c>
      <c r="W378">
        <v>186.6</v>
      </c>
      <c r="Y378">
        <v>75.2</v>
      </c>
      <c r="AA378">
        <v>26688.3</v>
      </c>
      <c r="AC378">
        <v>44034.2</v>
      </c>
      <c r="AE378">
        <v>21879.599999999999</v>
      </c>
      <c r="AG378">
        <v>142</v>
      </c>
      <c r="AI378">
        <v>1269.0999999999999</v>
      </c>
      <c r="AK378">
        <v>457</v>
      </c>
      <c r="AM378">
        <v>313.89999999999998</v>
      </c>
      <c r="AO378">
        <v>30.4</v>
      </c>
      <c r="AQ378">
        <v>13.6</v>
      </c>
      <c r="AS378">
        <v>8.3000000000000007</v>
      </c>
      <c r="AU378">
        <v>73</v>
      </c>
      <c r="AW378">
        <v>46.9</v>
      </c>
      <c r="AY378">
        <v>170.9</v>
      </c>
      <c r="BA378">
        <v>7790.3</v>
      </c>
      <c r="BC378">
        <v>191.3</v>
      </c>
      <c r="BE378">
        <v>162</v>
      </c>
      <c r="BG378">
        <v>1305.0999999999999</v>
      </c>
      <c r="BI378">
        <v>1073</v>
      </c>
      <c r="BK378">
        <v>4703.8</v>
      </c>
      <c r="BM378">
        <v>795.4</v>
      </c>
      <c r="BO378">
        <v>13865.6</v>
      </c>
      <c r="BQ378">
        <v>9795.9</v>
      </c>
      <c r="BS378">
        <v>7054.8</v>
      </c>
      <c r="BU378">
        <v>2939.4</v>
      </c>
      <c r="BW378">
        <v>1377.8</v>
      </c>
      <c r="BY378">
        <v>1064.7</v>
      </c>
      <c r="CA378">
        <v>876.9</v>
      </c>
      <c r="CC378">
        <v>54.3</v>
      </c>
      <c r="CE378">
        <v>21.2</v>
      </c>
      <c r="CG378">
        <v>102.7</v>
      </c>
      <c r="CI378">
        <v>345.6</v>
      </c>
      <c r="CK378">
        <v>4740.3999999999996</v>
      </c>
      <c r="CM378">
        <v>130.4</v>
      </c>
      <c r="CO378">
        <v>221.1</v>
      </c>
      <c r="CQ378">
        <v>2707.6</v>
      </c>
      <c r="CS378">
        <v>13999.6</v>
      </c>
      <c r="CU378">
        <v>3644.3</v>
      </c>
      <c r="CW378">
        <v>51408.3</v>
      </c>
      <c r="CY378">
        <v>1335.9</v>
      </c>
      <c r="DA378">
        <v>5104.3999999999996</v>
      </c>
      <c r="DC378">
        <v>5.0999999999999996</v>
      </c>
      <c r="DE378">
        <v>100.2</v>
      </c>
      <c r="DG378">
        <v>23.9</v>
      </c>
      <c r="DI378">
        <v>125.9</v>
      </c>
      <c r="DK378">
        <v>26.1</v>
      </c>
      <c r="DM378">
        <v>672.2</v>
      </c>
      <c r="DO378">
        <v>4490.6000000000004</v>
      </c>
      <c r="DQ378">
        <v>215.5</v>
      </c>
    </row>
    <row r="379" spans="1:121" x14ac:dyDescent="0.2">
      <c r="D379" t="s">
        <v>63</v>
      </c>
      <c r="G379">
        <v>4.861E-2</v>
      </c>
      <c r="H379" t="s">
        <v>75</v>
      </c>
      <c r="I379">
        <v>1.289E-2</v>
      </c>
      <c r="J379" t="s">
        <v>75</v>
      </c>
      <c r="K379">
        <v>7.1239999999999998E-2</v>
      </c>
      <c r="L379" t="s">
        <v>75</v>
      </c>
      <c r="M379">
        <v>7.2779999999999997E-2</v>
      </c>
      <c r="N379" t="s">
        <v>75</v>
      </c>
      <c r="O379">
        <v>4.15E-3</v>
      </c>
      <c r="P379" t="s">
        <v>75</v>
      </c>
      <c r="Q379">
        <v>5.6849999999999998E-2</v>
      </c>
      <c r="R379" t="s">
        <v>75</v>
      </c>
      <c r="S379">
        <v>5.2999999999999998E-4</v>
      </c>
      <c r="T379" t="s">
        <v>75</v>
      </c>
      <c r="U379">
        <v>1.0540000000000001E-2</v>
      </c>
      <c r="V379" t="s">
        <v>75</v>
      </c>
      <c r="W379">
        <v>1.6119999999999999E-2</v>
      </c>
      <c r="X379" t="s">
        <v>75</v>
      </c>
      <c r="Y379">
        <v>0.18748999999999999</v>
      </c>
      <c r="Z379" t="s">
        <v>75</v>
      </c>
      <c r="AB379" t="s">
        <v>76</v>
      </c>
      <c r="AC379">
        <v>52.069099999999999</v>
      </c>
      <c r="AD379" t="s">
        <v>75</v>
      </c>
      <c r="AE379">
        <v>33.045659999999998</v>
      </c>
      <c r="AF379" t="s">
        <v>75</v>
      </c>
      <c r="AG379">
        <v>-1.2359999999999999E-2</v>
      </c>
      <c r="AH379" t="s">
        <v>75</v>
      </c>
      <c r="AI379">
        <v>0.35727999999999999</v>
      </c>
      <c r="AJ379" t="s">
        <v>75</v>
      </c>
      <c r="AK379">
        <v>6.5700000000000003E-3</v>
      </c>
      <c r="AL379" t="s">
        <v>75</v>
      </c>
      <c r="AM379">
        <v>9.9000000000000008E-3</v>
      </c>
      <c r="AN379" t="s">
        <v>75</v>
      </c>
      <c r="AO379">
        <v>6.6100000000000004E-3</v>
      </c>
      <c r="AP379" t="s">
        <v>75</v>
      </c>
      <c r="AQ379">
        <v>4.4999999999999999E-4</v>
      </c>
      <c r="AR379" t="s">
        <v>75</v>
      </c>
      <c r="AS379">
        <v>9.1E-4</v>
      </c>
      <c r="AT379" t="s">
        <v>75</v>
      </c>
      <c r="AU379">
        <v>1.5399999999999999E-3</v>
      </c>
      <c r="AV379" t="s">
        <v>75</v>
      </c>
      <c r="AW379">
        <v>-2.9999999999999997E-4</v>
      </c>
      <c r="AX379" t="s">
        <v>75</v>
      </c>
      <c r="AY379">
        <v>-2.0999999999999999E-3</v>
      </c>
      <c r="AZ379" t="s">
        <v>75</v>
      </c>
      <c r="BC379">
        <v>-2.0533899999999998</v>
      </c>
      <c r="BD379" t="s">
        <v>75</v>
      </c>
      <c r="BE379">
        <v>5.94E-3</v>
      </c>
      <c r="BF379" t="s">
        <v>75</v>
      </c>
      <c r="BG379">
        <v>0.43979000000000001</v>
      </c>
      <c r="BH379" t="s">
        <v>75</v>
      </c>
      <c r="BI379">
        <v>0.44524999999999998</v>
      </c>
      <c r="BJ379" t="s">
        <v>75</v>
      </c>
      <c r="BK379">
        <v>0.43390000000000001</v>
      </c>
      <c r="BL379" t="s">
        <v>75</v>
      </c>
      <c r="BM379">
        <v>4.9930000000000002E-2</v>
      </c>
      <c r="BN379" t="s">
        <v>75</v>
      </c>
      <c r="BO379">
        <v>40.60557</v>
      </c>
      <c r="BP379" t="s">
        <v>75</v>
      </c>
      <c r="BQ379">
        <v>11.396269999999999</v>
      </c>
      <c r="BR379" t="s">
        <v>75</v>
      </c>
      <c r="BS379">
        <v>4.83371</v>
      </c>
      <c r="BT379" t="s">
        <v>75</v>
      </c>
      <c r="BU379">
        <v>30.69829</v>
      </c>
      <c r="BV379" t="s">
        <v>75</v>
      </c>
      <c r="BW379">
        <v>29.435379999999999</v>
      </c>
      <c r="BX379" t="s">
        <v>75</v>
      </c>
      <c r="BY379">
        <v>5.4635199999999999</v>
      </c>
      <c r="BZ379" t="s">
        <v>75</v>
      </c>
      <c r="CA379">
        <v>26.993739999999999</v>
      </c>
      <c r="CB379" t="s">
        <v>75</v>
      </c>
      <c r="CC379">
        <v>2.998E-2</v>
      </c>
      <c r="CD379" t="s">
        <v>75</v>
      </c>
      <c r="CE379">
        <v>2.14E-3</v>
      </c>
      <c r="CF379" t="s">
        <v>75</v>
      </c>
      <c r="CG379">
        <v>9.4350000000000003E-2</v>
      </c>
      <c r="CH379" t="s">
        <v>75</v>
      </c>
      <c r="CI379">
        <v>0.14532</v>
      </c>
      <c r="CJ379" t="s">
        <v>75</v>
      </c>
      <c r="CK379">
        <v>11.740919999999999</v>
      </c>
      <c r="CL379" t="s">
        <v>75</v>
      </c>
      <c r="CM379">
        <v>4.4060000000000002E-2</v>
      </c>
      <c r="CN379" t="s">
        <v>75</v>
      </c>
      <c r="CO379">
        <v>0.25330999999999998</v>
      </c>
      <c r="CP379" t="s">
        <v>75</v>
      </c>
      <c r="CQ379">
        <v>2.1535000000000002</v>
      </c>
      <c r="CR379" t="s">
        <v>75</v>
      </c>
      <c r="CS379">
        <v>147.13338999999999</v>
      </c>
      <c r="CT379" t="s">
        <v>75</v>
      </c>
      <c r="CV379" t="s">
        <v>76</v>
      </c>
      <c r="CW379">
        <v>63.552700000000002</v>
      </c>
      <c r="CX379" t="s">
        <v>75</v>
      </c>
      <c r="DA379">
        <v>30.102440000000001</v>
      </c>
      <c r="DB379" t="s">
        <v>75</v>
      </c>
      <c r="DC379">
        <v>3.13E-3</v>
      </c>
      <c r="DD379" t="s">
        <v>75</v>
      </c>
      <c r="DE379">
        <v>1.8634200000000001</v>
      </c>
      <c r="DF379" t="s">
        <v>75</v>
      </c>
      <c r="DG379">
        <v>0.33507999999999999</v>
      </c>
      <c r="DH379" t="s">
        <v>75</v>
      </c>
      <c r="DI379">
        <v>2.63795</v>
      </c>
      <c r="DJ379" t="s">
        <v>75</v>
      </c>
      <c r="DL379" t="s">
        <v>76</v>
      </c>
      <c r="DN379" t="s">
        <v>76</v>
      </c>
      <c r="DO379">
        <v>61.64564</v>
      </c>
      <c r="DP379" t="s">
        <v>75</v>
      </c>
    </row>
    <row r="380" spans="1:121" x14ac:dyDescent="0.2">
      <c r="D380" t="s">
        <v>64</v>
      </c>
      <c r="G380">
        <v>4.7200000000000002E-3</v>
      </c>
      <c r="H380" t="s">
        <v>75</v>
      </c>
      <c r="I380">
        <v>2.5799999999999998E-3</v>
      </c>
      <c r="J380" t="s">
        <v>75</v>
      </c>
      <c r="K380">
        <v>1.32E-3</v>
      </c>
      <c r="L380" t="s">
        <v>75</v>
      </c>
      <c r="M380">
        <v>1.1999999999999999E-3</v>
      </c>
      <c r="N380" t="s">
        <v>75</v>
      </c>
      <c r="O380">
        <v>8.0000000000000007E-5</v>
      </c>
      <c r="P380" t="s">
        <v>75</v>
      </c>
      <c r="Q380">
        <v>1.1199999999999999E-3</v>
      </c>
      <c r="R380" t="s">
        <v>75</v>
      </c>
      <c r="S380">
        <v>5.0000000000000002E-5</v>
      </c>
      <c r="T380" t="s">
        <v>75</v>
      </c>
      <c r="U380">
        <v>6.0000000000000002E-5</v>
      </c>
      <c r="V380" t="s">
        <v>75</v>
      </c>
      <c r="W380">
        <v>4.2999999999999999E-4</v>
      </c>
      <c r="X380" t="s">
        <v>75</v>
      </c>
      <c r="Y380">
        <v>1.4400000000000001E-3</v>
      </c>
      <c r="Z380" t="s">
        <v>75</v>
      </c>
      <c r="AC380">
        <v>0.69918000000000002</v>
      </c>
      <c r="AD380" t="s">
        <v>75</v>
      </c>
      <c r="AE380">
        <v>0.33217999999999998</v>
      </c>
      <c r="AF380" t="s">
        <v>75</v>
      </c>
      <c r="AG380">
        <v>1.3999999999999999E-4</v>
      </c>
      <c r="AH380" t="s">
        <v>75</v>
      </c>
      <c r="AI380">
        <v>4.1000000000000003E-3</v>
      </c>
      <c r="AJ380" t="s">
        <v>75</v>
      </c>
      <c r="AK380">
        <v>2.3000000000000001E-4</v>
      </c>
      <c r="AL380" t="s">
        <v>75</v>
      </c>
      <c r="AM380">
        <v>3.3E-4</v>
      </c>
      <c r="AN380" t="s">
        <v>75</v>
      </c>
      <c r="AO380">
        <v>1.7000000000000001E-4</v>
      </c>
      <c r="AP380" t="s">
        <v>75</v>
      </c>
      <c r="AQ380">
        <v>6.9999999999999994E-5</v>
      </c>
      <c r="AR380" t="s">
        <v>75</v>
      </c>
      <c r="AS380">
        <v>3.0000000000000001E-5</v>
      </c>
      <c r="AT380" t="s">
        <v>75</v>
      </c>
      <c r="AU380">
        <v>5.0000000000000002E-5</v>
      </c>
      <c r="AV380" t="s">
        <v>75</v>
      </c>
      <c r="AW380">
        <v>1.2E-4</v>
      </c>
      <c r="AX380" t="s">
        <v>75</v>
      </c>
      <c r="AY380">
        <v>6.4000000000000005E-4</v>
      </c>
      <c r="AZ380" t="s">
        <v>75</v>
      </c>
      <c r="BC380">
        <v>6.3000000000000003E-4</v>
      </c>
      <c r="BD380" t="s">
        <v>75</v>
      </c>
      <c r="BE380">
        <v>1.2999999999999999E-4</v>
      </c>
      <c r="BF380" t="s">
        <v>75</v>
      </c>
      <c r="BG380">
        <v>7.1999999999999998E-3</v>
      </c>
      <c r="BH380" t="s">
        <v>75</v>
      </c>
      <c r="BI380">
        <v>2.1299999999999999E-3</v>
      </c>
      <c r="BJ380" t="s">
        <v>75</v>
      </c>
      <c r="BK380">
        <v>4.6600000000000001E-3</v>
      </c>
      <c r="BL380" t="s">
        <v>75</v>
      </c>
      <c r="BM380">
        <v>2.9E-4</v>
      </c>
      <c r="BN380" t="s">
        <v>75</v>
      </c>
      <c r="BO380">
        <v>1.11036</v>
      </c>
      <c r="BP380" t="s">
        <v>75</v>
      </c>
      <c r="BQ380">
        <v>0.34998000000000001</v>
      </c>
      <c r="BR380" t="s">
        <v>75</v>
      </c>
      <c r="BS380">
        <v>0.14229</v>
      </c>
      <c r="BT380" t="s">
        <v>75</v>
      </c>
      <c r="BU380">
        <v>1.1851499999999999</v>
      </c>
      <c r="BV380" t="s">
        <v>75</v>
      </c>
      <c r="BW380">
        <v>0.79642000000000002</v>
      </c>
      <c r="BX380" t="s">
        <v>75</v>
      </c>
      <c r="BY380">
        <v>0.49554999999999999</v>
      </c>
      <c r="BZ380" t="s">
        <v>75</v>
      </c>
      <c r="CA380">
        <v>1.1308400000000001</v>
      </c>
      <c r="CB380" t="s">
        <v>75</v>
      </c>
      <c r="CC380">
        <v>1.149E-2</v>
      </c>
      <c r="CD380" t="s">
        <v>75</v>
      </c>
      <c r="CE380">
        <v>3.1E-4</v>
      </c>
      <c r="CF380" t="s">
        <v>75</v>
      </c>
      <c r="CG380">
        <v>1.82E-3</v>
      </c>
      <c r="CH380" t="s">
        <v>75</v>
      </c>
      <c r="CI380">
        <v>5.4099999999999999E-3</v>
      </c>
      <c r="CJ380" t="s">
        <v>75</v>
      </c>
      <c r="CK380">
        <v>0.33056999999999997</v>
      </c>
      <c r="CL380" t="s">
        <v>75</v>
      </c>
      <c r="CM380">
        <v>2.3400000000000001E-3</v>
      </c>
      <c r="CN380" t="s">
        <v>75</v>
      </c>
      <c r="CO380">
        <v>1.7500000000000002E-2</v>
      </c>
      <c r="CP380" t="s">
        <v>75</v>
      </c>
      <c r="CQ380">
        <v>0.13048000000000001</v>
      </c>
      <c r="CR380" t="s">
        <v>75</v>
      </c>
      <c r="CS380">
        <v>6.9220699999999997</v>
      </c>
      <c r="CT380" t="s">
        <v>75</v>
      </c>
      <c r="CW380">
        <v>3.3246699999999998</v>
      </c>
      <c r="CX380" t="s">
        <v>75</v>
      </c>
      <c r="DA380">
        <v>0.72804000000000002</v>
      </c>
      <c r="DB380" t="s">
        <v>75</v>
      </c>
      <c r="DC380">
        <v>2.3999999999999998E-3</v>
      </c>
      <c r="DD380" t="s">
        <v>75</v>
      </c>
      <c r="DE380">
        <v>2.1919999999999999E-2</v>
      </c>
      <c r="DF380" t="s">
        <v>75</v>
      </c>
      <c r="DG380">
        <v>0.12536</v>
      </c>
      <c r="DH380" t="s">
        <v>75</v>
      </c>
      <c r="DI380">
        <v>0.26737</v>
      </c>
      <c r="DJ380" t="s">
        <v>75</v>
      </c>
      <c r="DO380">
        <v>1.4318200000000001</v>
      </c>
      <c r="DP380" t="s">
        <v>75</v>
      </c>
    </row>
    <row r="381" spans="1:121" x14ac:dyDescent="0.2">
      <c r="D381" t="s">
        <v>65</v>
      </c>
      <c r="G381" t="s">
        <v>66</v>
      </c>
      <c r="I381" t="s">
        <v>66</v>
      </c>
      <c r="K381" t="s">
        <v>66</v>
      </c>
      <c r="M381" t="s">
        <v>66</v>
      </c>
      <c r="O381" t="s">
        <v>66</v>
      </c>
      <c r="Q381" t="s">
        <v>66</v>
      </c>
      <c r="S381" t="s">
        <v>66</v>
      </c>
      <c r="U381" t="s">
        <v>66</v>
      </c>
      <c r="W381" t="s">
        <v>66</v>
      </c>
      <c r="Y381" t="s">
        <v>66</v>
      </c>
      <c r="AA381" t="s">
        <v>66</v>
      </c>
      <c r="AC381" t="s">
        <v>66</v>
      </c>
      <c r="AE381" t="s">
        <v>66</v>
      </c>
      <c r="AG381" t="s">
        <v>66</v>
      </c>
      <c r="AI381" t="s">
        <v>66</v>
      </c>
      <c r="AK381" t="s">
        <v>66</v>
      </c>
      <c r="AM381" t="s">
        <v>66</v>
      </c>
      <c r="AO381" t="s">
        <v>66</v>
      </c>
      <c r="AQ381" t="s">
        <v>66</v>
      </c>
      <c r="AS381" t="s">
        <v>66</v>
      </c>
      <c r="AU381" t="s">
        <v>66</v>
      </c>
      <c r="AW381" t="s">
        <v>66</v>
      </c>
      <c r="AY381" t="s">
        <v>66</v>
      </c>
      <c r="BA381" t="s">
        <v>66</v>
      </c>
      <c r="BC381" t="s">
        <v>66</v>
      </c>
      <c r="BE381" t="s">
        <v>66</v>
      </c>
      <c r="BG381" t="s">
        <v>66</v>
      </c>
      <c r="BI381" t="s">
        <v>66</v>
      </c>
      <c r="BK381" t="s">
        <v>66</v>
      </c>
      <c r="BM381" t="s">
        <v>66</v>
      </c>
      <c r="BO381" t="s">
        <v>66</v>
      </c>
      <c r="BQ381" t="s">
        <v>66</v>
      </c>
      <c r="BS381" t="s">
        <v>66</v>
      </c>
      <c r="BU381" t="s">
        <v>66</v>
      </c>
      <c r="BW381" t="s">
        <v>66</v>
      </c>
      <c r="BY381" t="s">
        <v>66</v>
      </c>
      <c r="CA381" t="s">
        <v>66</v>
      </c>
      <c r="CC381" t="s">
        <v>66</v>
      </c>
      <c r="CE381" t="s">
        <v>66</v>
      </c>
      <c r="CG381" t="s">
        <v>66</v>
      </c>
      <c r="CI381" t="s">
        <v>66</v>
      </c>
      <c r="CK381" t="s">
        <v>66</v>
      </c>
      <c r="CM381" t="s">
        <v>66</v>
      </c>
      <c r="CO381" t="s">
        <v>66</v>
      </c>
      <c r="CQ381" t="s">
        <v>66</v>
      </c>
      <c r="CS381" t="s">
        <v>66</v>
      </c>
      <c r="CU381" t="s">
        <v>66</v>
      </c>
      <c r="CW381" t="s">
        <v>66</v>
      </c>
      <c r="CY381" t="s">
        <v>66</v>
      </c>
      <c r="DA381" t="s">
        <v>66</v>
      </c>
      <c r="DC381" t="s">
        <v>66</v>
      </c>
      <c r="DE381" t="s">
        <v>66</v>
      </c>
      <c r="DG381" t="s">
        <v>66</v>
      </c>
      <c r="DI381" t="s">
        <v>66</v>
      </c>
      <c r="DK381" t="s">
        <v>66</v>
      </c>
      <c r="DM381" t="s">
        <v>66</v>
      </c>
      <c r="DO381" t="s">
        <v>66</v>
      </c>
      <c r="DQ381" t="s">
        <v>66</v>
      </c>
    </row>
    <row r="382" spans="1:121" x14ac:dyDescent="0.2">
      <c r="A382" t="s">
        <v>646</v>
      </c>
      <c r="D382" t="s">
        <v>60</v>
      </c>
      <c r="E382" t="s">
        <v>61</v>
      </c>
      <c r="G382">
        <v>9289.2000000000007</v>
      </c>
      <c r="I382">
        <v>754.6</v>
      </c>
      <c r="K382">
        <v>24857.7</v>
      </c>
      <c r="M382">
        <v>109956.5</v>
      </c>
      <c r="O382">
        <v>1270.5999999999999</v>
      </c>
      <c r="Q382">
        <v>613.70000000000005</v>
      </c>
      <c r="S382">
        <v>1238.3</v>
      </c>
      <c r="U382">
        <v>1252.9000000000001</v>
      </c>
      <c r="W382">
        <v>3194.7</v>
      </c>
      <c r="Y382">
        <v>2730.5</v>
      </c>
      <c r="AA382">
        <v>3652459.3</v>
      </c>
      <c r="AC382">
        <v>15262791.4</v>
      </c>
      <c r="AE382">
        <v>1793872.7</v>
      </c>
      <c r="AG382">
        <v>2772.2</v>
      </c>
      <c r="AI382">
        <v>49237.9</v>
      </c>
      <c r="AK382">
        <v>2488.6</v>
      </c>
      <c r="AM382">
        <v>3556.6</v>
      </c>
      <c r="AO382">
        <v>412.5</v>
      </c>
      <c r="AQ382">
        <v>303.10000000000002</v>
      </c>
      <c r="AS382">
        <v>345.9</v>
      </c>
      <c r="AU382">
        <v>232.3</v>
      </c>
      <c r="AW382">
        <v>235.4</v>
      </c>
      <c r="AY382">
        <v>702.3</v>
      </c>
      <c r="BA382">
        <v>684610</v>
      </c>
      <c r="BC382">
        <v>2215.4</v>
      </c>
      <c r="BE382">
        <v>1078.8</v>
      </c>
      <c r="BG382">
        <v>53978.400000000001</v>
      </c>
      <c r="BI382">
        <v>45254.3</v>
      </c>
      <c r="BK382">
        <v>111803.8</v>
      </c>
      <c r="BM382">
        <v>16389</v>
      </c>
      <c r="BO382">
        <v>589986.5</v>
      </c>
      <c r="BQ382">
        <v>379713</v>
      </c>
      <c r="BS382">
        <v>659914.19999999995</v>
      </c>
      <c r="BU382">
        <v>806203.4</v>
      </c>
      <c r="BW382">
        <v>34651.599999999999</v>
      </c>
      <c r="BY382">
        <v>35893.1</v>
      </c>
      <c r="CA382">
        <v>57729.8</v>
      </c>
      <c r="CC382">
        <v>157.4</v>
      </c>
      <c r="CE382">
        <v>295.39999999999998</v>
      </c>
      <c r="CG382">
        <v>5943.4</v>
      </c>
      <c r="CI382">
        <v>5992.6</v>
      </c>
      <c r="CK382">
        <v>156575.4</v>
      </c>
      <c r="CM382">
        <v>1184.9000000000001</v>
      </c>
      <c r="CO382">
        <v>2300.1</v>
      </c>
      <c r="CQ382">
        <v>41526.199999999997</v>
      </c>
      <c r="CS382">
        <v>170182.39999999999</v>
      </c>
      <c r="CU382">
        <v>308523.90000000002</v>
      </c>
      <c r="CW382">
        <v>1750295.7</v>
      </c>
      <c r="CY382">
        <v>58863.7</v>
      </c>
      <c r="DA382">
        <v>181768.7</v>
      </c>
      <c r="DC382">
        <v>3.9</v>
      </c>
      <c r="DE382">
        <v>804.8</v>
      </c>
      <c r="DG382">
        <v>29.2</v>
      </c>
      <c r="DI382">
        <v>1035.4000000000001</v>
      </c>
      <c r="DK382">
        <v>827.5</v>
      </c>
      <c r="DM382">
        <v>86236.5</v>
      </c>
      <c r="DO382">
        <v>418796.1</v>
      </c>
      <c r="DQ382">
        <v>15411.5</v>
      </c>
    </row>
    <row r="383" spans="1:121" x14ac:dyDescent="0.2">
      <c r="D383" t="s">
        <v>62</v>
      </c>
      <c r="E383" t="s">
        <v>61</v>
      </c>
      <c r="G383">
        <v>428.2</v>
      </c>
      <c r="I383">
        <v>38.200000000000003</v>
      </c>
      <c r="K383">
        <v>269.7</v>
      </c>
      <c r="M383">
        <v>1243</v>
      </c>
      <c r="O383">
        <v>83.4</v>
      </c>
      <c r="Q383">
        <v>33.200000000000003</v>
      </c>
      <c r="S383">
        <v>156.1</v>
      </c>
      <c r="U383">
        <v>137.6</v>
      </c>
      <c r="W383">
        <v>43.9</v>
      </c>
      <c r="Y383">
        <v>150.6</v>
      </c>
      <c r="AA383">
        <v>15934.1</v>
      </c>
      <c r="AC383">
        <v>150776.6</v>
      </c>
      <c r="AE383">
        <v>17037.599999999999</v>
      </c>
      <c r="AG383">
        <v>94.9</v>
      </c>
      <c r="AI383">
        <v>81.599999999999994</v>
      </c>
      <c r="AK383">
        <v>97</v>
      </c>
      <c r="AM383">
        <v>33</v>
      </c>
      <c r="AO383">
        <v>40.6</v>
      </c>
      <c r="AQ383">
        <v>9.4</v>
      </c>
      <c r="AS383">
        <v>6.5</v>
      </c>
      <c r="AU383">
        <v>27</v>
      </c>
      <c r="AW383">
        <v>51.6</v>
      </c>
      <c r="AY383">
        <v>31.3</v>
      </c>
      <c r="BA383">
        <v>10356.4</v>
      </c>
      <c r="BC383">
        <v>87.8</v>
      </c>
      <c r="BE383">
        <v>84.1</v>
      </c>
      <c r="BG383">
        <v>1092.9000000000001</v>
      </c>
      <c r="BI383">
        <v>236</v>
      </c>
      <c r="BK383">
        <v>200.3</v>
      </c>
      <c r="BM383">
        <v>860.6</v>
      </c>
      <c r="BO383">
        <v>6540.7</v>
      </c>
      <c r="BQ383">
        <v>1674.9</v>
      </c>
      <c r="BS383">
        <v>6942.8</v>
      </c>
      <c r="BU383">
        <v>6592.3</v>
      </c>
      <c r="BW383">
        <v>412.1</v>
      </c>
      <c r="BY383">
        <v>310.39999999999998</v>
      </c>
      <c r="CA383">
        <v>618.1</v>
      </c>
      <c r="CC383">
        <v>13.1</v>
      </c>
      <c r="CE383">
        <v>16.7</v>
      </c>
      <c r="CG383">
        <v>133.6</v>
      </c>
      <c r="CI383">
        <v>82.3</v>
      </c>
      <c r="CK383">
        <v>534.6</v>
      </c>
      <c r="CM383">
        <v>5.8</v>
      </c>
      <c r="CO383">
        <v>91</v>
      </c>
      <c r="CQ383">
        <v>478</v>
      </c>
      <c r="CS383">
        <v>1493.9</v>
      </c>
      <c r="CU383">
        <v>2544.6</v>
      </c>
      <c r="CW383">
        <v>55018.8</v>
      </c>
      <c r="CY383">
        <v>1300.0999999999999</v>
      </c>
      <c r="DA383">
        <v>3107.6</v>
      </c>
      <c r="DC383">
        <v>3.8</v>
      </c>
      <c r="DE383">
        <v>53.5</v>
      </c>
      <c r="DG383">
        <v>18.7</v>
      </c>
      <c r="DI383">
        <v>34.5</v>
      </c>
      <c r="DK383">
        <v>20.5</v>
      </c>
      <c r="DM383">
        <v>403.9</v>
      </c>
      <c r="DO383">
        <v>13007.7</v>
      </c>
      <c r="DQ383">
        <v>330</v>
      </c>
    </row>
    <row r="384" spans="1:121" x14ac:dyDescent="0.2">
      <c r="D384" t="s">
        <v>63</v>
      </c>
      <c r="G384">
        <v>3.8690000000000002E-2</v>
      </c>
      <c r="H384" t="s">
        <v>75</v>
      </c>
      <c r="I384">
        <v>1.346E-2</v>
      </c>
      <c r="J384" t="s">
        <v>75</v>
      </c>
      <c r="K384">
        <v>2.7820000000000001E-2</v>
      </c>
      <c r="L384" t="s">
        <v>75</v>
      </c>
      <c r="M384">
        <v>7.6429999999999998E-2</v>
      </c>
      <c r="N384" t="s">
        <v>75</v>
      </c>
      <c r="O384">
        <v>3.98E-3</v>
      </c>
      <c r="P384" t="s">
        <v>75</v>
      </c>
      <c r="Q384">
        <v>2.4930000000000001E-2</v>
      </c>
      <c r="R384" t="s">
        <v>75</v>
      </c>
      <c r="S384">
        <v>3.8000000000000002E-4</v>
      </c>
      <c r="T384" t="s">
        <v>75</v>
      </c>
      <c r="U384">
        <v>1.078E-2</v>
      </c>
      <c r="V384" t="s">
        <v>75</v>
      </c>
      <c r="W384">
        <v>1.026E-2</v>
      </c>
      <c r="X384" t="s">
        <v>75</v>
      </c>
      <c r="Y384">
        <v>4.0169999999999997E-2</v>
      </c>
      <c r="Z384" t="s">
        <v>75</v>
      </c>
      <c r="AB384" t="s">
        <v>76</v>
      </c>
      <c r="AC384">
        <v>53.815950000000001</v>
      </c>
      <c r="AD384" t="s">
        <v>75</v>
      </c>
      <c r="AE384">
        <v>6.6935799999999999</v>
      </c>
      <c r="AF384" t="s">
        <v>75</v>
      </c>
      <c r="AG384">
        <v>-1.4200000000000001E-2</v>
      </c>
      <c r="AH384" t="s">
        <v>75</v>
      </c>
      <c r="AI384">
        <v>0.30820999999999998</v>
      </c>
      <c r="AJ384" t="s">
        <v>75</v>
      </c>
      <c r="AK384">
        <v>-4.4999999999999999E-4</v>
      </c>
      <c r="AL384" t="s">
        <v>75</v>
      </c>
      <c r="AM384">
        <v>-3.0400000000000002E-3</v>
      </c>
      <c r="AN384" t="s">
        <v>75</v>
      </c>
      <c r="AO384">
        <v>2.9199999999999999E-3</v>
      </c>
      <c r="AP384" t="s">
        <v>75</v>
      </c>
      <c r="AQ384">
        <v>3.3E-4</v>
      </c>
      <c r="AR384" t="s">
        <v>75</v>
      </c>
      <c r="AS384">
        <v>4.8999999999999998E-4</v>
      </c>
      <c r="AT384" t="s">
        <v>75</v>
      </c>
      <c r="AU384">
        <v>1.5E-3</v>
      </c>
      <c r="AV384" t="s">
        <v>75</v>
      </c>
      <c r="AW384">
        <v>-2.3000000000000001E-4</v>
      </c>
      <c r="AX384" t="s">
        <v>75</v>
      </c>
      <c r="AY384">
        <v>-8.1200000000000005E-3</v>
      </c>
      <c r="AZ384" t="s">
        <v>75</v>
      </c>
      <c r="BC384">
        <v>-2.05335</v>
      </c>
      <c r="BD384" t="s">
        <v>75</v>
      </c>
      <c r="BE384">
        <v>3.5899999999999999E-3</v>
      </c>
      <c r="BF384" t="s">
        <v>75</v>
      </c>
      <c r="BG384">
        <v>0.11491999999999999</v>
      </c>
      <c r="BH384" t="s">
        <v>75</v>
      </c>
      <c r="BI384">
        <v>0.13200000000000001</v>
      </c>
      <c r="BJ384" t="s">
        <v>75</v>
      </c>
      <c r="BK384">
        <v>0.10582</v>
      </c>
      <c r="BL384" t="s">
        <v>75</v>
      </c>
      <c r="BM384">
        <v>5.2599999999999999E-3</v>
      </c>
      <c r="BN384" t="s">
        <v>75</v>
      </c>
      <c r="BO384">
        <v>11.46575</v>
      </c>
      <c r="BP384" t="s">
        <v>75</v>
      </c>
      <c r="BQ384">
        <v>12.600949999999999</v>
      </c>
      <c r="BR384" t="s">
        <v>75</v>
      </c>
      <c r="BS384">
        <v>14.52825</v>
      </c>
      <c r="BT384" t="s">
        <v>75</v>
      </c>
      <c r="BU384">
        <v>13.31718</v>
      </c>
      <c r="BV384" t="s">
        <v>75</v>
      </c>
      <c r="BW384">
        <v>14.6532</v>
      </c>
      <c r="BX384" t="s">
        <v>75</v>
      </c>
      <c r="BY384">
        <v>2.0856599999999998</v>
      </c>
      <c r="BZ384" t="s">
        <v>75</v>
      </c>
      <c r="CA384">
        <v>27.73122</v>
      </c>
      <c r="CB384" t="s">
        <v>75</v>
      </c>
      <c r="CC384">
        <v>1.9730000000000001E-2</v>
      </c>
      <c r="CD384" t="s">
        <v>75</v>
      </c>
      <c r="CE384">
        <v>2.81E-3</v>
      </c>
      <c r="CF384" t="s">
        <v>75</v>
      </c>
      <c r="CG384">
        <v>8.5269999999999999E-2</v>
      </c>
      <c r="CH384" t="s">
        <v>75</v>
      </c>
      <c r="CI384">
        <v>5.0529999999999999E-2</v>
      </c>
      <c r="CJ384" t="s">
        <v>75</v>
      </c>
      <c r="CK384">
        <v>1.91679</v>
      </c>
      <c r="CL384" t="s">
        <v>75</v>
      </c>
      <c r="CM384">
        <v>1.0059999999999999E-2</v>
      </c>
      <c r="CN384" t="s">
        <v>75</v>
      </c>
      <c r="CO384">
        <v>0.14202999999999999</v>
      </c>
      <c r="CP384" t="s">
        <v>75</v>
      </c>
      <c r="CQ384">
        <v>1.2451700000000001</v>
      </c>
      <c r="CR384" t="s">
        <v>75</v>
      </c>
      <c r="CS384">
        <v>45.00658</v>
      </c>
      <c r="CT384" t="s">
        <v>75</v>
      </c>
      <c r="CV384" t="s">
        <v>76</v>
      </c>
      <c r="CW384">
        <v>65.841620000000006</v>
      </c>
      <c r="CX384" t="s">
        <v>75</v>
      </c>
      <c r="DA384">
        <v>11.24006</v>
      </c>
      <c r="DB384" t="s">
        <v>75</v>
      </c>
      <c r="DC384">
        <v>7.6000000000000004E-4</v>
      </c>
      <c r="DD384" t="s">
        <v>75</v>
      </c>
      <c r="DE384">
        <v>0.36747999999999997</v>
      </c>
      <c r="DF384" t="s">
        <v>75</v>
      </c>
      <c r="DG384">
        <v>0.10041</v>
      </c>
      <c r="DH384" t="s">
        <v>75</v>
      </c>
      <c r="DI384">
        <v>1.4751000000000001</v>
      </c>
      <c r="DJ384" t="s">
        <v>75</v>
      </c>
      <c r="DL384" t="s">
        <v>76</v>
      </c>
      <c r="DN384" t="s">
        <v>76</v>
      </c>
      <c r="DO384">
        <v>65.581320000000005</v>
      </c>
      <c r="DP384" t="s">
        <v>75</v>
      </c>
    </row>
    <row r="385" spans="1:121" x14ac:dyDescent="0.2">
      <c r="D385" t="s">
        <v>64</v>
      </c>
      <c r="G385">
        <v>2.7599999999999999E-3</v>
      </c>
      <c r="H385" t="s">
        <v>75</v>
      </c>
      <c r="I385">
        <v>1.5299999999999999E-3</v>
      </c>
      <c r="J385" t="s">
        <v>75</v>
      </c>
      <c r="K385">
        <v>3.2000000000000003E-4</v>
      </c>
      <c r="L385" t="s">
        <v>75</v>
      </c>
      <c r="M385">
        <v>2.7899999999999999E-3</v>
      </c>
      <c r="N385" t="s">
        <v>75</v>
      </c>
      <c r="O385">
        <v>8.0000000000000007E-5</v>
      </c>
      <c r="P385" t="s">
        <v>75</v>
      </c>
      <c r="Q385">
        <v>2.5999999999999998E-4</v>
      </c>
      <c r="R385" t="s">
        <v>75</v>
      </c>
      <c r="S385">
        <v>1.2E-4</v>
      </c>
      <c r="T385" t="s">
        <v>75</v>
      </c>
      <c r="U385">
        <v>5.6999999999999998E-4</v>
      </c>
      <c r="V385" t="s">
        <v>75</v>
      </c>
      <c r="W385">
        <v>1.7000000000000001E-4</v>
      </c>
      <c r="X385" t="s">
        <v>75</v>
      </c>
      <c r="Y385">
        <v>2.6900000000000001E-3</v>
      </c>
      <c r="Z385" t="s">
        <v>75</v>
      </c>
      <c r="AC385">
        <v>1.08623</v>
      </c>
      <c r="AD385" t="s">
        <v>75</v>
      </c>
      <c r="AE385">
        <v>0.16031999999999999</v>
      </c>
      <c r="AF385" t="s">
        <v>75</v>
      </c>
      <c r="AG385">
        <v>9.0000000000000006E-5</v>
      </c>
      <c r="AH385" t="s">
        <v>75</v>
      </c>
      <c r="AI385">
        <v>5.13E-3</v>
      </c>
      <c r="AJ385" t="s">
        <v>75</v>
      </c>
      <c r="AK385">
        <v>5.0000000000000002E-5</v>
      </c>
      <c r="AL385" t="s">
        <v>75</v>
      </c>
      <c r="AM385">
        <v>2.0000000000000002E-5</v>
      </c>
      <c r="AN385" t="s">
        <v>75</v>
      </c>
      <c r="AO385">
        <v>1.2999999999999999E-4</v>
      </c>
      <c r="AP385" t="s">
        <v>75</v>
      </c>
      <c r="AQ385">
        <v>5.0000000000000002E-5</v>
      </c>
      <c r="AR385" t="s">
        <v>75</v>
      </c>
      <c r="AS385">
        <v>5.0000000000000002E-5</v>
      </c>
      <c r="AT385" t="s">
        <v>75</v>
      </c>
      <c r="AU385">
        <v>2.0000000000000002E-5</v>
      </c>
      <c r="AV385" t="s">
        <v>75</v>
      </c>
      <c r="AW385">
        <v>1.2999999999999999E-4</v>
      </c>
      <c r="AX385" t="s">
        <v>75</v>
      </c>
      <c r="AY385">
        <v>1E-4</v>
      </c>
      <c r="AZ385" t="s">
        <v>75</v>
      </c>
      <c r="BC385">
        <v>2.0000000000000001E-4</v>
      </c>
      <c r="BD385" t="s">
        <v>75</v>
      </c>
      <c r="BE385">
        <v>9.0000000000000006E-5</v>
      </c>
      <c r="BF385" t="s">
        <v>75</v>
      </c>
      <c r="BG385">
        <v>5.3499999999999997E-3</v>
      </c>
      <c r="BH385" t="s">
        <v>75</v>
      </c>
      <c r="BI385">
        <v>1.5399999999999999E-3</v>
      </c>
      <c r="BJ385" t="s">
        <v>75</v>
      </c>
      <c r="BK385">
        <v>2.99E-3</v>
      </c>
      <c r="BL385" t="s">
        <v>75</v>
      </c>
      <c r="BM385">
        <v>9.8999999999999999E-4</v>
      </c>
      <c r="BN385" t="s">
        <v>75</v>
      </c>
      <c r="BO385">
        <v>0.18356</v>
      </c>
      <c r="BP385" t="s">
        <v>75</v>
      </c>
      <c r="BQ385">
        <v>0.29278999999999999</v>
      </c>
      <c r="BR385" t="s">
        <v>75</v>
      </c>
      <c r="BS385">
        <v>0.44785000000000003</v>
      </c>
      <c r="BT385" t="s">
        <v>75</v>
      </c>
      <c r="BU385">
        <v>1.01403</v>
      </c>
      <c r="BV385" t="s">
        <v>75</v>
      </c>
      <c r="BW385">
        <v>0.44818999999999998</v>
      </c>
      <c r="BX385" t="s">
        <v>75</v>
      </c>
      <c r="BY385">
        <v>0.18476999999999999</v>
      </c>
      <c r="BZ385" t="s">
        <v>75</v>
      </c>
      <c r="CA385">
        <v>0.50005999999999995</v>
      </c>
      <c r="CB385" t="s">
        <v>75</v>
      </c>
      <c r="CC385">
        <v>2.16E-3</v>
      </c>
      <c r="CD385" t="s">
        <v>75</v>
      </c>
      <c r="CE385">
        <v>2.4000000000000001E-4</v>
      </c>
      <c r="CF385" t="s">
        <v>75</v>
      </c>
      <c r="CG385">
        <v>2.4299999999999999E-3</v>
      </c>
      <c r="CH385" t="s">
        <v>75</v>
      </c>
      <c r="CI385">
        <v>2.8500000000000001E-3</v>
      </c>
      <c r="CJ385" t="s">
        <v>75</v>
      </c>
      <c r="CK385">
        <v>5.7209999999999997E-2</v>
      </c>
      <c r="CL385" t="s">
        <v>75</v>
      </c>
      <c r="CM385">
        <v>3.8000000000000002E-4</v>
      </c>
      <c r="CN385" t="s">
        <v>75</v>
      </c>
      <c r="CO385">
        <v>3.5400000000000002E-3</v>
      </c>
      <c r="CP385" t="s">
        <v>75</v>
      </c>
      <c r="CQ385">
        <v>1.3679999999999999E-2</v>
      </c>
      <c r="CR385" t="s">
        <v>75</v>
      </c>
      <c r="CS385">
        <v>0.84579000000000004</v>
      </c>
      <c r="CT385" t="s">
        <v>75</v>
      </c>
      <c r="CW385">
        <v>3.5412699999999999</v>
      </c>
      <c r="CX385" t="s">
        <v>75</v>
      </c>
      <c r="DA385">
        <v>0.37245</v>
      </c>
      <c r="DB385" t="s">
        <v>75</v>
      </c>
      <c r="DC385">
        <v>1.8400000000000001E-3</v>
      </c>
      <c r="DD385" t="s">
        <v>75</v>
      </c>
      <c r="DE385">
        <v>3.3550000000000003E-2</v>
      </c>
      <c r="DF385" t="s">
        <v>75</v>
      </c>
      <c r="DG385">
        <v>0.10357</v>
      </c>
      <c r="DH385" t="s">
        <v>75</v>
      </c>
      <c r="DI385">
        <v>9.8820000000000005E-2</v>
      </c>
      <c r="DJ385" t="s">
        <v>75</v>
      </c>
      <c r="DO385">
        <v>3.4208799999999999</v>
      </c>
      <c r="DP385" t="s">
        <v>75</v>
      </c>
    </row>
    <row r="386" spans="1:121" x14ac:dyDescent="0.2">
      <c r="D386" t="s">
        <v>65</v>
      </c>
      <c r="G386" t="s">
        <v>66</v>
      </c>
      <c r="I386" t="s">
        <v>66</v>
      </c>
      <c r="K386" t="s">
        <v>66</v>
      </c>
      <c r="M386" t="s">
        <v>66</v>
      </c>
      <c r="O386" t="s">
        <v>66</v>
      </c>
      <c r="Q386" t="s">
        <v>66</v>
      </c>
      <c r="S386" t="s">
        <v>66</v>
      </c>
      <c r="U386" t="s">
        <v>66</v>
      </c>
      <c r="W386" t="s">
        <v>66</v>
      </c>
      <c r="Y386" t="s">
        <v>66</v>
      </c>
      <c r="AA386" t="s">
        <v>66</v>
      </c>
      <c r="AC386" t="s">
        <v>66</v>
      </c>
      <c r="AE386" t="s">
        <v>66</v>
      </c>
      <c r="AG386" t="s">
        <v>66</v>
      </c>
      <c r="AI386" t="s">
        <v>66</v>
      </c>
      <c r="AK386" t="s">
        <v>66</v>
      </c>
      <c r="AM386" t="s">
        <v>66</v>
      </c>
      <c r="AO386" t="s">
        <v>66</v>
      </c>
      <c r="AQ386" t="s">
        <v>66</v>
      </c>
      <c r="AS386" t="s">
        <v>66</v>
      </c>
      <c r="AU386" t="s">
        <v>66</v>
      </c>
      <c r="AW386" t="s">
        <v>66</v>
      </c>
      <c r="AY386" t="s">
        <v>66</v>
      </c>
      <c r="BA386" t="s">
        <v>66</v>
      </c>
      <c r="BC386" t="s">
        <v>66</v>
      </c>
      <c r="BE386" t="s">
        <v>66</v>
      </c>
      <c r="BG386" t="s">
        <v>66</v>
      </c>
      <c r="BI386" t="s">
        <v>66</v>
      </c>
      <c r="BK386" t="s">
        <v>66</v>
      </c>
      <c r="BM386" t="s">
        <v>66</v>
      </c>
      <c r="BO386" t="s">
        <v>66</v>
      </c>
      <c r="BQ386" t="s">
        <v>66</v>
      </c>
      <c r="BS386" t="s">
        <v>66</v>
      </c>
      <c r="BU386" t="s">
        <v>66</v>
      </c>
      <c r="BW386" t="s">
        <v>66</v>
      </c>
      <c r="BY386" t="s">
        <v>66</v>
      </c>
      <c r="CA386" t="s">
        <v>66</v>
      </c>
      <c r="CC386" t="s">
        <v>66</v>
      </c>
      <c r="CE386" t="s">
        <v>66</v>
      </c>
      <c r="CG386" t="s">
        <v>66</v>
      </c>
      <c r="CI386" t="s">
        <v>66</v>
      </c>
      <c r="CK386" t="s">
        <v>66</v>
      </c>
      <c r="CM386" t="s">
        <v>66</v>
      </c>
      <c r="CO386" t="s">
        <v>66</v>
      </c>
      <c r="CQ386" t="s">
        <v>66</v>
      </c>
      <c r="CS386" t="s">
        <v>66</v>
      </c>
      <c r="CU386" t="s">
        <v>66</v>
      </c>
      <c r="CW386" t="s">
        <v>66</v>
      </c>
      <c r="CY386" t="s">
        <v>66</v>
      </c>
      <c r="DA386" t="s">
        <v>66</v>
      </c>
      <c r="DC386" t="s">
        <v>66</v>
      </c>
      <c r="DE386" t="s">
        <v>66</v>
      </c>
      <c r="DG386" t="s">
        <v>66</v>
      </c>
      <c r="DI386" t="s">
        <v>66</v>
      </c>
      <c r="DK386" t="s">
        <v>66</v>
      </c>
      <c r="DM386" t="s">
        <v>66</v>
      </c>
      <c r="DO386" t="s">
        <v>66</v>
      </c>
      <c r="DQ386" t="s">
        <v>66</v>
      </c>
    </row>
    <row r="387" spans="1:121" x14ac:dyDescent="0.2">
      <c r="A387" t="s">
        <v>647</v>
      </c>
      <c r="D387" t="s">
        <v>60</v>
      </c>
      <c r="E387" t="s">
        <v>61</v>
      </c>
      <c r="G387">
        <v>30134.2</v>
      </c>
      <c r="I387">
        <v>749</v>
      </c>
      <c r="K387">
        <v>1824047.7</v>
      </c>
      <c r="M387">
        <v>104517.2</v>
      </c>
      <c r="O387">
        <v>491.8</v>
      </c>
      <c r="Q387">
        <v>23774.6</v>
      </c>
      <c r="S387">
        <v>1957.8</v>
      </c>
      <c r="U387">
        <v>1542.8</v>
      </c>
      <c r="W387">
        <v>107351.1</v>
      </c>
      <c r="Y387">
        <v>118680.6</v>
      </c>
      <c r="AA387">
        <v>9925636.5</v>
      </c>
      <c r="AC387">
        <v>10144215.6</v>
      </c>
      <c r="AE387">
        <v>59623471.799999997</v>
      </c>
      <c r="AG387">
        <v>107217.1</v>
      </c>
      <c r="AI387">
        <v>215960.3</v>
      </c>
      <c r="AK387">
        <v>23273.4</v>
      </c>
      <c r="AM387">
        <v>1400</v>
      </c>
      <c r="AO387">
        <v>208.3</v>
      </c>
      <c r="AQ387">
        <v>270.89999999999998</v>
      </c>
      <c r="AS387">
        <v>308.39999999999998</v>
      </c>
      <c r="AU387">
        <v>268.8</v>
      </c>
      <c r="AW387">
        <v>204.2</v>
      </c>
      <c r="AY387">
        <v>13156.1</v>
      </c>
      <c r="BA387">
        <v>684106.2</v>
      </c>
      <c r="BC387">
        <v>2099.6</v>
      </c>
      <c r="BE387">
        <v>46268.5</v>
      </c>
      <c r="BG387">
        <v>3408564.7</v>
      </c>
      <c r="BI387">
        <v>2923395.7</v>
      </c>
      <c r="BK387">
        <v>6343792.2000000002</v>
      </c>
      <c r="BM387">
        <v>1155731.2</v>
      </c>
      <c r="BO387">
        <v>29551293.399999999</v>
      </c>
      <c r="BQ387">
        <v>44508.9</v>
      </c>
      <c r="BS387">
        <v>102629.6</v>
      </c>
      <c r="BU387">
        <v>5903021.7999999998</v>
      </c>
      <c r="BW387">
        <v>320708.09999999998</v>
      </c>
      <c r="BY387">
        <v>484332.7</v>
      </c>
      <c r="CA387">
        <v>43727.1</v>
      </c>
      <c r="CC387">
        <v>182.4</v>
      </c>
      <c r="CE387">
        <v>502.9</v>
      </c>
      <c r="CG387">
        <v>14935.3</v>
      </c>
      <c r="CI387">
        <v>109062</v>
      </c>
      <c r="CK387">
        <v>236775.9</v>
      </c>
      <c r="CM387">
        <v>30133.200000000001</v>
      </c>
      <c r="CO387">
        <v>3339.2</v>
      </c>
      <c r="CQ387">
        <v>414831.7</v>
      </c>
      <c r="CS387">
        <v>10022822.800000001</v>
      </c>
      <c r="CU387">
        <v>1013087.6</v>
      </c>
      <c r="CW387">
        <v>1173072.6000000001</v>
      </c>
      <c r="CY387">
        <v>59377.599999999999</v>
      </c>
      <c r="DA387">
        <v>12624451.300000001</v>
      </c>
      <c r="DC387">
        <v>127.2</v>
      </c>
      <c r="DE387">
        <v>67583.199999999997</v>
      </c>
      <c r="DG387">
        <v>309.8</v>
      </c>
      <c r="DI387">
        <v>3773.6</v>
      </c>
      <c r="DK387">
        <v>789.1</v>
      </c>
      <c r="DM387">
        <v>257380.4</v>
      </c>
      <c r="DO387">
        <v>270620</v>
      </c>
      <c r="DQ387">
        <v>15299</v>
      </c>
    </row>
    <row r="388" spans="1:121" x14ac:dyDescent="0.2">
      <c r="D388" t="s">
        <v>62</v>
      </c>
      <c r="E388" t="s">
        <v>61</v>
      </c>
      <c r="G388">
        <v>304</v>
      </c>
      <c r="I388">
        <v>26.8</v>
      </c>
      <c r="K388">
        <v>20051.2</v>
      </c>
      <c r="M388">
        <v>1493.9</v>
      </c>
      <c r="O388">
        <v>54</v>
      </c>
      <c r="Q388">
        <v>669.6</v>
      </c>
      <c r="S388">
        <v>42.2</v>
      </c>
      <c r="U388">
        <v>135.9</v>
      </c>
      <c r="W388">
        <v>1378.3</v>
      </c>
      <c r="Y388">
        <v>1462.5</v>
      </c>
      <c r="AA388">
        <v>101175.7</v>
      </c>
      <c r="AC388">
        <v>152391.5</v>
      </c>
      <c r="AE388">
        <v>221556.3</v>
      </c>
      <c r="AG388">
        <v>975</v>
      </c>
      <c r="AI388">
        <v>978</v>
      </c>
      <c r="AK388">
        <v>458.1</v>
      </c>
      <c r="AM388">
        <v>40.299999999999997</v>
      </c>
      <c r="AO388">
        <v>20.8</v>
      </c>
      <c r="AQ388">
        <v>27.3</v>
      </c>
      <c r="AS388">
        <v>59.5</v>
      </c>
      <c r="AU388">
        <v>24.8</v>
      </c>
      <c r="AW388">
        <v>7.9</v>
      </c>
      <c r="AY388">
        <v>114.9</v>
      </c>
      <c r="BA388">
        <v>4058.2</v>
      </c>
      <c r="BC388">
        <v>83</v>
      </c>
      <c r="BE388">
        <v>163</v>
      </c>
      <c r="BG388">
        <v>39039.9</v>
      </c>
      <c r="BI388">
        <v>6499.1</v>
      </c>
      <c r="BK388">
        <v>92960</v>
      </c>
      <c r="BM388">
        <v>12176.1</v>
      </c>
      <c r="BO388">
        <v>528692.69999999995</v>
      </c>
      <c r="BQ388">
        <v>1075.0999999999999</v>
      </c>
      <c r="BS388">
        <v>3346.8</v>
      </c>
      <c r="BU388">
        <v>101527.5</v>
      </c>
      <c r="BW388">
        <v>8190.8</v>
      </c>
      <c r="BY388">
        <v>1453.3</v>
      </c>
      <c r="CA388">
        <v>382.8</v>
      </c>
      <c r="CC388">
        <v>46.7</v>
      </c>
      <c r="CE388">
        <v>31.4</v>
      </c>
      <c r="CG388">
        <v>242.6</v>
      </c>
      <c r="CI388">
        <v>1442.7</v>
      </c>
      <c r="CK388">
        <v>4204</v>
      </c>
      <c r="CM388">
        <v>151.5</v>
      </c>
      <c r="CO388">
        <v>64.2</v>
      </c>
      <c r="CQ388">
        <v>1882.9</v>
      </c>
      <c r="CS388">
        <v>126736.9</v>
      </c>
      <c r="CU388">
        <v>13766.5</v>
      </c>
      <c r="CW388">
        <v>9882</v>
      </c>
      <c r="CY388">
        <v>1525.2</v>
      </c>
      <c r="DA388">
        <v>84276.5</v>
      </c>
      <c r="DC388">
        <v>4.2</v>
      </c>
      <c r="DE388">
        <v>696.5</v>
      </c>
      <c r="DG388">
        <v>21</v>
      </c>
      <c r="DI388">
        <v>71</v>
      </c>
      <c r="DK388">
        <v>24.3</v>
      </c>
      <c r="DM388">
        <v>3175.7</v>
      </c>
      <c r="DO388">
        <v>889.4</v>
      </c>
      <c r="DQ388">
        <v>64.599999999999994</v>
      </c>
    </row>
    <row r="389" spans="1:121" x14ac:dyDescent="0.2">
      <c r="D389" t="s">
        <v>63</v>
      </c>
      <c r="G389">
        <v>0.20285</v>
      </c>
      <c r="H389" t="s">
        <v>75</v>
      </c>
      <c r="I389">
        <v>1.328E-2</v>
      </c>
      <c r="J389" t="s">
        <v>75</v>
      </c>
      <c r="K389">
        <v>2.2954500000000002</v>
      </c>
      <c r="L389" t="s">
        <v>75</v>
      </c>
      <c r="M389">
        <v>7.1010000000000004E-2</v>
      </c>
      <c r="N389" t="s">
        <v>75</v>
      </c>
      <c r="O389">
        <v>3.3400000000000001E-3</v>
      </c>
      <c r="P389" t="s">
        <v>75</v>
      </c>
      <c r="Q389">
        <v>0.1731</v>
      </c>
      <c r="R389" t="s">
        <v>75</v>
      </c>
      <c r="S389">
        <v>1.01E-3</v>
      </c>
      <c r="T389" t="s">
        <v>75</v>
      </c>
      <c r="U389">
        <v>1.197E-2</v>
      </c>
      <c r="V389" t="s">
        <v>75</v>
      </c>
      <c r="W389">
        <v>0.22917999999999999</v>
      </c>
      <c r="X389" t="s">
        <v>75</v>
      </c>
      <c r="Y389">
        <v>1.7463200000000001</v>
      </c>
      <c r="Z389" t="s">
        <v>75</v>
      </c>
      <c r="AB389" t="s">
        <v>76</v>
      </c>
      <c r="AC389">
        <v>35.802140000000001</v>
      </c>
      <c r="AD389" t="s">
        <v>75</v>
      </c>
      <c r="AE389">
        <v>221.32509999999999</v>
      </c>
      <c r="AF389" t="s">
        <v>75</v>
      </c>
      <c r="AG389">
        <v>6.7059999999999995E-2</v>
      </c>
      <c r="AH389" t="s">
        <v>75</v>
      </c>
      <c r="AI389">
        <v>1.3526400000000001</v>
      </c>
      <c r="AJ389" t="s">
        <v>75</v>
      </c>
      <c r="AK389">
        <v>1.3679999999999999E-2</v>
      </c>
      <c r="AL389" t="s">
        <v>75</v>
      </c>
      <c r="AM389">
        <v>-4.64E-3</v>
      </c>
      <c r="AN389" t="s">
        <v>75</v>
      </c>
      <c r="AO389">
        <v>2.1800000000000001E-3</v>
      </c>
      <c r="AP389" t="s">
        <v>75</v>
      </c>
      <c r="AQ389">
        <v>1.9000000000000001E-4</v>
      </c>
      <c r="AR389" t="s">
        <v>75</v>
      </c>
      <c r="AS389">
        <v>3.2000000000000003E-4</v>
      </c>
      <c r="AT389" t="s">
        <v>75</v>
      </c>
      <c r="AU389">
        <v>1.5299999999999999E-3</v>
      </c>
      <c r="AV389" t="s">
        <v>75</v>
      </c>
      <c r="AW389">
        <v>-3.1E-4</v>
      </c>
      <c r="AX389" t="s">
        <v>75</v>
      </c>
      <c r="AY389">
        <v>3.1710000000000002E-2</v>
      </c>
      <c r="AZ389" t="s">
        <v>75</v>
      </c>
      <c r="BC389">
        <v>-2.0536799999999999</v>
      </c>
      <c r="BD389" t="s">
        <v>75</v>
      </c>
      <c r="BE389">
        <v>4.6350000000000002E-2</v>
      </c>
      <c r="BF389" t="s">
        <v>75</v>
      </c>
      <c r="BG389">
        <v>9.6728299999999994</v>
      </c>
      <c r="BH389" t="s">
        <v>75</v>
      </c>
      <c r="BI389">
        <v>9.5592799999999993</v>
      </c>
      <c r="BJ389" t="s">
        <v>75</v>
      </c>
      <c r="BK389">
        <v>9.1967099999999995</v>
      </c>
      <c r="BL389" t="s">
        <v>75</v>
      </c>
      <c r="BM389">
        <v>1.0664400000000001</v>
      </c>
      <c r="BN389" t="s">
        <v>75</v>
      </c>
      <c r="BO389">
        <v>653.53962999999999</v>
      </c>
      <c r="BP389" t="s">
        <v>75</v>
      </c>
      <c r="BQ389">
        <v>1.09335</v>
      </c>
      <c r="BR389" t="s">
        <v>75</v>
      </c>
      <c r="BS389">
        <v>1.8502700000000001</v>
      </c>
      <c r="BT389" t="s">
        <v>75</v>
      </c>
      <c r="BU389">
        <v>224.77825000000001</v>
      </c>
      <c r="BV389" t="s">
        <v>75</v>
      </c>
      <c r="BW389">
        <v>136.46575000000001</v>
      </c>
      <c r="BX389" t="s">
        <v>75</v>
      </c>
      <c r="BY389">
        <v>128.55013</v>
      </c>
      <c r="BZ389" t="s">
        <v>75</v>
      </c>
      <c r="CA389">
        <v>19.927479999999999</v>
      </c>
      <c r="CB389" t="s">
        <v>75</v>
      </c>
      <c r="CC389">
        <v>2.4969999999999999E-2</v>
      </c>
      <c r="CD389" t="s">
        <v>75</v>
      </c>
      <c r="CE389">
        <v>5.8799999999999998E-3</v>
      </c>
      <c r="CF389" t="s">
        <v>75</v>
      </c>
      <c r="CG389">
        <v>0.23835000000000001</v>
      </c>
      <c r="CH389" t="s">
        <v>75</v>
      </c>
      <c r="CI389">
        <v>1.4007799999999999</v>
      </c>
      <c r="CJ389" t="s">
        <v>75</v>
      </c>
      <c r="CK389">
        <v>3.03803</v>
      </c>
      <c r="CL389" t="s">
        <v>75</v>
      </c>
      <c r="CM389">
        <v>0.42294999999999999</v>
      </c>
      <c r="CN389" t="s">
        <v>75</v>
      </c>
      <c r="CO389">
        <v>0.19999</v>
      </c>
      <c r="CP389" t="s">
        <v>75</v>
      </c>
      <c r="CQ389">
        <v>12.579179999999999</v>
      </c>
      <c r="CR389" t="s">
        <v>75</v>
      </c>
      <c r="CS389">
        <v>2634.1298999999999</v>
      </c>
      <c r="CT389" t="s">
        <v>75</v>
      </c>
      <c r="CV389" t="s">
        <v>76</v>
      </c>
      <c r="CW389">
        <v>43.726379999999999</v>
      </c>
      <c r="CX389" t="s">
        <v>75</v>
      </c>
      <c r="DA389">
        <v>801.78743999999995</v>
      </c>
      <c r="DB389" t="s">
        <v>75</v>
      </c>
      <c r="DC389">
        <v>5.8540000000000002E-2</v>
      </c>
      <c r="DD389" t="s">
        <v>75</v>
      </c>
      <c r="DE389">
        <v>32.576729999999998</v>
      </c>
      <c r="DF389" t="s">
        <v>75</v>
      </c>
      <c r="DG389">
        <v>1.6744600000000001</v>
      </c>
      <c r="DH389" t="s">
        <v>75</v>
      </c>
      <c r="DI389">
        <v>6.6313399999999998</v>
      </c>
      <c r="DJ389" t="s">
        <v>75</v>
      </c>
      <c r="DL389" t="s">
        <v>76</v>
      </c>
      <c r="DN389" t="s">
        <v>76</v>
      </c>
      <c r="DO389">
        <v>42.655320000000003</v>
      </c>
      <c r="DP389" t="s">
        <v>75</v>
      </c>
    </row>
    <row r="390" spans="1:121" x14ac:dyDescent="0.2">
      <c r="D390" t="s">
        <v>64</v>
      </c>
      <c r="G390">
        <v>2.4199999999999998E-3</v>
      </c>
      <c r="H390" t="s">
        <v>75</v>
      </c>
      <c r="I390">
        <v>1.07E-3</v>
      </c>
      <c r="J390" t="s">
        <v>75</v>
      </c>
      <c r="K390">
        <v>2.2519999999999998E-2</v>
      </c>
      <c r="L390" t="s">
        <v>75</v>
      </c>
      <c r="M390">
        <v>1.5499999999999999E-3</v>
      </c>
      <c r="N390" t="s">
        <v>75</v>
      </c>
      <c r="O390">
        <v>4.0000000000000003E-5</v>
      </c>
      <c r="P390" t="s">
        <v>75</v>
      </c>
      <c r="Q390">
        <v>3.4099999999999998E-3</v>
      </c>
      <c r="R390" t="s">
        <v>75</v>
      </c>
      <c r="S390">
        <v>3.0000000000000001E-5</v>
      </c>
      <c r="T390" t="s">
        <v>75</v>
      </c>
      <c r="U390">
        <v>5.9000000000000003E-4</v>
      </c>
      <c r="V390" t="s">
        <v>75</v>
      </c>
      <c r="W390">
        <v>2.3999999999999998E-3</v>
      </c>
      <c r="X390" t="s">
        <v>75</v>
      </c>
      <c r="Y390">
        <v>2.479E-2</v>
      </c>
      <c r="Z390" t="s">
        <v>75</v>
      </c>
      <c r="AC390">
        <v>0.51707000000000003</v>
      </c>
      <c r="AD390" t="s">
        <v>75</v>
      </c>
      <c r="AE390">
        <v>1.11487</v>
      </c>
      <c r="AF390" t="s">
        <v>75</v>
      </c>
      <c r="AG390">
        <v>6.4999999999999997E-4</v>
      </c>
      <c r="AH390" t="s">
        <v>75</v>
      </c>
      <c r="AI390">
        <v>8.9300000000000004E-3</v>
      </c>
      <c r="AJ390" t="s">
        <v>75</v>
      </c>
      <c r="AK390">
        <v>4.0000000000000002E-4</v>
      </c>
      <c r="AL390" t="s">
        <v>75</v>
      </c>
      <c r="AM390">
        <v>3.0000000000000001E-5</v>
      </c>
      <c r="AN390" t="s">
        <v>75</v>
      </c>
      <c r="AO390">
        <v>8.0000000000000007E-5</v>
      </c>
      <c r="AP390" t="s">
        <v>75</v>
      </c>
      <c r="AQ390">
        <v>1.2E-4</v>
      </c>
      <c r="AR390" t="s">
        <v>75</v>
      </c>
      <c r="AS390">
        <v>2.5000000000000001E-4</v>
      </c>
      <c r="AT390" t="s">
        <v>75</v>
      </c>
      <c r="AU390">
        <v>2.0000000000000002E-5</v>
      </c>
      <c r="AV390" t="s">
        <v>75</v>
      </c>
      <c r="AW390">
        <v>2.0000000000000002E-5</v>
      </c>
      <c r="AX390" t="s">
        <v>75</v>
      </c>
      <c r="AY390">
        <v>5.9000000000000003E-4</v>
      </c>
      <c r="AZ390" t="s">
        <v>75</v>
      </c>
      <c r="BC390">
        <v>2.7E-4</v>
      </c>
      <c r="BD390" t="s">
        <v>75</v>
      </c>
      <c r="BE390">
        <v>1.2E-4</v>
      </c>
      <c r="BF390" t="s">
        <v>75</v>
      </c>
      <c r="BG390">
        <v>0.14929000000000001</v>
      </c>
      <c r="BH390" t="s">
        <v>75</v>
      </c>
      <c r="BI390">
        <v>5.2630000000000003E-2</v>
      </c>
      <c r="BJ390" t="s">
        <v>75</v>
      </c>
      <c r="BK390">
        <v>0.12138</v>
      </c>
      <c r="BL390" t="s">
        <v>75</v>
      </c>
      <c r="BM390">
        <v>1.6910000000000001E-2</v>
      </c>
      <c r="BN390" t="s">
        <v>75</v>
      </c>
      <c r="BO390">
        <v>11.4892</v>
      </c>
      <c r="BP390" t="s">
        <v>75</v>
      </c>
      <c r="BQ390">
        <v>4.0629999999999999E-2</v>
      </c>
      <c r="BR390" t="s">
        <v>75</v>
      </c>
      <c r="BS390">
        <v>6.9980000000000001E-2</v>
      </c>
      <c r="BT390" t="s">
        <v>75</v>
      </c>
      <c r="BU390">
        <v>6.7979099999999999</v>
      </c>
      <c r="BV390" t="s">
        <v>75</v>
      </c>
      <c r="BW390">
        <v>2.8851200000000001</v>
      </c>
      <c r="BX390" t="s">
        <v>75</v>
      </c>
      <c r="BY390">
        <v>3.2608899999999998</v>
      </c>
      <c r="BZ390" t="s">
        <v>75</v>
      </c>
      <c r="CA390">
        <v>0.46457999999999999</v>
      </c>
      <c r="CB390" t="s">
        <v>75</v>
      </c>
      <c r="CC390">
        <v>1.0970000000000001E-2</v>
      </c>
      <c r="CD390" t="s">
        <v>75</v>
      </c>
      <c r="CE390">
        <v>4.6000000000000001E-4</v>
      </c>
      <c r="CF390" t="s">
        <v>75</v>
      </c>
      <c r="CG390">
        <v>6.9899999999999997E-3</v>
      </c>
      <c r="CH390" t="s">
        <v>75</v>
      </c>
      <c r="CI390">
        <v>4.3200000000000002E-2</v>
      </c>
      <c r="CJ390" t="s">
        <v>75</v>
      </c>
      <c r="CK390">
        <v>9.2719999999999997E-2</v>
      </c>
      <c r="CL390" t="s">
        <v>75</v>
      </c>
      <c r="CM390">
        <v>1.3220000000000001E-2</v>
      </c>
      <c r="CN390" t="s">
        <v>75</v>
      </c>
      <c r="CO390">
        <v>6.11E-3</v>
      </c>
      <c r="CP390" t="s">
        <v>75</v>
      </c>
      <c r="CQ390">
        <v>0.36880000000000002</v>
      </c>
      <c r="CR390" t="s">
        <v>75</v>
      </c>
      <c r="CS390">
        <v>87.342669999999998</v>
      </c>
      <c r="CT390" t="s">
        <v>75</v>
      </c>
      <c r="CW390">
        <v>1.4007700000000001</v>
      </c>
      <c r="CX390" t="s">
        <v>75</v>
      </c>
      <c r="DA390">
        <v>8.6128900000000002</v>
      </c>
      <c r="DB390" t="s">
        <v>75</v>
      </c>
      <c r="DC390">
        <v>1.7600000000000001E-3</v>
      </c>
      <c r="DD390" t="s">
        <v>75</v>
      </c>
      <c r="DE390">
        <v>0.47142000000000001</v>
      </c>
      <c r="DF390" t="s">
        <v>75</v>
      </c>
      <c r="DG390">
        <v>0.11042</v>
      </c>
      <c r="DH390" t="s">
        <v>75</v>
      </c>
      <c r="DI390">
        <v>0.14723</v>
      </c>
      <c r="DJ390" t="s">
        <v>75</v>
      </c>
      <c r="DO390">
        <v>5.0430000000000003E-2</v>
      </c>
      <c r="DP390" t="s">
        <v>75</v>
      </c>
    </row>
    <row r="391" spans="1:121" x14ac:dyDescent="0.2">
      <c r="D391" t="s">
        <v>65</v>
      </c>
      <c r="G391" t="s">
        <v>66</v>
      </c>
      <c r="I391" t="s">
        <v>66</v>
      </c>
      <c r="K391" t="s">
        <v>66</v>
      </c>
      <c r="M391" t="s">
        <v>66</v>
      </c>
      <c r="O391" t="s">
        <v>66</v>
      </c>
      <c r="Q391" t="s">
        <v>66</v>
      </c>
      <c r="S391" t="s">
        <v>66</v>
      </c>
      <c r="U391" t="s">
        <v>66</v>
      </c>
      <c r="W391" t="s">
        <v>66</v>
      </c>
      <c r="Y391" t="s">
        <v>66</v>
      </c>
      <c r="AA391" t="s">
        <v>66</v>
      </c>
      <c r="AC391" t="s">
        <v>66</v>
      </c>
      <c r="AE391" t="s">
        <v>66</v>
      </c>
      <c r="AG391" t="s">
        <v>66</v>
      </c>
      <c r="AI391" t="s">
        <v>66</v>
      </c>
      <c r="AK391" t="s">
        <v>66</v>
      </c>
      <c r="AM391" t="s">
        <v>66</v>
      </c>
      <c r="AO391" t="s">
        <v>66</v>
      </c>
      <c r="AQ391" t="s">
        <v>66</v>
      </c>
      <c r="AS391" t="s">
        <v>66</v>
      </c>
      <c r="AU391" t="s">
        <v>66</v>
      </c>
      <c r="AW391" t="s">
        <v>66</v>
      </c>
      <c r="AY391" t="s">
        <v>66</v>
      </c>
      <c r="BA391" t="s">
        <v>66</v>
      </c>
      <c r="BC391" t="s">
        <v>66</v>
      </c>
      <c r="BE391" t="s">
        <v>66</v>
      </c>
      <c r="BG391" t="s">
        <v>66</v>
      </c>
      <c r="BI391" t="s">
        <v>66</v>
      </c>
      <c r="BK391" t="s">
        <v>66</v>
      </c>
      <c r="BM391" t="s">
        <v>66</v>
      </c>
      <c r="BO391" t="s">
        <v>66</v>
      </c>
      <c r="BQ391" t="s">
        <v>66</v>
      </c>
      <c r="BS391" t="s">
        <v>66</v>
      </c>
      <c r="BU391" t="s">
        <v>66</v>
      </c>
      <c r="BW391" t="s">
        <v>66</v>
      </c>
      <c r="BY391" t="s">
        <v>66</v>
      </c>
      <c r="CA391" t="s">
        <v>66</v>
      </c>
      <c r="CC391" t="s">
        <v>66</v>
      </c>
      <c r="CE391" t="s">
        <v>66</v>
      </c>
      <c r="CG391" t="s">
        <v>66</v>
      </c>
      <c r="CI391" t="s">
        <v>66</v>
      </c>
      <c r="CK391" t="s">
        <v>66</v>
      </c>
      <c r="CM391" t="s">
        <v>66</v>
      </c>
      <c r="CO391" t="s">
        <v>66</v>
      </c>
      <c r="CQ391" t="s">
        <v>66</v>
      </c>
      <c r="CS391" t="s">
        <v>66</v>
      </c>
      <c r="CU391" t="s">
        <v>66</v>
      </c>
      <c r="CW391" t="s">
        <v>66</v>
      </c>
      <c r="CY391" t="s">
        <v>66</v>
      </c>
      <c r="DA391" t="s">
        <v>66</v>
      </c>
      <c r="DC391" t="s">
        <v>66</v>
      </c>
      <c r="DE391" t="s">
        <v>66</v>
      </c>
      <c r="DG391" t="s">
        <v>66</v>
      </c>
      <c r="DI391" t="s">
        <v>66</v>
      </c>
      <c r="DK391" t="s">
        <v>66</v>
      </c>
      <c r="DM391" t="s">
        <v>66</v>
      </c>
      <c r="DO391" t="s">
        <v>66</v>
      </c>
      <c r="DQ391" t="s">
        <v>66</v>
      </c>
    </row>
    <row r="392" spans="1:121" x14ac:dyDescent="0.2">
      <c r="A392" t="s">
        <v>648</v>
      </c>
      <c r="D392" t="s">
        <v>60</v>
      </c>
      <c r="E392" t="s">
        <v>61</v>
      </c>
      <c r="G392">
        <v>9384.4</v>
      </c>
      <c r="I392">
        <v>668.3</v>
      </c>
      <c r="K392">
        <v>59192.2</v>
      </c>
      <c r="M392">
        <v>56989</v>
      </c>
      <c r="O392">
        <v>1291.5</v>
      </c>
      <c r="Q392">
        <v>9718.2000000000007</v>
      </c>
      <c r="S392">
        <v>1193.5</v>
      </c>
      <c r="U392">
        <v>1251.8</v>
      </c>
      <c r="W392">
        <v>6115</v>
      </c>
      <c r="Y392">
        <v>1400.9</v>
      </c>
      <c r="AA392">
        <v>3218029.7</v>
      </c>
      <c r="AC392">
        <v>917755.7</v>
      </c>
      <c r="AE392">
        <v>1476312.3</v>
      </c>
      <c r="AG392">
        <v>9295.6</v>
      </c>
      <c r="AI392">
        <v>58569</v>
      </c>
      <c r="AK392">
        <v>8362</v>
      </c>
      <c r="AM392">
        <v>13304.3</v>
      </c>
      <c r="AO392">
        <v>1117.4000000000001</v>
      </c>
      <c r="AQ392">
        <v>300.10000000000002</v>
      </c>
      <c r="AS392">
        <v>370.9</v>
      </c>
      <c r="AU392">
        <v>215.6</v>
      </c>
      <c r="AW392">
        <v>241.7</v>
      </c>
      <c r="AY392">
        <v>7615</v>
      </c>
      <c r="BA392">
        <v>687689.8</v>
      </c>
      <c r="BC392">
        <v>2150.8000000000002</v>
      </c>
      <c r="BE392">
        <v>3918.4</v>
      </c>
      <c r="BG392">
        <v>162833.5</v>
      </c>
      <c r="BI392">
        <v>135904.29999999999</v>
      </c>
      <c r="BK392">
        <v>337257</v>
      </c>
      <c r="BM392">
        <v>229322.6</v>
      </c>
      <c r="BO392">
        <v>844894.2</v>
      </c>
      <c r="BQ392">
        <v>51789</v>
      </c>
      <c r="BS392">
        <v>329560.2</v>
      </c>
      <c r="BU392">
        <v>808721.5</v>
      </c>
      <c r="BW392">
        <v>18906.8</v>
      </c>
      <c r="BY392">
        <v>81154.100000000006</v>
      </c>
      <c r="CA392">
        <v>38491.5</v>
      </c>
      <c r="CC392">
        <v>398.2</v>
      </c>
      <c r="CE392">
        <v>498.3</v>
      </c>
      <c r="CG392">
        <v>66739.899999999994</v>
      </c>
      <c r="CI392">
        <v>69012.800000000003</v>
      </c>
      <c r="CK392">
        <v>880625.9</v>
      </c>
      <c r="CM392">
        <v>2332.5</v>
      </c>
      <c r="CO392">
        <v>18007.7</v>
      </c>
      <c r="CQ392">
        <v>63991.3</v>
      </c>
      <c r="CS392">
        <v>206426.7</v>
      </c>
      <c r="CU392">
        <v>275857.7</v>
      </c>
      <c r="CW392">
        <v>91408.2</v>
      </c>
      <c r="CY392">
        <v>59467.1</v>
      </c>
      <c r="DA392">
        <v>390736.7</v>
      </c>
      <c r="DC392">
        <v>10</v>
      </c>
      <c r="DE392">
        <v>13570.6</v>
      </c>
      <c r="DG392">
        <v>147.30000000000001</v>
      </c>
      <c r="DI392">
        <v>2351.1</v>
      </c>
      <c r="DK392">
        <v>793.5</v>
      </c>
      <c r="DM392">
        <v>74807.5</v>
      </c>
      <c r="DO392">
        <v>22790.5</v>
      </c>
      <c r="DQ392">
        <v>15313.1</v>
      </c>
    </row>
    <row r="393" spans="1:121" x14ac:dyDescent="0.2">
      <c r="D393" t="s">
        <v>62</v>
      </c>
      <c r="E393" t="s">
        <v>61</v>
      </c>
      <c r="G393">
        <v>180.1</v>
      </c>
      <c r="I393">
        <v>38.799999999999997</v>
      </c>
      <c r="K393">
        <v>787.2</v>
      </c>
      <c r="M393">
        <v>125.7</v>
      </c>
      <c r="O393">
        <v>129.19999999999999</v>
      </c>
      <c r="Q393">
        <v>69.2</v>
      </c>
      <c r="S393">
        <v>61.1</v>
      </c>
      <c r="U393">
        <v>124.7</v>
      </c>
      <c r="W393">
        <v>290.8</v>
      </c>
      <c r="Y393">
        <v>77.8</v>
      </c>
      <c r="AA393">
        <v>28030</v>
      </c>
      <c r="AC393">
        <v>6282.9</v>
      </c>
      <c r="AE393">
        <v>9440.4</v>
      </c>
      <c r="AG393">
        <v>328</v>
      </c>
      <c r="AI393">
        <v>1807.9</v>
      </c>
      <c r="AK393">
        <v>376.6</v>
      </c>
      <c r="AM393">
        <v>180</v>
      </c>
      <c r="AO393">
        <v>92.3</v>
      </c>
      <c r="AQ393">
        <v>31.3</v>
      </c>
      <c r="AS393">
        <v>30.7</v>
      </c>
      <c r="AU393">
        <v>5.4</v>
      </c>
      <c r="AW393">
        <v>4.8</v>
      </c>
      <c r="AY393">
        <v>166.1</v>
      </c>
      <c r="BA393">
        <v>8604</v>
      </c>
      <c r="BC393">
        <v>92.9</v>
      </c>
      <c r="BE393">
        <v>74.7</v>
      </c>
      <c r="BG393">
        <v>2388.4</v>
      </c>
      <c r="BI393">
        <v>2420.3000000000002</v>
      </c>
      <c r="BK393">
        <v>1413.6</v>
      </c>
      <c r="BM393">
        <v>3388.4</v>
      </c>
      <c r="BO393">
        <v>10414.799999999999</v>
      </c>
      <c r="BQ393">
        <v>420.5</v>
      </c>
      <c r="BS393">
        <v>3876.8</v>
      </c>
      <c r="BU393">
        <v>14945</v>
      </c>
      <c r="BW393">
        <v>505.8</v>
      </c>
      <c r="BY393">
        <v>502</v>
      </c>
      <c r="CA393">
        <v>805.2</v>
      </c>
      <c r="CC393">
        <v>39.700000000000003</v>
      </c>
      <c r="CE393">
        <v>73.099999999999994</v>
      </c>
      <c r="CG393">
        <v>1965.8</v>
      </c>
      <c r="CI393">
        <v>2263.3000000000002</v>
      </c>
      <c r="CK393">
        <v>32186.799999999999</v>
      </c>
      <c r="CM393">
        <v>48.9</v>
      </c>
      <c r="CO393">
        <v>506.6</v>
      </c>
      <c r="CQ393">
        <v>2525.6</v>
      </c>
      <c r="CS393">
        <v>8114.4</v>
      </c>
      <c r="CU393">
        <v>4347</v>
      </c>
      <c r="CW393">
        <v>3080.9</v>
      </c>
      <c r="CY393">
        <v>1228.5999999999999</v>
      </c>
      <c r="DA393">
        <v>31196.400000000001</v>
      </c>
      <c r="DC393">
        <v>3.3</v>
      </c>
      <c r="DE393">
        <v>183.6</v>
      </c>
      <c r="DG393">
        <v>32.6</v>
      </c>
      <c r="DI393">
        <v>196.5</v>
      </c>
      <c r="DK393">
        <v>83.3</v>
      </c>
      <c r="DM393">
        <v>563.20000000000005</v>
      </c>
      <c r="DO393">
        <v>313.2</v>
      </c>
      <c r="DQ393">
        <v>132.4</v>
      </c>
    </row>
    <row r="394" spans="1:121" x14ac:dyDescent="0.2">
      <c r="D394" t="s">
        <v>63</v>
      </c>
      <c r="G394">
        <v>3.9120000000000002E-2</v>
      </c>
      <c r="H394" t="s">
        <v>75</v>
      </c>
      <c r="I394">
        <v>1.0359999999999999E-2</v>
      </c>
      <c r="J394" t="s">
        <v>75</v>
      </c>
      <c r="K394">
        <v>7.0739999999999997E-2</v>
      </c>
      <c r="L394" t="s">
        <v>75</v>
      </c>
      <c r="M394">
        <v>2.2870000000000001E-2</v>
      </c>
      <c r="N394" t="s">
        <v>75</v>
      </c>
      <c r="O394">
        <v>3.9899999999999996E-3</v>
      </c>
      <c r="P394" t="s">
        <v>75</v>
      </c>
      <c r="Q394">
        <v>8.2860000000000003E-2</v>
      </c>
      <c r="R394" t="s">
        <v>75</v>
      </c>
      <c r="S394">
        <v>3.4000000000000002E-4</v>
      </c>
      <c r="T394" t="s">
        <v>75</v>
      </c>
      <c r="U394">
        <v>1.0749999999999999E-2</v>
      </c>
      <c r="V394" t="s">
        <v>75</v>
      </c>
      <c r="W394">
        <v>1.6330000000000001E-2</v>
      </c>
      <c r="X394" t="s">
        <v>75</v>
      </c>
      <c r="Y394">
        <v>2.051E-2</v>
      </c>
      <c r="Z394" t="s">
        <v>75</v>
      </c>
      <c r="AB394" t="s">
        <v>76</v>
      </c>
      <c r="AC394">
        <v>3.26057</v>
      </c>
      <c r="AD394" t="s">
        <v>75</v>
      </c>
      <c r="AE394">
        <v>5.4900399999999996</v>
      </c>
      <c r="AF394" t="s">
        <v>75</v>
      </c>
      <c r="AG394">
        <v>-9.1599999999999997E-3</v>
      </c>
      <c r="AH394" t="s">
        <v>75</v>
      </c>
      <c r="AI394">
        <v>0.36499999999999999</v>
      </c>
      <c r="AJ394" t="s">
        <v>75</v>
      </c>
      <c r="AK394">
        <v>3.5100000000000001E-3</v>
      </c>
      <c r="AL394" t="s">
        <v>75</v>
      </c>
      <c r="AM394">
        <v>4.1700000000000001E-3</v>
      </c>
      <c r="AN394" t="s">
        <v>75</v>
      </c>
      <c r="AO394">
        <v>5.45E-3</v>
      </c>
      <c r="AP394" t="s">
        <v>75</v>
      </c>
      <c r="AQ394">
        <v>3.1E-4</v>
      </c>
      <c r="AR394" t="s">
        <v>75</v>
      </c>
      <c r="AS394">
        <v>5.9000000000000003E-4</v>
      </c>
      <c r="AT394" t="s">
        <v>75</v>
      </c>
      <c r="AU394">
        <v>1.49E-3</v>
      </c>
      <c r="AV394" t="s">
        <v>75</v>
      </c>
      <c r="AW394">
        <v>-2.2000000000000001E-4</v>
      </c>
      <c r="AX394" t="s">
        <v>75</v>
      </c>
      <c r="AY394">
        <v>1.3860000000000001E-2</v>
      </c>
      <c r="AZ394" t="s">
        <v>75</v>
      </c>
      <c r="BC394">
        <v>-2.0535600000000001</v>
      </c>
      <c r="BD394" t="s">
        <v>75</v>
      </c>
      <c r="BE394">
        <v>6.2599999999999999E-3</v>
      </c>
      <c r="BF394" t="s">
        <v>75</v>
      </c>
      <c r="BG394">
        <v>0.42277999999999999</v>
      </c>
      <c r="BH394" t="s">
        <v>75</v>
      </c>
      <c r="BI394">
        <v>0.42677999999999999</v>
      </c>
      <c r="BJ394" t="s">
        <v>75</v>
      </c>
      <c r="BK394">
        <v>0.41345999999999999</v>
      </c>
      <c r="BL394" t="s">
        <v>75</v>
      </c>
      <c r="BM394">
        <v>0.20249</v>
      </c>
      <c r="BN394" t="s">
        <v>75</v>
      </c>
      <c r="BO394">
        <v>16.977419999999999</v>
      </c>
      <c r="BP394" t="s">
        <v>75</v>
      </c>
      <c r="BQ394">
        <v>1.33813</v>
      </c>
      <c r="BR394" t="s">
        <v>75</v>
      </c>
      <c r="BS394">
        <v>6.94937</v>
      </c>
      <c r="BT394" t="s">
        <v>75</v>
      </c>
      <c r="BU394">
        <v>13.079459999999999</v>
      </c>
      <c r="BV394" t="s">
        <v>75</v>
      </c>
      <c r="BW394">
        <v>7.8002000000000002</v>
      </c>
      <c r="BX394" t="s">
        <v>75</v>
      </c>
      <c r="BY394">
        <v>14.735889999999999</v>
      </c>
      <c r="BZ394" t="s">
        <v>75</v>
      </c>
      <c r="CA394">
        <v>17.08361</v>
      </c>
      <c r="CB394" t="s">
        <v>75</v>
      </c>
      <c r="CC394">
        <v>7.0889999999999995E-2</v>
      </c>
      <c r="CD394" t="s">
        <v>75</v>
      </c>
      <c r="CE394">
        <v>5.8199999999999997E-3</v>
      </c>
      <c r="CF394" t="s">
        <v>75</v>
      </c>
      <c r="CG394">
        <v>1.1239399999999999</v>
      </c>
      <c r="CH394" t="s">
        <v>75</v>
      </c>
      <c r="CI394">
        <v>0.87470999999999999</v>
      </c>
      <c r="CJ394" t="s">
        <v>75</v>
      </c>
      <c r="CK394">
        <v>12.18182</v>
      </c>
      <c r="CL394" t="s">
        <v>75</v>
      </c>
      <c r="CM394">
        <v>2.6239999999999999E-2</v>
      </c>
      <c r="CN394" t="s">
        <v>75</v>
      </c>
      <c r="CO394">
        <v>1.0318400000000001</v>
      </c>
      <c r="CP394" t="s">
        <v>75</v>
      </c>
      <c r="CQ394">
        <v>1.9149799999999999</v>
      </c>
      <c r="CR394" t="s">
        <v>75</v>
      </c>
      <c r="CS394">
        <v>54.088529999999999</v>
      </c>
      <c r="CT394" t="s">
        <v>75</v>
      </c>
      <c r="CV394" t="s">
        <v>76</v>
      </c>
      <c r="CW394">
        <v>3.3789899999999999</v>
      </c>
      <c r="CX394" t="s">
        <v>75</v>
      </c>
      <c r="DA394">
        <v>24.565059999999999</v>
      </c>
      <c r="DB394" t="s">
        <v>75</v>
      </c>
      <c r="DC394">
        <v>3.5999999999999999E-3</v>
      </c>
      <c r="DD394" t="s">
        <v>75</v>
      </c>
      <c r="DE394">
        <v>6.5204700000000004</v>
      </c>
      <c r="DF394" t="s">
        <v>75</v>
      </c>
      <c r="DG394">
        <v>0.76283999999999996</v>
      </c>
      <c r="DH394" t="s">
        <v>75</v>
      </c>
      <c r="DI394">
        <v>3.9550299999999998</v>
      </c>
      <c r="DJ394" t="s">
        <v>75</v>
      </c>
      <c r="DL394" t="s">
        <v>76</v>
      </c>
      <c r="DN394" t="s">
        <v>76</v>
      </c>
      <c r="DO394">
        <v>3.5817700000000001</v>
      </c>
      <c r="DP394" t="s">
        <v>75</v>
      </c>
    </row>
    <row r="395" spans="1:121" x14ac:dyDescent="0.2">
      <c r="D395" t="s">
        <v>64</v>
      </c>
      <c r="G395">
        <v>1.5200000000000001E-3</v>
      </c>
      <c r="H395" t="s">
        <v>75</v>
      </c>
      <c r="I395">
        <v>1.06E-3</v>
      </c>
      <c r="J395" t="s">
        <v>75</v>
      </c>
      <c r="K395">
        <v>1.6900000000000001E-3</v>
      </c>
      <c r="L395" t="s">
        <v>75</v>
      </c>
      <c r="M395">
        <v>7.5000000000000002E-4</v>
      </c>
      <c r="N395" t="s">
        <v>75</v>
      </c>
      <c r="O395">
        <v>1.1E-4</v>
      </c>
      <c r="P395" t="s">
        <v>75</v>
      </c>
      <c r="Q395">
        <v>5.1999999999999995E-4</v>
      </c>
      <c r="R395" t="s">
        <v>75</v>
      </c>
      <c r="S395">
        <v>4.0000000000000003E-5</v>
      </c>
      <c r="T395" t="s">
        <v>75</v>
      </c>
      <c r="U395">
        <v>4.6999999999999999E-4</v>
      </c>
      <c r="V395" t="s">
        <v>75</v>
      </c>
      <c r="W395">
        <v>5.1999999999999995E-4</v>
      </c>
      <c r="X395" t="s">
        <v>75</v>
      </c>
      <c r="Y395">
        <v>1.33E-3</v>
      </c>
      <c r="Z395" t="s">
        <v>75</v>
      </c>
      <c r="AC395">
        <v>5.815E-2</v>
      </c>
      <c r="AD395" t="s">
        <v>75</v>
      </c>
      <c r="AE395">
        <v>3.5740000000000001E-2</v>
      </c>
      <c r="AF395" t="s">
        <v>75</v>
      </c>
      <c r="AG395">
        <v>3.3E-4</v>
      </c>
      <c r="AH395" t="s">
        <v>75</v>
      </c>
      <c r="AI395">
        <v>1.391E-2</v>
      </c>
      <c r="AJ395" t="s">
        <v>75</v>
      </c>
      <c r="AK395">
        <v>2.2000000000000001E-4</v>
      </c>
      <c r="AL395" t="s">
        <v>75</v>
      </c>
      <c r="AM395">
        <v>1.1E-4</v>
      </c>
      <c r="AN395" t="s">
        <v>75</v>
      </c>
      <c r="AO395">
        <v>3.1E-4</v>
      </c>
      <c r="AP395" t="s">
        <v>75</v>
      </c>
      <c r="AQ395">
        <v>1.2999999999999999E-4</v>
      </c>
      <c r="AR395" t="s">
        <v>75</v>
      </c>
      <c r="AS395">
        <v>1.3999999999999999E-4</v>
      </c>
      <c r="AT395" t="s">
        <v>75</v>
      </c>
      <c r="AU395">
        <v>0</v>
      </c>
      <c r="AV395" t="s">
        <v>75</v>
      </c>
      <c r="AW395">
        <v>1.0000000000000001E-5</v>
      </c>
      <c r="AX395" t="s">
        <v>75</v>
      </c>
      <c r="AY395">
        <v>7.5000000000000002E-4</v>
      </c>
      <c r="AZ395" t="s">
        <v>75</v>
      </c>
      <c r="BC395">
        <v>3.3E-4</v>
      </c>
      <c r="BD395" t="s">
        <v>75</v>
      </c>
      <c r="BE395">
        <v>6.9999999999999994E-5</v>
      </c>
      <c r="BF395" t="s">
        <v>75</v>
      </c>
      <c r="BG395">
        <v>1.098E-2</v>
      </c>
      <c r="BH395" t="s">
        <v>75</v>
      </c>
      <c r="BI395">
        <v>1.206E-2</v>
      </c>
      <c r="BJ395" t="s">
        <v>75</v>
      </c>
      <c r="BK395">
        <v>7.4099999999999999E-3</v>
      </c>
      <c r="BL395" t="s">
        <v>75</v>
      </c>
      <c r="BM395">
        <v>4.5900000000000003E-3</v>
      </c>
      <c r="BN395" t="s">
        <v>75</v>
      </c>
      <c r="BO395">
        <v>0.45713999999999999</v>
      </c>
      <c r="BP395" t="s">
        <v>75</v>
      </c>
      <c r="BQ395">
        <v>3.5279999999999999E-2</v>
      </c>
      <c r="BR395" t="s">
        <v>75</v>
      </c>
      <c r="BS395">
        <v>0.24148</v>
      </c>
      <c r="BT395" t="s">
        <v>75</v>
      </c>
      <c r="BU395">
        <v>1.2026300000000001</v>
      </c>
      <c r="BV395" t="s">
        <v>75</v>
      </c>
      <c r="BW395">
        <v>0.38347999999999999</v>
      </c>
      <c r="BX395" t="s">
        <v>75</v>
      </c>
      <c r="BY395">
        <v>0.58891000000000004</v>
      </c>
      <c r="BZ395" t="s">
        <v>75</v>
      </c>
      <c r="CA395">
        <v>0.86162000000000005</v>
      </c>
      <c r="CB395" t="s">
        <v>75</v>
      </c>
      <c r="CC395">
        <v>7.8799999999999999E-3</v>
      </c>
      <c r="CD395" t="s">
        <v>75</v>
      </c>
      <c r="CE395">
        <v>1.25E-3</v>
      </c>
      <c r="CF395" t="s">
        <v>75</v>
      </c>
      <c r="CG395">
        <v>5.74E-2</v>
      </c>
      <c r="CH395" t="s">
        <v>75</v>
      </c>
      <c r="CI395">
        <v>4.7919999999999997E-2</v>
      </c>
      <c r="CJ395" t="s">
        <v>75</v>
      </c>
      <c r="CK395">
        <v>0.71879999999999999</v>
      </c>
      <c r="CL395" t="s">
        <v>75</v>
      </c>
      <c r="CM395">
        <v>1.39E-3</v>
      </c>
      <c r="CN395" t="s">
        <v>75</v>
      </c>
      <c r="CO395">
        <v>4.5719999999999997E-2</v>
      </c>
      <c r="CP395" t="s">
        <v>75</v>
      </c>
      <c r="CQ395">
        <v>0.11679</v>
      </c>
      <c r="CR395" t="s">
        <v>75</v>
      </c>
      <c r="CS395">
        <v>3.2608000000000001</v>
      </c>
      <c r="CT395" t="s">
        <v>75</v>
      </c>
      <c r="CW395">
        <v>0.18274000000000001</v>
      </c>
      <c r="CX395" t="s">
        <v>75</v>
      </c>
      <c r="DA395">
        <v>1.8270599999999999</v>
      </c>
      <c r="DB395" t="s">
        <v>75</v>
      </c>
      <c r="DC395">
        <v>1.5200000000000001E-3</v>
      </c>
      <c r="DD395" t="s">
        <v>75</v>
      </c>
      <c r="DE395">
        <v>7.1110000000000007E-2</v>
      </c>
      <c r="DF395" t="s">
        <v>75</v>
      </c>
      <c r="DG395">
        <v>0.18167</v>
      </c>
      <c r="DH395" t="s">
        <v>75</v>
      </c>
      <c r="DI395">
        <v>0.35238000000000003</v>
      </c>
      <c r="DJ395" t="s">
        <v>75</v>
      </c>
      <c r="DO395">
        <v>7.0139999999999994E-2</v>
      </c>
      <c r="DP395" t="s">
        <v>75</v>
      </c>
    </row>
    <row r="396" spans="1:121" x14ac:dyDescent="0.2">
      <c r="D396" t="s">
        <v>65</v>
      </c>
      <c r="G396" t="s">
        <v>66</v>
      </c>
      <c r="I396" t="s">
        <v>66</v>
      </c>
      <c r="K396" t="s">
        <v>66</v>
      </c>
      <c r="M396" t="s">
        <v>66</v>
      </c>
      <c r="O396" t="s">
        <v>66</v>
      </c>
      <c r="Q396" t="s">
        <v>66</v>
      </c>
      <c r="S396" t="s">
        <v>66</v>
      </c>
      <c r="U396" t="s">
        <v>66</v>
      </c>
      <c r="W396" t="s">
        <v>66</v>
      </c>
      <c r="Y396" t="s">
        <v>66</v>
      </c>
      <c r="AA396" t="s">
        <v>66</v>
      </c>
      <c r="AC396" t="s">
        <v>66</v>
      </c>
      <c r="AE396" t="s">
        <v>66</v>
      </c>
      <c r="AG396" t="s">
        <v>66</v>
      </c>
      <c r="AI396" t="s">
        <v>66</v>
      </c>
      <c r="AK396" t="s">
        <v>66</v>
      </c>
      <c r="AM396" t="s">
        <v>66</v>
      </c>
      <c r="AO396" t="s">
        <v>66</v>
      </c>
      <c r="AQ396" t="s">
        <v>66</v>
      </c>
      <c r="AS396" t="s">
        <v>66</v>
      </c>
      <c r="AU396" t="s">
        <v>66</v>
      </c>
      <c r="AW396" t="s">
        <v>66</v>
      </c>
      <c r="AY396" t="s">
        <v>66</v>
      </c>
      <c r="BA396" t="s">
        <v>66</v>
      </c>
      <c r="BC396" t="s">
        <v>66</v>
      </c>
      <c r="BE396" t="s">
        <v>66</v>
      </c>
      <c r="BG396" t="s">
        <v>66</v>
      </c>
      <c r="BI396" t="s">
        <v>66</v>
      </c>
      <c r="BK396" t="s">
        <v>66</v>
      </c>
      <c r="BM396" t="s">
        <v>66</v>
      </c>
      <c r="BO396" t="s">
        <v>66</v>
      </c>
      <c r="BQ396" t="s">
        <v>66</v>
      </c>
      <c r="BS396" t="s">
        <v>66</v>
      </c>
      <c r="BU396" t="s">
        <v>66</v>
      </c>
      <c r="BW396" t="s">
        <v>66</v>
      </c>
      <c r="BY396" t="s">
        <v>66</v>
      </c>
      <c r="CA396" t="s">
        <v>66</v>
      </c>
      <c r="CC396" t="s">
        <v>66</v>
      </c>
      <c r="CE396" t="s">
        <v>66</v>
      </c>
      <c r="CG396" t="s">
        <v>66</v>
      </c>
      <c r="CI396" t="s">
        <v>66</v>
      </c>
      <c r="CK396" t="s">
        <v>66</v>
      </c>
      <c r="CM396" t="s">
        <v>66</v>
      </c>
      <c r="CO396" t="s">
        <v>66</v>
      </c>
      <c r="CQ396" t="s">
        <v>66</v>
      </c>
      <c r="CS396" t="s">
        <v>66</v>
      </c>
      <c r="CU396" t="s">
        <v>66</v>
      </c>
      <c r="CW396" t="s">
        <v>66</v>
      </c>
      <c r="CY396" t="s">
        <v>66</v>
      </c>
      <c r="DA396" t="s">
        <v>66</v>
      </c>
      <c r="DC396" t="s">
        <v>66</v>
      </c>
      <c r="DE396" t="s">
        <v>66</v>
      </c>
      <c r="DG396" t="s">
        <v>66</v>
      </c>
      <c r="DI396" t="s">
        <v>66</v>
      </c>
      <c r="DK396" t="s">
        <v>66</v>
      </c>
      <c r="DM396" t="s">
        <v>66</v>
      </c>
      <c r="DO396" t="s">
        <v>66</v>
      </c>
      <c r="DQ396" t="s">
        <v>66</v>
      </c>
    </row>
    <row r="397" spans="1:121" x14ac:dyDescent="0.2">
      <c r="A397" t="s">
        <v>649</v>
      </c>
      <c r="D397" t="s">
        <v>60</v>
      </c>
      <c r="E397" t="s">
        <v>61</v>
      </c>
      <c r="G397">
        <v>13078.4</v>
      </c>
      <c r="I397">
        <v>785.2</v>
      </c>
      <c r="K397">
        <v>596580.30000000005</v>
      </c>
      <c r="M397">
        <v>200496</v>
      </c>
      <c r="O397">
        <v>3015.3</v>
      </c>
      <c r="Q397">
        <v>11371.8</v>
      </c>
      <c r="S397">
        <v>1429.1</v>
      </c>
      <c r="U397">
        <v>1189.3</v>
      </c>
      <c r="W397">
        <v>31245.5</v>
      </c>
      <c r="Y397">
        <v>30479.8</v>
      </c>
      <c r="AA397">
        <v>4061382.5</v>
      </c>
      <c r="AC397">
        <v>3505929.3</v>
      </c>
      <c r="AE397">
        <v>12728833.9</v>
      </c>
      <c r="AG397">
        <v>43542.2</v>
      </c>
      <c r="AI397">
        <v>147340.9</v>
      </c>
      <c r="AK397">
        <v>10097.9</v>
      </c>
      <c r="AM397">
        <v>8695.7000000000007</v>
      </c>
      <c r="AO397">
        <v>1114.2</v>
      </c>
      <c r="AQ397">
        <v>359.4</v>
      </c>
      <c r="AS397">
        <v>437.5</v>
      </c>
      <c r="AU397">
        <v>274</v>
      </c>
      <c r="AW397">
        <v>288.60000000000002</v>
      </c>
      <c r="AY397">
        <v>6134.8</v>
      </c>
      <c r="BA397">
        <v>672919.4</v>
      </c>
      <c r="BC397">
        <v>2048.5</v>
      </c>
      <c r="BE397">
        <v>8134.4</v>
      </c>
      <c r="BG397">
        <v>925803.7</v>
      </c>
      <c r="BI397">
        <v>766736.8</v>
      </c>
      <c r="BK397">
        <v>1986370</v>
      </c>
      <c r="BM397">
        <v>281734.40000000002</v>
      </c>
      <c r="BO397">
        <v>6515899.7000000002</v>
      </c>
      <c r="BQ397">
        <v>206667.7</v>
      </c>
      <c r="BS397">
        <v>416474.2</v>
      </c>
      <c r="BU397">
        <v>2175407.4</v>
      </c>
      <c r="BW397">
        <v>132066.6</v>
      </c>
      <c r="BY397">
        <v>472623.1</v>
      </c>
      <c r="CA397">
        <v>127263.2</v>
      </c>
      <c r="CC397">
        <v>1094.0999999999999</v>
      </c>
      <c r="CE397">
        <v>725.3</v>
      </c>
      <c r="CG397">
        <v>57686.6</v>
      </c>
      <c r="CI397">
        <v>125114.6</v>
      </c>
      <c r="CK397">
        <v>643283.30000000005</v>
      </c>
      <c r="CM397">
        <v>8765.9</v>
      </c>
      <c r="CO397">
        <v>30700.9</v>
      </c>
      <c r="CQ397">
        <v>84095.9</v>
      </c>
      <c r="CS397">
        <v>2778125.6</v>
      </c>
      <c r="CU397">
        <v>396714.5</v>
      </c>
      <c r="CW397">
        <v>329764.59999999998</v>
      </c>
      <c r="CY397">
        <v>58908.7</v>
      </c>
      <c r="DA397">
        <v>3574881.8</v>
      </c>
      <c r="DC397">
        <v>57.2</v>
      </c>
      <c r="DE397">
        <v>85409.3</v>
      </c>
      <c r="DG397">
        <v>246.6</v>
      </c>
      <c r="DI397">
        <v>2810.1</v>
      </c>
      <c r="DK397">
        <v>789.1</v>
      </c>
      <c r="DM397">
        <v>104038.8</v>
      </c>
      <c r="DO397">
        <v>78669.899999999994</v>
      </c>
      <c r="DQ397">
        <v>15288.7</v>
      </c>
    </row>
    <row r="398" spans="1:121" x14ac:dyDescent="0.2">
      <c r="D398" t="s">
        <v>62</v>
      </c>
      <c r="E398" t="s">
        <v>61</v>
      </c>
      <c r="G398">
        <v>405</v>
      </c>
      <c r="I398">
        <v>51.5</v>
      </c>
      <c r="K398">
        <v>2339.1</v>
      </c>
      <c r="M398">
        <v>1392.3</v>
      </c>
      <c r="O398">
        <v>200.5</v>
      </c>
      <c r="Q398">
        <v>179.9</v>
      </c>
      <c r="S398">
        <v>19.600000000000001</v>
      </c>
      <c r="U398">
        <v>48.1</v>
      </c>
      <c r="W398">
        <v>415.3</v>
      </c>
      <c r="Y398">
        <v>218.1</v>
      </c>
      <c r="AA398">
        <v>52713.5</v>
      </c>
      <c r="AC398">
        <v>22082.799999999999</v>
      </c>
      <c r="AE398">
        <v>36802</v>
      </c>
      <c r="AG398">
        <v>238.3</v>
      </c>
      <c r="AI398">
        <v>609.20000000000005</v>
      </c>
      <c r="AK398">
        <v>123.4</v>
      </c>
      <c r="AM398">
        <v>489.1</v>
      </c>
      <c r="AO398">
        <v>34.299999999999997</v>
      </c>
      <c r="AQ398">
        <v>57.9</v>
      </c>
      <c r="AS398">
        <v>61.6</v>
      </c>
      <c r="AU398">
        <v>42.5</v>
      </c>
      <c r="AW398">
        <v>42</v>
      </c>
      <c r="AY398">
        <v>202.3</v>
      </c>
      <c r="BA398">
        <v>10206.299999999999</v>
      </c>
      <c r="BC398">
        <v>98.1</v>
      </c>
      <c r="BE398">
        <v>198.6</v>
      </c>
      <c r="BG398">
        <v>20654.5</v>
      </c>
      <c r="BI398">
        <v>12195.2</v>
      </c>
      <c r="BK398">
        <v>35802.9</v>
      </c>
      <c r="BM398">
        <v>2878.2</v>
      </c>
      <c r="BO398">
        <v>36184.800000000003</v>
      </c>
      <c r="BQ398">
        <v>2010</v>
      </c>
      <c r="BS398">
        <v>6926</v>
      </c>
      <c r="BU398">
        <v>16714.2</v>
      </c>
      <c r="BW398">
        <v>1269.5</v>
      </c>
      <c r="BY398">
        <v>3701.9</v>
      </c>
      <c r="CA398">
        <v>2955.6</v>
      </c>
      <c r="CC398">
        <v>79.400000000000006</v>
      </c>
      <c r="CE398">
        <v>76.8</v>
      </c>
      <c r="CG398">
        <v>582.29999999999995</v>
      </c>
      <c r="CI398">
        <v>1303.4000000000001</v>
      </c>
      <c r="CK398">
        <v>10014.1</v>
      </c>
      <c r="CM398">
        <v>262.89999999999998</v>
      </c>
      <c r="CO398">
        <v>839.9</v>
      </c>
      <c r="CQ398">
        <v>1904.2</v>
      </c>
      <c r="CS398">
        <v>92193.3</v>
      </c>
      <c r="CU398">
        <v>3356.5</v>
      </c>
      <c r="CW398">
        <v>1427.4</v>
      </c>
      <c r="CY398">
        <v>134.80000000000001</v>
      </c>
      <c r="DA398">
        <v>127562.2</v>
      </c>
      <c r="DC398">
        <v>11.8</v>
      </c>
      <c r="DE398">
        <v>2139.1</v>
      </c>
      <c r="DG398">
        <v>45.2</v>
      </c>
      <c r="DI398">
        <v>129.19999999999999</v>
      </c>
      <c r="DK398">
        <v>21.7</v>
      </c>
      <c r="DM398">
        <v>536.79999999999995</v>
      </c>
      <c r="DO398">
        <v>1336.5</v>
      </c>
      <c r="DQ398">
        <v>243.3</v>
      </c>
    </row>
    <row r="399" spans="1:121" x14ac:dyDescent="0.2">
      <c r="D399" t="s">
        <v>63</v>
      </c>
      <c r="G399">
        <v>7.0279999999999995E-2</v>
      </c>
      <c r="H399" t="s">
        <v>75</v>
      </c>
      <c r="I399">
        <v>1.5010000000000001E-2</v>
      </c>
      <c r="J399" t="s">
        <v>75</v>
      </c>
      <c r="K399">
        <v>0.76100000000000001</v>
      </c>
      <c r="L399" t="s">
        <v>75</v>
      </c>
      <c r="M399">
        <v>0.17101</v>
      </c>
      <c r="N399" t="s">
        <v>75</v>
      </c>
      <c r="O399">
        <v>5.4599999999999996E-3</v>
      </c>
      <c r="P399" t="s">
        <v>75</v>
      </c>
      <c r="Q399">
        <v>9.4969999999999999E-2</v>
      </c>
      <c r="R399" t="s">
        <v>75</v>
      </c>
      <c r="S399">
        <v>5.6999999999999998E-4</v>
      </c>
      <c r="T399" t="s">
        <v>75</v>
      </c>
      <c r="U399">
        <v>1.06E-2</v>
      </c>
      <c r="V399" t="s">
        <v>75</v>
      </c>
      <c r="W399">
        <v>7.0319999999999994E-2</v>
      </c>
      <c r="X399" t="s">
        <v>75</v>
      </c>
      <c r="Y399">
        <v>0.45604</v>
      </c>
      <c r="Z399" t="s">
        <v>75</v>
      </c>
      <c r="AB399" t="s">
        <v>76</v>
      </c>
      <c r="AC399">
        <v>12.60751</v>
      </c>
      <c r="AD399" t="s">
        <v>75</v>
      </c>
      <c r="AE399">
        <v>48.072389999999999</v>
      </c>
      <c r="AF399" t="s">
        <v>75</v>
      </c>
      <c r="AG399">
        <v>1.8079999999999999E-2</v>
      </c>
      <c r="AH399" t="s">
        <v>75</v>
      </c>
      <c r="AI399">
        <v>0.93833999999999995</v>
      </c>
      <c r="AJ399" t="s">
        <v>75</v>
      </c>
      <c r="AK399">
        <v>4.8399999999999997E-3</v>
      </c>
      <c r="AL399" t="s">
        <v>75</v>
      </c>
      <c r="AM399">
        <v>8.9999999999999998E-4</v>
      </c>
      <c r="AN399" t="s">
        <v>75</v>
      </c>
      <c r="AO399">
        <v>5.5300000000000002E-3</v>
      </c>
      <c r="AP399" t="s">
        <v>75</v>
      </c>
      <c r="AQ399">
        <v>5.9000000000000003E-4</v>
      </c>
      <c r="AR399" t="s">
        <v>75</v>
      </c>
      <c r="AS399">
        <v>9.2000000000000003E-4</v>
      </c>
      <c r="AT399" t="s">
        <v>75</v>
      </c>
      <c r="AU399">
        <v>1.5299999999999999E-3</v>
      </c>
      <c r="AV399" t="s">
        <v>75</v>
      </c>
      <c r="AW399">
        <v>-1E-4</v>
      </c>
      <c r="AX399" t="s">
        <v>75</v>
      </c>
      <c r="AY399">
        <v>9.5899999999999996E-3</v>
      </c>
      <c r="AZ399" t="s">
        <v>75</v>
      </c>
      <c r="BC399">
        <v>-2.0537399999999999</v>
      </c>
      <c r="BD399" t="s">
        <v>75</v>
      </c>
      <c r="BE399">
        <v>1.04E-2</v>
      </c>
      <c r="BF399" t="s">
        <v>75</v>
      </c>
      <c r="BG399">
        <v>2.6437300000000001</v>
      </c>
      <c r="BH399" t="s">
        <v>75</v>
      </c>
      <c r="BI399">
        <v>2.5377800000000001</v>
      </c>
      <c r="BJ399" t="s">
        <v>75</v>
      </c>
      <c r="BK399">
        <v>2.6805400000000001</v>
      </c>
      <c r="BL399" t="s">
        <v>75</v>
      </c>
      <c r="BM399">
        <v>0.25681999999999999</v>
      </c>
      <c r="BN399" t="s">
        <v>75</v>
      </c>
      <c r="BO399">
        <v>143.87083000000001</v>
      </c>
      <c r="BP399" t="s">
        <v>75</v>
      </c>
      <c r="BQ399">
        <v>6.6593799999999996</v>
      </c>
      <c r="BR399" t="s">
        <v>75</v>
      </c>
      <c r="BS399">
        <v>8.9878499999999999</v>
      </c>
      <c r="BT399" t="s">
        <v>75</v>
      </c>
      <c r="BU399">
        <v>70.594520000000003</v>
      </c>
      <c r="BV399" t="s">
        <v>75</v>
      </c>
      <c r="BW399">
        <v>56.488529999999997</v>
      </c>
      <c r="BX399" t="s">
        <v>75</v>
      </c>
      <c r="BY399">
        <v>126.25368</v>
      </c>
      <c r="BZ399" t="s">
        <v>75</v>
      </c>
      <c r="CA399">
        <v>65.410430000000005</v>
      </c>
      <c r="CB399" t="s">
        <v>75</v>
      </c>
      <c r="CC399">
        <v>0.22206999999999999</v>
      </c>
      <c r="CD399" t="s">
        <v>75</v>
      </c>
      <c r="CE399">
        <v>9.2899999999999996E-3</v>
      </c>
      <c r="CF399" t="s">
        <v>75</v>
      </c>
      <c r="CG399">
        <v>0.9778</v>
      </c>
      <c r="CH399" t="s">
        <v>75</v>
      </c>
      <c r="CI399">
        <v>1.62348</v>
      </c>
      <c r="CJ399" t="s">
        <v>75</v>
      </c>
      <c r="CK399">
        <v>8.8894099999999998</v>
      </c>
      <c r="CL399" t="s">
        <v>75</v>
      </c>
      <c r="CM399">
        <v>0.11901</v>
      </c>
      <c r="CN399" t="s">
        <v>75</v>
      </c>
      <c r="CO399">
        <v>1.7675099999999999</v>
      </c>
      <c r="CP399" t="s">
        <v>75</v>
      </c>
      <c r="CQ399">
        <v>2.5474199999999998</v>
      </c>
      <c r="CR399" t="s">
        <v>75</v>
      </c>
      <c r="CS399">
        <v>735.51311999999996</v>
      </c>
      <c r="CT399" t="s">
        <v>75</v>
      </c>
      <c r="CV399" t="s">
        <v>76</v>
      </c>
      <c r="CW399">
        <v>12.36478</v>
      </c>
      <c r="CX399" t="s">
        <v>75</v>
      </c>
      <c r="DA399">
        <v>227.08091999999999</v>
      </c>
      <c r="DB399" t="s">
        <v>75</v>
      </c>
      <c r="DC399">
        <v>2.581E-2</v>
      </c>
      <c r="DD399" t="s">
        <v>75</v>
      </c>
      <c r="DE399">
        <v>41.214289999999998</v>
      </c>
      <c r="DF399" t="s">
        <v>75</v>
      </c>
      <c r="DG399">
        <v>1.31918</v>
      </c>
      <c r="DH399" t="s">
        <v>75</v>
      </c>
      <c r="DI399">
        <v>4.8238500000000002</v>
      </c>
      <c r="DJ399" t="s">
        <v>75</v>
      </c>
      <c r="DL399" t="s">
        <v>76</v>
      </c>
      <c r="DN399" t="s">
        <v>76</v>
      </c>
      <c r="DO399">
        <v>12.40631</v>
      </c>
      <c r="DP399" t="s">
        <v>75</v>
      </c>
    </row>
    <row r="400" spans="1:121" x14ac:dyDescent="0.2">
      <c r="D400" t="s">
        <v>64</v>
      </c>
      <c r="G400">
        <v>2.0899999999999998E-3</v>
      </c>
      <c r="H400" t="s">
        <v>75</v>
      </c>
      <c r="I400">
        <v>2.2499999999999998E-3</v>
      </c>
      <c r="J400" t="s">
        <v>75</v>
      </c>
      <c r="K400">
        <v>9.0900000000000009E-3</v>
      </c>
      <c r="L400" t="s">
        <v>75</v>
      </c>
      <c r="M400">
        <v>2.5200000000000001E-3</v>
      </c>
      <c r="N400" t="s">
        <v>75</v>
      </c>
      <c r="O400">
        <v>1.3999999999999999E-4</v>
      </c>
      <c r="P400" t="s">
        <v>75</v>
      </c>
      <c r="Q400">
        <v>1.6000000000000001E-4</v>
      </c>
      <c r="R400" t="s">
        <v>75</v>
      </c>
      <c r="S400">
        <v>4.0000000000000003E-5</v>
      </c>
      <c r="T400" t="s">
        <v>75</v>
      </c>
      <c r="U400">
        <v>1.8000000000000001E-4</v>
      </c>
      <c r="V400" t="s">
        <v>75</v>
      </c>
      <c r="W400">
        <v>1.23E-3</v>
      </c>
      <c r="X400" t="s">
        <v>75</v>
      </c>
      <c r="Y400">
        <v>1.026E-2</v>
      </c>
      <c r="Z400" t="s">
        <v>75</v>
      </c>
      <c r="AC400">
        <v>0.13774</v>
      </c>
      <c r="AD400" t="s">
        <v>75</v>
      </c>
      <c r="AE400">
        <v>0.69523000000000001</v>
      </c>
      <c r="AF400" t="s">
        <v>75</v>
      </c>
      <c r="AG400">
        <v>4.2000000000000002E-4</v>
      </c>
      <c r="AH400" t="s">
        <v>75</v>
      </c>
      <c r="AI400">
        <v>1.6879999999999999E-2</v>
      </c>
      <c r="AJ400" t="s">
        <v>75</v>
      </c>
      <c r="AK400">
        <v>1.6000000000000001E-4</v>
      </c>
      <c r="AL400" t="s">
        <v>75</v>
      </c>
      <c r="AM400">
        <v>4.6999999999999999E-4</v>
      </c>
      <c r="AN400" t="s">
        <v>75</v>
      </c>
      <c r="AO400">
        <v>6.9999999999999994E-5</v>
      </c>
      <c r="AP400" t="s">
        <v>75</v>
      </c>
      <c r="AQ400">
        <v>2.3000000000000001E-4</v>
      </c>
      <c r="AR400" t="s">
        <v>75</v>
      </c>
      <c r="AS400">
        <v>2.5000000000000001E-4</v>
      </c>
      <c r="AT400" t="s">
        <v>75</v>
      </c>
      <c r="AU400">
        <v>3.0000000000000001E-5</v>
      </c>
      <c r="AV400" t="s">
        <v>75</v>
      </c>
      <c r="AW400">
        <v>1.1E-4</v>
      </c>
      <c r="AX400" t="s">
        <v>75</v>
      </c>
      <c r="AY400">
        <v>9.3000000000000005E-4</v>
      </c>
      <c r="AZ400" t="s">
        <v>75</v>
      </c>
      <c r="BC400">
        <v>2.0000000000000001E-4</v>
      </c>
      <c r="BD400" t="s">
        <v>75</v>
      </c>
      <c r="BE400">
        <v>2.7E-4</v>
      </c>
      <c r="BF400" t="s">
        <v>75</v>
      </c>
      <c r="BG400">
        <v>0.10133</v>
      </c>
      <c r="BH400" t="s">
        <v>75</v>
      </c>
      <c r="BI400">
        <v>7.9899999999999999E-2</v>
      </c>
      <c r="BJ400" t="s">
        <v>75</v>
      </c>
      <c r="BK400">
        <v>9.1469999999999996E-2</v>
      </c>
      <c r="BL400" t="s">
        <v>75</v>
      </c>
      <c r="BM400">
        <v>6.7200000000000003E-3</v>
      </c>
      <c r="BN400" t="s">
        <v>75</v>
      </c>
      <c r="BO400">
        <v>0.48068</v>
      </c>
      <c r="BP400" t="s">
        <v>75</v>
      </c>
      <c r="BQ400">
        <v>5.953E-2</v>
      </c>
      <c r="BR400" t="s">
        <v>75</v>
      </c>
      <c r="BS400">
        <v>0.14913000000000001</v>
      </c>
      <c r="BT400" t="s">
        <v>75</v>
      </c>
      <c r="BU400">
        <v>0.89759999999999995</v>
      </c>
      <c r="BV400" t="s">
        <v>75</v>
      </c>
      <c r="BW400">
        <v>0.65549999999999997</v>
      </c>
      <c r="BX400" t="s">
        <v>75</v>
      </c>
      <c r="BY400">
        <v>1.1993100000000001</v>
      </c>
      <c r="BZ400" t="s">
        <v>75</v>
      </c>
      <c r="CA400">
        <v>1.7210799999999999</v>
      </c>
      <c r="CB400" t="s">
        <v>75</v>
      </c>
      <c r="CC400">
        <v>1.7690000000000001E-2</v>
      </c>
      <c r="CD400" t="s">
        <v>75</v>
      </c>
      <c r="CE400">
        <v>1.17E-3</v>
      </c>
      <c r="CF400" t="s">
        <v>75</v>
      </c>
      <c r="CG400">
        <v>1.141E-2</v>
      </c>
      <c r="CH400" t="s">
        <v>75</v>
      </c>
      <c r="CI400">
        <v>1.9279999999999999E-2</v>
      </c>
      <c r="CJ400" t="s">
        <v>75</v>
      </c>
      <c r="CK400">
        <v>0.16461000000000001</v>
      </c>
      <c r="CL400" t="s">
        <v>75</v>
      </c>
      <c r="CM400">
        <v>3.63E-3</v>
      </c>
      <c r="CN400" t="s">
        <v>75</v>
      </c>
      <c r="CO400">
        <v>5.0520000000000002E-2</v>
      </c>
      <c r="CP400" t="s">
        <v>75</v>
      </c>
      <c r="CQ400">
        <v>6.4149999999999999E-2</v>
      </c>
      <c r="CR400" t="s">
        <v>75</v>
      </c>
      <c r="CS400">
        <v>26.07854</v>
      </c>
      <c r="CT400" t="s">
        <v>75</v>
      </c>
      <c r="CW400">
        <v>6.0069999999999998E-2</v>
      </c>
      <c r="CX400" t="s">
        <v>75</v>
      </c>
      <c r="DA400">
        <v>9.5207999999999995</v>
      </c>
      <c r="DB400" t="s">
        <v>75</v>
      </c>
      <c r="DC400">
        <v>5.8999999999999999E-3</v>
      </c>
      <c r="DD400" t="s">
        <v>75</v>
      </c>
      <c r="DE400">
        <v>1.55141</v>
      </c>
      <c r="DF400" t="s">
        <v>75</v>
      </c>
      <c r="DG400">
        <v>0.23263</v>
      </c>
      <c r="DH400" t="s">
        <v>75</v>
      </c>
      <c r="DI400">
        <v>0.16117000000000001</v>
      </c>
      <c r="DJ400" t="s">
        <v>75</v>
      </c>
      <c r="DO400">
        <v>0.38070999999999999</v>
      </c>
      <c r="DP400" t="s">
        <v>75</v>
      </c>
    </row>
    <row r="401" spans="1:121" x14ac:dyDescent="0.2">
      <c r="D401" t="s">
        <v>65</v>
      </c>
      <c r="G401" t="s">
        <v>66</v>
      </c>
      <c r="I401" t="s">
        <v>66</v>
      </c>
      <c r="K401" t="s">
        <v>66</v>
      </c>
      <c r="M401" t="s">
        <v>66</v>
      </c>
      <c r="O401" t="s">
        <v>66</v>
      </c>
      <c r="Q401" t="s">
        <v>66</v>
      </c>
      <c r="S401" t="s">
        <v>66</v>
      </c>
      <c r="U401" t="s">
        <v>66</v>
      </c>
      <c r="W401" t="s">
        <v>66</v>
      </c>
      <c r="Y401" t="s">
        <v>66</v>
      </c>
      <c r="AA401" t="s">
        <v>66</v>
      </c>
      <c r="AC401" t="s">
        <v>66</v>
      </c>
      <c r="AE401" t="s">
        <v>66</v>
      </c>
      <c r="AG401" t="s">
        <v>66</v>
      </c>
      <c r="AI401" t="s">
        <v>66</v>
      </c>
      <c r="AK401" t="s">
        <v>66</v>
      </c>
      <c r="AM401" t="s">
        <v>66</v>
      </c>
      <c r="AO401" t="s">
        <v>66</v>
      </c>
      <c r="AQ401" t="s">
        <v>66</v>
      </c>
      <c r="AS401" t="s">
        <v>66</v>
      </c>
      <c r="AU401" t="s">
        <v>66</v>
      </c>
      <c r="AW401" t="s">
        <v>66</v>
      </c>
      <c r="AY401" t="s">
        <v>66</v>
      </c>
      <c r="BA401" t="s">
        <v>66</v>
      </c>
      <c r="BC401" t="s">
        <v>66</v>
      </c>
      <c r="BE401" t="s">
        <v>66</v>
      </c>
      <c r="BG401" t="s">
        <v>66</v>
      </c>
      <c r="BI401" t="s">
        <v>66</v>
      </c>
      <c r="BK401" t="s">
        <v>66</v>
      </c>
      <c r="BM401" t="s">
        <v>66</v>
      </c>
      <c r="BO401" t="s">
        <v>66</v>
      </c>
      <c r="BQ401" t="s">
        <v>66</v>
      </c>
      <c r="BS401" t="s">
        <v>66</v>
      </c>
      <c r="BU401" t="s">
        <v>66</v>
      </c>
      <c r="BW401" t="s">
        <v>66</v>
      </c>
      <c r="BY401" t="s">
        <v>66</v>
      </c>
      <c r="CA401" t="s">
        <v>66</v>
      </c>
      <c r="CC401" t="s">
        <v>66</v>
      </c>
      <c r="CE401" t="s">
        <v>66</v>
      </c>
      <c r="CG401" t="s">
        <v>66</v>
      </c>
      <c r="CI401" t="s">
        <v>66</v>
      </c>
      <c r="CK401" t="s">
        <v>66</v>
      </c>
      <c r="CM401" t="s">
        <v>66</v>
      </c>
      <c r="CO401" t="s">
        <v>66</v>
      </c>
      <c r="CQ401" t="s">
        <v>66</v>
      </c>
      <c r="CS401" t="s">
        <v>66</v>
      </c>
      <c r="CU401" t="s">
        <v>66</v>
      </c>
      <c r="CW401" t="s">
        <v>66</v>
      </c>
      <c r="CY401" t="s">
        <v>66</v>
      </c>
      <c r="DA401" t="s">
        <v>66</v>
      </c>
      <c r="DC401" t="s">
        <v>66</v>
      </c>
      <c r="DE401" t="s">
        <v>66</v>
      </c>
      <c r="DG401" t="s">
        <v>66</v>
      </c>
      <c r="DI401" t="s">
        <v>66</v>
      </c>
      <c r="DK401" t="s">
        <v>66</v>
      </c>
      <c r="DM401" t="s">
        <v>66</v>
      </c>
      <c r="DO401" t="s">
        <v>66</v>
      </c>
      <c r="DQ401" t="s">
        <v>66</v>
      </c>
    </row>
    <row r="402" spans="1:121" x14ac:dyDescent="0.2">
      <c r="A402" t="s">
        <v>650</v>
      </c>
      <c r="D402" t="s">
        <v>60</v>
      </c>
      <c r="E402" t="s">
        <v>61</v>
      </c>
      <c r="G402">
        <v>15278</v>
      </c>
      <c r="I402">
        <v>710.1</v>
      </c>
      <c r="K402">
        <v>799997.8</v>
      </c>
      <c r="M402">
        <v>108930.4</v>
      </c>
      <c r="O402">
        <v>1369.7</v>
      </c>
      <c r="Q402">
        <v>9958.1</v>
      </c>
      <c r="S402">
        <v>1598.1</v>
      </c>
      <c r="U402">
        <v>1130.9000000000001</v>
      </c>
      <c r="W402">
        <v>39397.9</v>
      </c>
      <c r="Y402">
        <v>47659.7</v>
      </c>
      <c r="AA402">
        <v>4669062.3</v>
      </c>
      <c r="AC402">
        <v>4042479.9</v>
      </c>
      <c r="AE402">
        <v>20045402.600000001</v>
      </c>
      <c r="AG402">
        <v>56311.4</v>
      </c>
      <c r="AI402">
        <v>116507.9</v>
      </c>
      <c r="AK402">
        <v>10001.9</v>
      </c>
      <c r="AM402">
        <v>3335.4</v>
      </c>
      <c r="AO402">
        <v>371.9</v>
      </c>
      <c r="AQ402">
        <v>310.39999999999998</v>
      </c>
      <c r="AS402">
        <v>333.3</v>
      </c>
      <c r="AU402">
        <v>259.39999999999998</v>
      </c>
      <c r="AW402">
        <v>183.3</v>
      </c>
      <c r="AY402">
        <v>3560.8</v>
      </c>
      <c r="BA402">
        <v>666886.30000000005</v>
      </c>
      <c r="BC402">
        <v>2188.1999999999998</v>
      </c>
      <c r="BE402">
        <v>16283.6</v>
      </c>
      <c r="BG402">
        <v>1337506</v>
      </c>
      <c r="BI402">
        <v>1114098.8</v>
      </c>
      <c r="BK402">
        <v>2899881.7</v>
      </c>
      <c r="BM402">
        <v>406907.6</v>
      </c>
      <c r="BO402">
        <v>8921832.0999999996</v>
      </c>
      <c r="BQ402">
        <v>99007.5</v>
      </c>
      <c r="BS402">
        <v>520959.2</v>
      </c>
      <c r="BU402">
        <v>2758067.6</v>
      </c>
      <c r="BW402">
        <v>169222.6</v>
      </c>
      <c r="BY402">
        <v>556302.1</v>
      </c>
      <c r="CA402">
        <v>57625.599999999999</v>
      </c>
      <c r="CC402">
        <v>691</v>
      </c>
      <c r="CE402">
        <v>508.4</v>
      </c>
      <c r="CG402">
        <v>27169.599999999999</v>
      </c>
      <c r="CI402">
        <v>62102.6</v>
      </c>
      <c r="CK402">
        <v>452166.40000000002</v>
      </c>
      <c r="CM402">
        <v>11217.9</v>
      </c>
      <c r="CO402">
        <v>18133</v>
      </c>
      <c r="CQ402">
        <v>114039</v>
      </c>
      <c r="CS402">
        <v>3833799.1</v>
      </c>
      <c r="CU402">
        <v>474565.1</v>
      </c>
      <c r="CW402">
        <v>441978.7</v>
      </c>
      <c r="CY402">
        <v>60584.800000000003</v>
      </c>
      <c r="DA402">
        <v>4713623</v>
      </c>
      <c r="DC402">
        <v>76.099999999999994</v>
      </c>
      <c r="DE402">
        <v>165209.5</v>
      </c>
      <c r="DG402">
        <v>219.3</v>
      </c>
      <c r="DI402">
        <v>2449.4</v>
      </c>
      <c r="DK402">
        <v>737.3</v>
      </c>
      <c r="DM402">
        <v>121891.5</v>
      </c>
      <c r="DO402">
        <v>105095.2</v>
      </c>
      <c r="DQ402">
        <v>14852.2</v>
      </c>
    </row>
    <row r="403" spans="1:121" x14ac:dyDescent="0.2">
      <c r="D403" t="s">
        <v>62</v>
      </c>
      <c r="E403" t="s">
        <v>61</v>
      </c>
      <c r="G403">
        <v>375.9</v>
      </c>
      <c r="I403">
        <v>114.7</v>
      </c>
      <c r="K403">
        <v>9325.6</v>
      </c>
      <c r="M403">
        <v>1216.5</v>
      </c>
      <c r="O403">
        <v>105.5</v>
      </c>
      <c r="Q403">
        <v>36.1</v>
      </c>
      <c r="S403">
        <v>126.6</v>
      </c>
      <c r="U403">
        <v>141.30000000000001</v>
      </c>
      <c r="W403">
        <v>827.3</v>
      </c>
      <c r="Y403">
        <v>1244.3</v>
      </c>
      <c r="AA403">
        <v>52334.400000000001</v>
      </c>
      <c r="AC403">
        <v>49605.599999999999</v>
      </c>
      <c r="AE403">
        <v>184740.6</v>
      </c>
      <c r="AG403">
        <v>164</v>
      </c>
      <c r="AI403">
        <v>702.8</v>
      </c>
      <c r="AK403">
        <v>145.69999999999999</v>
      </c>
      <c r="AM403">
        <v>66</v>
      </c>
      <c r="AO403">
        <v>48.5</v>
      </c>
      <c r="AQ403">
        <v>56.7</v>
      </c>
      <c r="AS403">
        <v>18.3</v>
      </c>
      <c r="AU403">
        <v>17.399999999999999</v>
      </c>
      <c r="AW403">
        <v>42.7</v>
      </c>
      <c r="AY403">
        <v>107.5</v>
      </c>
      <c r="BA403">
        <v>14561.4</v>
      </c>
      <c r="BC403">
        <v>58.2</v>
      </c>
      <c r="BE403">
        <v>301.39999999999998</v>
      </c>
      <c r="BG403">
        <v>30741.8</v>
      </c>
      <c r="BI403">
        <v>17690.7</v>
      </c>
      <c r="BK403">
        <v>43848.5</v>
      </c>
      <c r="BM403">
        <v>6969.7</v>
      </c>
      <c r="BO403">
        <v>68729.399999999994</v>
      </c>
      <c r="BQ403">
        <v>1077.5</v>
      </c>
      <c r="BS403">
        <v>4235.3999999999996</v>
      </c>
      <c r="BU403">
        <v>24459.5</v>
      </c>
      <c r="BW403">
        <v>1555</v>
      </c>
      <c r="BY403">
        <v>3800.6</v>
      </c>
      <c r="CA403">
        <v>962.6</v>
      </c>
      <c r="CC403">
        <v>103.7</v>
      </c>
      <c r="CE403">
        <v>43.4</v>
      </c>
      <c r="CG403">
        <v>257.89999999999998</v>
      </c>
      <c r="CI403">
        <v>1439.1</v>
      </c>
      <c r="CK403">
        <v>14071.6</v>
      </c>
      <c r="CM403">
        <v>329.8</v>
      </c>
      <c r="CO403">
        <v>332.7</v>
      </c>
      <c r="CQ403">
        <v>719.1</v>
      </c>
      <c r="CS403">
        <v>70418.899999999994</v>
      </c>
      <c r="CU403">
        <v>2161.6</v>
      </c>
      <c r="CW403">
        <v>8004.5</v>
      </c>
      <c r="CY403">
        <v>2266.9</v>
      </c>
      <c r="DA403">
        <v>72482.8</v>
      </c>
      <c r="DC403">
        <v>17.7</v>
      </c>
      <c r="DE403">
        <v>2082.9</v>
      </c>
      <c r="DG403">
        <v>49.7</v>
      </c>
      <c r="DI403">
        <v>253.2</v>
      </c>
      <c r="DK403">
        <v>13</v>
      </c>
      <c r="DM403">
        <v>1522.8</v>
      </c>
      <c r="DO403">
        <v>1208</v>
      </c>
      <c r="DQ403">
        <v>497</v>
      </c>
    </row>
    <row r="404" spans="1:121" x14ac:dyDescent="0.2">
      <c r="D404" t="s">
        <v>63</v>
      </c>
      <c r="G404">
        <v>8.8999999999999996E-2</v>
      </c>
      <c r="H404" t="s">
        <v>75</v>
      </c>
      <c r="I404">
        <v>1.251E-2</v>
      </c>
      <c r="J404" t="s">
        <v>75</v>
      </c>
      <c r="K404">
        <v>1.0310600000000001</v>
      </c>
      <c r="L404" t="s">
        <v>75</v>
      </c>
      <c r="M404">
        <v>7.8299999999999995E-2</v>
      </c>
      <c r="N404" t="s">
        <v>75</v>
      </c>
      <c r="O404">
        <v>4.0899999999999999E-3</v>
      </c>
      <c r="P404" t="s">
        <v>75</v>
      </c>
      <c r="Q404">
        <v>8.6379999999999998E-2</v>
      </c>
      <c r="R404" t="s">
        <v>75</v>
      </c>
      <c r="S404">
        <v>7.2999999999999996E-4</v>
      </c>
      <c r="T404" t="s">
        <v>75</v>
      </c>
      <c r="U404">
        <v>1.04E-2</v>
      </c>
      <c r="V404" t="s">
        <v>75</v>
      </c>
      <c r="W404">
        <v>8.8499999999999995E-2</v>
      </c>
      <c r="X404" t="s">
        <v>75</v>
      </c>
      <c r="Y404">
        <v>0.71940000000000004</v>
      </c>
      <c r="Z404" t="s">
        <v>75</v>
      </c>
      <c r="AB404" t="s">
        <v>76</v>
      </c>
      <c r="AC404">
        <v>14.667120000000001</v>
      </c>
      <c r="AD404" t="s">
        <v>75</v>
      </c>
      <c r="AE404">
        <v>76.389489999999995</v>
      </c>
      <c r="AF404" t="s">
        <v>75</v>
      </c>
      <c r="AG404">
        <v>2.86E-2</v>
      </c>
      <c r="AH404" t="s">
        <v>75</v>
      </c>
      <c r="AI404">
        <v>0.74880000000000002</v>
      </c>
      <c r="AJ404" t="s">
        <v>75</v>
      </c>
      <c r="AK404">
        <v>4.8300000000000001E-3</v>
      </c>
      <c r="AL404" t="s">
        <v>75</v>
      </c>
      <c r="AM404">
        <v>-3.14E-3</v>
      </c>
      <c r="AN404" t="s">
        <v>75</v>
      </c>
      <c r="AO404">
        <v>2.81E-3</v>
      </c>
      <c r="AP404" t="s">
        <v>75</v>
      </c>
      <c r="AQ404">
        <v>4.0000000000000002E-4</v>
      </c>
      <c r="AR404" t="s">
        <v>75</v>
      </c>
      <c r="AS404">
        <v>4.6999999999999999E-4</v>
      </c>
      <c r="AT404" t="s">
        <v>75</v>
      </c>
      <c r="AU404">
        <v>1.5200000000000001E-3</v>
      </c>
      <c r="AV404" t="s">
        <v>75</v>
      </c>
      <c r="AW404">
        <v>-3.5E-4</v>
      </c>
      <c r="AX404" t="s">
        <v>75</v>
      </c>
      <c r="AY404">
        <v>1.32E-3</v>
      </c>
      <c r="AZ404" t="s">
        <v>75</v>
      </c>
      <c r="BC404">
        <v>-2.0532499999999998</v>
      </c>
      <c r="BD404" t="s">
        <v>75</v>
      </c>
      <c r="BE404">
        <v>1.8380000000000001E-2</v>
      </c>
      <c r="BF404" t="s">
        <v>75</v>
      </c>
      <c r="BG404">
        <v>3.87256</v>
      </c>
      <c r="BH404" t="s">
        <v>75</v>
      </c>
      <c r="BI404">
        <v>3.7292399999999999</v>
      </c>
      <c r="BJ404" t="s">
        <v>75</v>
      </c>
      <c r="BK404">
        <v>3.9577399999999998</v>
      </c>
      <c r="BL404" t="s">
        <v>75</v>
      </c>
      <c r="BM404">
        <v>0.37897999999999998</v>
      </c>
      <c r="BN404" t="s">
        <v>75</v>
      </c>
      <c r="BO404">
        <v>192.33062000000001</v>
      </c>
      <c r="BP404" t="s">
        <v>75</v>
      </c>
      <c r="BQ404">
        <v>2.88131</v>
      </c>
      <c r="BR404" t="s">
        <v>75</v>
      </c>
      <c r="BS404">
        <v>11.041460000000001</v>
      </c>
      <c r="BT404" t="s">
        <v>75</v>
      </c>
      <c r="BU404">
        <v>91.868819999999999</v>
      </c>
      <c r="BV404" t="s">
        <v>75</v>
      </c>
      <c r="BW404">
        <v>70.5124</v>
      </c>
      <c r="BX404" t="s">
        <v>75</v>
      </c>
      <c r="BY404">
        <v>145.78515999999999</v>
      </c>
      <c r="BZ404" t="s">
        <v>75</v>
      </c>
      <c r="CA404">
        <v>26.80058</v>
      </c>
      <c r="CB404" t="s">
        <v>75</v>
      </c>
      <c r="CC404">
        <v>0.13069</v>
      </c>
      <c r="CD404" t="s">
        <v>75</v>
      </c>
      <c r="CE404">
        <v>5.7999999999999996E-3</v>
      </c>
      <c r="CF404" t="s">
        <v>75</v>
      </c>
      <c r="CG404">
        <v>0.43886999999999998</v>
      </c>
      <c r="CH404" t="s">
        <v>75</v>
      </c>
      <c r="CI404">
        <v>0.76914000000000005</v>
      </c>
      <c r="CJ404" t="s">
        <v>75</v>
      </c>
      <c r="CK404">
        <v>5.9772699999999999</v>
      </c>
      <c r="CL404" t="s">
        <v>75</v>
      </c>
      <c r="CM404">
        <v>0.14996999999999999</v>
      </c>
      <c r="CN404" t="s">
        <v>75</v>
      </c>
      <c r="CO404">
        <v>1.0201</v>
      </c>
      <c r="CP404" t="s">
        <v>75</v>
      </c>
      <c r="CQ404">
        <v>3.3700899999999998</v>
      </c>
      <c r="CR404" t="s">
        <v>75</v>
      </c>
      <c r="CS404">
        <v>987.77030000000002</v>
      </c>
      <c r="CT404" t="s">
        <v>75</v>
      </c>
      <c r="CV404" t="s">
        <v>76</v>
      </c>
      <c r="CW404">
        <v>16.135439999999999</v>
      </c>
      <c r="CX404" t="s">
        <v>75</v>
      </c>
      <c r="DA404">
        <v>308.44189</v>
      </c>
      <c r="DB404" t="s">
        <v>75</v>
      </c>
      <c r="DC404">
        <v>3.5839999999999997E-2</v>
      </c>
      <c r="DD404" t="s">
        <v>75</v>
      </c>
      <c r="DE404">
        <v>82.12903</v>
      </c>
      <c r="DF404" t="s">
        <v>75</v>
      </c>
      <c r="DG404">
        <v>1.2089799999999999</v>
      </c>
      <c r="DH404" t="s">
        <v>75</v>
      </c>
      <c r="DI404">
        <v>4.2993899999999998</v>
      </c>
      <c r="DJ404" t="s">
        <v>75</v>
      </c>
      <c r="DL404" t="s">
        <v>76</v>
      </c>
      <c r="DN404" t="s">
        <v>76</v>
      </c>
      <c r="DO404">
        <v>17.0701</v>
      </c>
      <c r="DP404" t="s">
        <v>75</v>
      </c>
    </row>
    <row r="405" spans="1:121" x14ac:dyDescent="0.2">
      <c r="D405" t="s">
        <v>64</v>
      </c>
      <c r="G405">
        <v>3.4000000000000002E-4</v>
      </c>
      <c r="H405" t="s">
        <v>75</v>
      </c>
      <c r="I405">
        <v>3.5300000000000002E-3</v>
      </c>
      <c r="J405" t="s">
        <v>75</v>
      </c>
      <c r="K405">
        <v>1.9189999999999999E-2</v>
      </c>
      <c r="L405" t="s">
        <v>75</v>
      </c>
      <c r="M405">
        <v>1.2099999999999999E-3</v>
      </c>
      <c r="N405" t="s">
        <v>75</v>
      </c>
      <c r="O405">
        <v>8.0000000000000007E-5</v>
      </c>
      <c r="P405" t="s">
        <v>75</v>
      </c>
      <c r="Q405">
        <v>1.24E-3</v>
      </c>
      <c r="R405" t="s">
        <v>75</v>
      </c>
      <c r="S405">
        <v>8.0000000000000007E-5</v>
      </c>
      <c r="T405" t="s">
        <v>75</v>
      </c>
      <c r="U405">
        <v>6.0999999999999997E-4</v>
      </c>
      <c r="V405" t="s">
        <v>75</v>
      </c>
      <c r="W405">
        <v>1.5399999999999999E-3</v>
      </c>
      <c r="X405" t="s">
        <v>75</v>
      </c>
      <c r="Y405">
        <v>1.3089999999999999E-2</v>
      </c>
      <c r="Z405" t="s">
        <v>75</v>
      </c>
      <c r="AC405">
        <v>0.48731000000000002</v>
      </c>
      <c r="AD405" t="s">
        <v>75</v>
      </c>
      <c r="AE405">
        <v>2.3583599999999998</v>
      </c>
      <c r="AF405" t="s">
        <v>75</v>
      </c>
      <c r="AG405">
        <v>1.1100000000000001E-3</v>
      </c>
      <c r="AH405" t="s">
        <v>75</v>
      </c>
      <c r="AI405">
        <v>1.687E-2</v>
      </c>
      <c r="AJ405" t="s">
        <v>75</v>
      </c>
      <c r="AK405">
        <v>6.9999999999999994E-5</v>
      </c>
      <c r="AL405" t="s">
        <v>75</v>
      </c>
      <c r="AM405">
        <v>1E-4</v>
      </c>
      <c r="AN405" t="s">
        <v>75</v>
      </c>
      <c r="AO405">
        <v>1.7000000000000001E-4</v>
      </c>
      <c r="AP405" t="s">
        <v>75</v>
      </c>
      <c r="AQ405">
        <v>2.7999999999999998E-4</v>
      </c>
      <c r="AR405" t="s">
        <v>75</v>
      </c>
      <c r="AS405">
        <v>5.0000000000000002E-5</v>
      </c>
      <c r="AT405" t="s">
        <v>75</v>
      </c>
      <c r="AU405">
        <v>2.0000000000000002E-5</v>
      </c>
      <c r="AV405" t="s">
        <v>75</v>
      </c>
      <c r="AW405">
        <v>1.1E-4</v>
      </c>
      <c r="AX405" t="s">
        <v>75</v>
      </c>
      <c r="AY405">
        <v>4.2000000000000002E-4</v>
      </c>
      <c r="AZ405" t="s">
        <v>75</v>
      </c>
      <c r="BC405">
        <v>8.0000000000000007E-5</v>
      </c>
      <c r="BD405" t="s">
        <v>75</v>
      </c>
      <c r="BE405">
        <v>5.1999999999999995E-4</v>
      </c>
      <c r="BF405" t="s">
        <v>75</v>
      </c>
      <c r="BG405">
        <v>0.16919000000000001</v>
      </c>
      <c r="BH405" t="s">
        <v>75</v>
      </c>
      <c r="BI405">
        <v>0.14136000000000001</v>
      </c>
      <c r="BJ405" t="s">
        <v>75</v>
      </c>
      <c r="BK405">
        <v>0.15104000000000001</v>
      </c>
      <c r="BL405" t="s">
        <v>75</v>
      </c>
      <c r="BM405">
        <v>1.5129999999999999E-2</v>
      </c>
      <c r="BN405" t="s">
        <v>75</v>
      </c>
      <c r="BO405">
        <v>8.5252199999999991</v>
      </c>
      <c r="BP405" t="s">
        <v>75</v>
      </c>
      <c r="BQ405">
        <v>0.14016999999999999</v>
      </c>
      <c r="BR405" t="s">
        <v>75</v>
      </c>
      <c r="BS405">
        <v>0.42088999999999999</v>
      </c>
      <c r="BT405" t="s">
        <v>75</v>
      </c>
      <c r="BU405">
        <v>3.16554</v>
      </c>
      <c r="BV405" t="s">
        <v>75</v>
      </c>
      <c r="BW405">
        <v>2.97261</v>
      </c>
      <c r="BX405" t="s">
        <v>75</v>
      </c>
      <c r="BY405">
        <v>4.64682</v>
      </c>
      <c r="BZ405" t="s">
        <v>75</v>
      </c>
      <c r="CA405">
        <v>0.94679999999999997</v>
      </c>
      <c r="CB405" t="s">
        <v>75</v>
      </c>
      <c r="CC405">
        <v>1.968E-2</v>
      </c>
      <c r="CD405" t="s">
        <v>75</v>
      </c>
      <c r="CE405">
        <v>3.5E-4</v>
      </c>
      <c r="CF405" t="s">
        <v>75</v>
      </c>
      <c r="CG405">
        <v>2.01E-2</v>
      </c>
      <c r="CH405" t="s">
        <v>75</v>
      </c>
      <c r="CI405">
        <v>2.3650000000000001E-2</v>
      </c>
      <c r="CJ405" t="s">
        <v>75</v>
      </c>
      <c r="CK405">
        <v>0.32068999999999998</v>
      </c>
      <c r="CL405" t="s">
        <v>75</v>
      </c>
      <c r="CM405">
        <v>8.2299999999999995E-3</v>
      </c>
      <c r="CN405" t="s">
        <v>75</v>
      </c>
      <c r="CO405">
        <v>3.1419999999999997E-2</v>
      </c>
      <c r="CP405" t="s">
        <v>75</v>
      </c>
      <c r="CQ405">
        <v>0.10524</v>
      </c>
      <c r="CR405" t="s">
        <v>75</v>
      </c>
      <c r="CS405">
        <v>39.371850000000002</v>
      </c>
      <c r="CT405" t="s">
        <v>75</v>
      </c>
      <c r="CW405">
        <v>0.63034999999999997</v>
      </c>
      <c r="CX405" t="s">
        <v>75</v>
      </c>
      <c r="DA405">
        <v>10.941649999999999</v>
      </c>
      <c r="DB405" t="s">
        <v>75</v>
      </c>
      <c r="DC405">
        <v>9.6699999999999998E-3</v>
      </c>
      <c r="DD405" t="s">
        <v>75</v>
      </c>
      <c r="DE405">
        <v>3.4439700000000002</v>
      </c>
      <c r="DF405" t="s">
        <v>75</v>
      </c>
      <c r="DG405">
        <v>0.30819000000000002</v>
      </c>
      <c r="DH405" t="s">
        <v>75</v>
      </c>
      <c r="DI405">
        <v>0.65315999999999996</v>
      </c>
      <c r="DJ405" t="s">
        <v>75</v>
      </c>
      <c r="DO405">
        <v>0.54530000000000001</v>
      </c>
      <c r="DP405" t="s">
        <v>75</v>
      </c>
    </row>
    <row r="406" spans="1:121" x14ac:dyDescent="0.2">
      <c r="D406" t="s">
        <v>65</v>
      </c>
      <c r="G406" t="s">
        <v>66</v>
      </c>
      <c r="I406" t="s">
        <v>66</v>
      </c>
      <c r="K406" t="s">
        <v>66</v>
      </c>
      <c r="M406" t="s">
        <v>66</v>
      </c>
      <c r="O406" t="s">
        <v>66</v>
      </c>
      <c r="Q406" t="s">
        <v>66</v>
      </c>
      <c r="S406" t="s">
        <v>66</v>
      </c>
      <c r="U406" t="s">
        <v>66</v>
      </c>
      <c r="W406" t="s">
        <v>66</v>
      </c>
      <c r="Y406" t="s">
        <v>66</v>
      </c>
      <c r="AA406" t="s">
        <v>66</v>
      </c>
      <c r="AC406" t="s">
        <v>66</v>
      </c>
      <c r="AE406" t="s">
        <v>66</v>
      </c>
      <c r="AG406" t="s">
        <v>66</v>
      </c>
      <c r="AI406" t="s">
        <v>66</v>
      </c>
      <c r="AK406" t="s">
        <v>66</v>
      </c>
      <c r="AM406" t="s">
        <v>66</v>
      </c>
      <c r="AO406" t="s">
        <v>66</v>
      </c>
      <c r="AQ406" t="s">
        <v>66</v>
      </c>
      <c r="AS406" t="s">
        <v>66</v>
      </c>
      <c r="AU406" t="s">
        <v>66</v>
      </c>
      <c r="AW406" t="s">
        <v>66</v>
      </c>
      <c r="AY406" t="s">
        <v>66</v>
      </c>
      <c r="BA406" t="s">
        <v>66</v>
      </c>
      <c r="BC406" t="s">
        <v>66</v>
      </c>
      <c r="BE406" t="s">
        <v>66</v>
      </c>
      <c r="BG406" t="s">
        <v>66</v>
      </c>
      <c r="BI406" t="s">
        <v>66</v>
      </c>
      <c r="BK406" t="s">
        <v>66</v>
      </c>
      <c r="BM406" t="s">
        <v>66</v>
      </c>
      <c r="BO406" t="s">
        <v>66</v>
      </c>
      <c r="BQ406" t="s">
        <v>66</v>
      </c>
      <c r="BS406" t="s">
        <v>66</v>
      </c>
      <c r="BU406" t="s">
        <v>66</v>
      </c>
      <c r="BW406" t="s">
        <v>66</v>
      </c>
      <c r="BY406" t="s">
        <v>66</v>
      </c>
      <c r="CA406" t="s">
        <v>66</v>
      </c>
      <c r="CC406" t="s">
        <v>66</v>
      </c>
      <c r="CE406" t="s">
        <v>66</v>
      </c>
      <c r="CG406" t="s">
        <v>66</v>
      </c>
      <c r="CI406" t="s">
        <v>66</v>
      </c>
      <c r="CK406" t="s">
        <v>66</v>
      </c>
      <c r="CM406" t="s">
        <v>66</v>
      </c>
      <c r="CO406" t="s">
        <v>66</v>
      </c>
      <c r="CQ406" t="s">
        <v>66</v>
      </c>
      <c r="CS406" t="s">
        <v>66</v>
      </c>
      <c r="CU406" t="s">
        <v>66</v>
      </c>
      <c r="CW406" t="s">
        <v>66</v>
      </c>
      <c r="CY406" t="s">
        <v>66</v>
      </c>
      <c r="DA406" t="s">
        <v>66</v>
      </c>
      <c r="DC406" t="s">
        <v>66</v>
      </c>
      <c r="DE406" t="s">
        <v>66</v>
      </c>
      <c r="DG406" t="s">
        <v>66</v>
      </c>
      <c r="DI406" t="s">
        <v>66</v>
      </c>
      <c r="DK406" t="s">
        <v>66</v>
      </c>
      <c r="DM406" t="s">
        <v>66</v>
      </c>
      <c r="DO406" t="s">
        <v>66</v>
      </c>
      <c r="DQ406" t="s">
        <v>66</v>
      </c>
    </row>
    <row r="407" spans="1:121" x14ac:dyDescent="0.2">
      <c r="A407" t="s">
        <v>651</v>
      </c>
      <c r="D407" t="s">
        <v>60</v>
      </c>
      <c r="E407" t="s">
        <v>61</v>
      </c>
      <c r="G407">
        <v>23811.200000000001</v>
      </c>
      <c r="I407">
        <v>737</v>
      </c>
      <c r="K407">
        <v>1776248.3</v>
      </c>
      <c r="M407">
        <v>170036</v>
      </c>
      <c r="O407">
        <v>2292.5</v>
      </c>
      <c r="Q407">
        <v>24577.3</v>
      </c>
      <c r="S407">
        <v>1701.3</v>
      </c>
      <c r="U407">
        <v>1344.7</v>
      </c>
      <c r="W407">
        <v>64920.4</v>
      </c>
      <c r="Y407">
        <v>88547</v>
      </c>
      <c r="AA407">
        <v>6996767.2999999998</v>
      </c>
      <c r="AC407">
        <v>7492947.2999999998</v>
      </c>
      <c r="AE407">
        <v>38349928.600000001</v>
      </c>
      <c r="AG407">
        <v>120158.39999999999</v>
      </c>
      <c r="AI407">
        <v>827393.3</v>
      </c>
      <c r="AK407">
        <v>17255.400000000001</v>
      </c>
      <c r="AM407">
        <v>4221.8999999999996</v>
      </c>
      <c r="AO407">
        <v>435.5</v>
      </c>
      <c r="AQ407">
        <v>317.8</v>
      </c>
      <c r="AS407">
        <v>329.2</v>
      </c>
      <c r="AU407">
        <v>284.39999999999998</v>
      </c>
      <c r="AW407">
        <v>250</v>
      </c>
      <c r="AY407">
        <v>7850.8</v>
      </c>
      <c r="BA407">
        <v>675329.2</v>
      </c>
      <c r="BC407">
        <v>2152.8000000000002</v>
      </c>
      <c r="BE407">
        <v>22335.599999999999</v>
      </c>
      <c r="BG407">
        <v>2894125.7</v>
      </c>
      <c r="BI407">
        <v>2431655.2999999998</v>
      </c>
      <c r="BK407">
        <v>5410151.7999999998</v>
      </c>
      <c r="BM407">
        <v>823635.2</v>
      </c>
      <c r="BO407">
        <v>18265837</v>
      </c>
      <c r="BQ407">
        <v>71509.100000000006</v>
      </c>
      <c r="BS407">
        <v>425742</v>
      </c>
      <c r="BU407">
        <v>4263420.0999999996</v>
      </c>
      <c r="BW407">
        <v>295219.5</v>
      </c>
      <c r="BY407">
        <v>1105368.3</v>
      </c>
      <c r="CA407">
        <v>87451.1</v>
      </c>
      <c r="CC407">
        <v>820.7</v>
      </c>
      <c r="CE407">
        <v>799.4</v>
      </c>
      <c r="CG407">
        <v>42340</v>
      </c>
      <c r="CI407">
        <v>126662.5</v>
      </c>
      <c r="CK407">
        <v>3562121.9</v>
      </c>
      <c r="CM407">
        <v>18777.099999999999</v>
      </c>
      <c r="CO407">
        <v>13909.4</v>
      </c>
      <c r="CQ407">
        <v>196567.6</v>
      </c>
      <c r="CS407">
        <v>7845202.7999999998</v>
      </c>
      <c r="CU407">
        <v>713105.6</v>
      </c>
      <c r="CW407">
        <v>828700.6</v>
      </c>
      <c r="CY407">
        <v>61961.599999999999</v>
      </c>
      <c r="DA407">
        <v>10082462.4</v>
      </c>
      <c r="DC407">
        <v>190.6</v>
      </c>
      <c r="DE407">
        <v>271064</v>
      </c>
      <c r="DG407">
        <v>229.9</v>
      </c>
      <c r="DI407">
        <v>2031.1</v>
      </c>
      <c r="DK407">
        <v>799.6</v>
      </c>
      <c r="DM407">
        <v>182777.3</v>
      </c>
      <c r="DO407">
        <v>195375.4</v>
      </c>
      <c r="DQ407">
        <v>15022.8</v>
      </c>
    </row>
    <row r="408" spans="1:121" x14ac:dyDescent="0.2">
      <c r="D408" t="s">
        <v>62</v>
      </c>
      <c r="E408" t="s">
        <v>61</v>
      </c>
      <c r="G408">
        <v>218.6</v>
      </c>
      <c r="I408">
        <v>39.9</v>
      </c>
      <c r="K408">
        <v>12219.3</v>
      </c>
      <c r="M408">
        <v>613.1</v>
      </c>
      <c r="O408">
        <v>73.900000000000006</v>
      </c>
      <c r="Q408">
        <v>382.4</v>
      </c>
      <c r="S408">
        <v>0.1</v>
      </c>
      <c r="U408">
        <v>108.6</v>
      </c>
      <c r="W408">
        <v>571.20000000000005</v>
      </c>
      <c r="Y408">
        <v>1124</v>
      </c>
      <c r="AA408">
        <v>29163.200000000001</v>
      </c>
      <c r="AC408">
        <v>70731.3</v>
      </c>
      <c r="AE408">
        <v>306217.3</v>
      </c>
      <c r="AG408">
        <v>828.5</v>
      </c>
      <c r="AI408">
        <v>11269.9</v>
      </c>
      <c r="AK408">
        <v>351.7</v>
      </c>
      <c r="AM408">
        <v>129.6</v>
      </c>
      <c r="AO408">
        <v>33.4</v>
      </c>
      <c r="AQ408">
        <v>60.6</v>
      </c>
      <c r="AS408">
        <v>57</v>
      </c>
      <c r="AU408">
        <v>31.7</v>
      </c>
      <c r="AW408">
        <v>57</v>
      </c>
      <c r="AY408">
        <v>58.6</v>
      </c>
      <c r="BA408">
        <v>17091.400000000001</v>
      </c>
      <c r="BC408">
        <v>47.8</v>
      </c>
      <c r="BE408">
        <v>573.20000000000005</v>
      </c>
      <c r="BG408">
        <v>31661</v>
      </c>
      <c r="BI408">
        <v>14614</v>
      </c>
      <c r="BK408">
        <v>20807.900000000001</v>
      </c>
      <c r="BM408">
        <v>7955.2</v>
      </c>
      <c r="BO408">
        <v>135082.79999999999</v>
      </c>
      <c r="BQ408">
        <v>860.5</v>
      </c>
      <c r="BS408">
        <v>6888.9</v>
      </c>
      <c r="BU408">
        <v>28938.1</v>
      </c>
      <c r="BW408">
        <v>4743.5</v>
      </c>
      <c r="BY408">
        <v>7318</v>
      </c>
      <c r="CA408">
        <v>769.2</v>
      </c>
      <c r="CC408">
        <v>79.400000000000006</v>
      </c>
      <c r="CE408">
        <v>134.6</v>
      </c>
      <c r="CG408">
        <v>1167.0999999999999</v>
      </c>
      <c r="CI408">
        <v>2267.1</v>
      </c>
      <c r="CK408">
        <v>15134.5</v>
      </c>
      <c r="CM408">
        <v>94.2</v>
      </c>
      <c r="CO408">
        <v>362</v>
      </c>
      <c r="CQ408">
        <v>1855.5</v>
      </c>
      <c r="CS408">
        <v>92177</v>
      </c>
      <c r="CU408">
        <v>3680.5</v>
      </c>
      <c r="CW408">
        <v>8641.9</v>
      </c>
      <c r="CY408">
        <v>995.8</v>
      </c>
      <c r="DA408">
        <v>132901.70000000001</v>
      </c>
      <c r="DC408">
        <v>27</v>
      </c>
      <c r="DE408">
        <v>1823.3</v>
      </c>
      <c r="DG408">
        <v>17.600000000000001</v>
      </c>
      <c r="DI408">
        <v>105.6</v>
      </c>
      <c r="DK408">
        <v>75.099999999999994</v>
      </c>
      <c r="DM408">
        <v>1640.4</v>
      </c>
      <c r="DO408">
        <v>3294.5</v>
      </c>
      <c r="DQ408">
        <v>168.2</v>
      </c>
    </row>
    <row r="409" spans="1:121" x14ac:dyDescent="0.2">
      <c r="D409" t="s">
        <v>63</v>
      </c>
      <c r="G409">
        <v>0.15557000000000001</v>
      </c>
      <c r="H409" t="s">
        <v>75</v>
      </c>
      <c r="I409">
        <v>1.319E-2</v>
      </c>
      <c r="J409" t="s">
        <v>75</v>
      </c>
      <c r="K409">
        <v>2.26532</v>
      </c>
      <c r="L409" t="s">
        <v>75</v>
      </c>
      <c r="M409">
        <v>0.13927</v>
      </c>
      <c r="N409" t="s">
        <v>75</v>
      </c>
      <c r="O409">
        <v>4.8500000000000001E-3</v>
      </c>
      <c r="P409" t="s">
        <v>75</v>
      </c>
      <c r="Q409">
        <v>0.18032000000000001</v>
      </c>
      <c r="R409" t="s">
        <v>75</v>
      </c>
      <c r="S409">
        <v>8.0000000000000004E-4</v>
      </c>
      <c r="T409" t="s">
        <v>75</v>
      </c>
      <c r="U409">
        <v>1.123E-2</v>
      </c>
      <c r="V409" t="s">
        <v>75</v>
      </c>
      <c r="W409">
        <v>0.14185</v>
      </c>
      <c r="X409" t="s">
        <v>75</v>
      </c>
      <c r="Y409">
        <v>1.32063</v>
      </c>
      <c r="Z409" t="s">
        <v>75</v>
      </c>
      <c r="AB409" t="s">
        <v>76</v>
      </c>
      <c r="AC409">
        <v>26.813130000000001</v>
      </c>
      <c r="AD409" t="s">
        <v>75</v>
      </c>
      <c r="AE409">
        <v>144.30015</v>
      </c>
      <c r="AF409" t="s">
        <v>75</v>
      </c>
      <c r="AG409">
        <v>7.8390000000000001E-2</v>
      </c>
      <c r="AH409" t="s">
        <v>75</v>
      </c>
      <c r="AI409">
        <v>5.2517899999999997</v>
      </c>
      <c r="AJ409" t="s">
        <v>75</v>
      </c>
      <c r="AK409">
        <v>9.7400000000000004E-3</v>
      </c>
      <c r="AL409" t="s">
        <v>75</v>
      </c>
      <c r="AM409">
        <v>-2.5000000000000001E-3</v>
      </c>
      <c r="AN409" t="s">
        <v>75</v>
      </c>
      <c r="AO409">
        <v>3.0200000000000001E-3</v>
      </c>
      <c r="AP409" t="s">
        <v>75</v>
      </c>
      <c r="AQ409">
        <v>4.0999999999999999E-4</v>
      </c>
      <c r="AR409" t="s">
        <v>75</v>
      </c>
      <c r="AS409">
        <v>4.2999999999999999E-4</v>
      </c>
      <c r="AT409" t="s">
        <v>75</v>
      </c>
      <c r="AU409">
        <v>1.5399999999999999E-3</v>
      </c>
      <c r="AV409" t="s">
        <v>75</v>
      </c>
      <c r="AW409">
        <v>-1.9000000000000001E-4</v>
      </c>
      <c r="AX409" t="s">
        <v>75</v>
      </c>
      <c r="AY409">
        <v>1.508E-2</v>
      </c>
      <c r="AZ409" t="s">
        <v>75</v>
      </c>
      <c r="BC409">
        <v>-2.0534400000000002</v>
      </c>
      <c r="BD409" t="s">
        <v>75</v>
      </c>
      <c r="BE409">
        <v>2.4E-2</v>
      </c>
      <c r="BF409" t="s">
        <v>75</v>
      </c>
      <c r="BG409">
        <v>8.3190500000000007</v>
      </c>
      <c r="BH409" t="s">
        <v>75</v>
      </c>
      <c r="BI409">
        <v>8.0562100000000001</v>
      </c>
      <c r="BJ409" t="s">
        <v>75</v>
      </c>
      <c r="BK409">
        <v>7.8876099999999996</v>
      </c>
      <c r="BL409" t="s">
        <v>75</v>
      </c>
      <c r="BM409">
        <v>0.76742999999999995</v>
      </c>
      <c r="BN409" t="s">
        <v>75</v>
      </c>
      <c r="BO409">
        <v>386.36248999999998</v>
      </c>
      <c r="BP409" t="s">
        <v>75</v>
      </c>
      <c r="BQ409">
        <v>1.90924</v>
      </c>
      <c r="BR409" t="s">
        <v>75</v>
      </c>
      <c r="BS409">
        <v>8.7223199999999999</v>
      </c>
      <c r="BT409" t="s">
        <v>75</v>
      </c>
      <c r="BU409">
        <v>149.22582</v>
      </c>
      <c r="BV409" t="s">
        <v>75</v>
      </c>
      <c r="BW409">
        <v>120.36114999999999</v>
      </c>
      <c r="BX409" t="s">
        <v>75</v>
      </c>
      <c r="BY409">
        <v>290.73313999999999</v>
      </c>
      <c r="BZ409" t="s">
        <v>75</v>
      </c>
      <c r="CA409">
        <v>41.485469999999999</v>
      </c>
      <c r="CB409" t="s">
        <v>75</v>
      </c>
      <c r="CC409">
        <v>0.15437000000000001</v>
      </c>
      <c r="CD409" t="s">
        <v>75</v>
      </c>
      <c r="CE409">
        <v>9.8300000000000002E-3</v>
      </c>
      <c r="CF409" t="s">
        <v>75</v>
      </c>
      <c r="CG409">
        <v>0.67722000000000004</v>
      </c>
      <c r="CH409" t="s">
        <v>75</v>
      </c>
      <c r="CI409">
        <v>1.56192</v>
      </c>
      <c r="CJ409" t="s">
        <v>75</v>
      </c>
      <c r="CK409">
        <v>48.212519999999998</v>
      </c>
      <c r="CL409" t="s">
        <v>75</v>
      </c>
      <c r="CM409">
        <v>0.24965000000000001</v>
      </c>
      <c r="CN409" t="s">
        <v>75</v>
      </c>
      <c r="CO409">
        <v>0.76719999999999999</v>
      </c>
      <c r="CP409" t="s">
        <v>75</v>
      </c>
      <c r="CQ409">
        <v>5.6954200000000004</v>
      </c>
      <c r="CR409" t="s">
        <v>75</v>
      </c>
      <c r="CS409">
        <v>1975.1095299999999</v>
      </c>
      <c r="CT409" t="s">
        <v>75</v>
      </c>
      <c r="CV409" t="s">
        <v>76</v>
      </c>
      <c r="CW409">
        <v>29.581340000000001</v>
      </c>
      <c r="CX409" t="s">
        <v>75</v>
      </c>
      <c r="DA409">
        <v>652.14440999999999</v>
      </c>
      <c r="DB409" t="s">
        <v>75</v>
      </c>
      <c r="DC409">
        <v>8.9969999999999994E-2</v>
      </c>
      <c r="DD409" t="s">
        <v>75</v>
      </c>
      <c r="DE409">
        <v>133.1172</v>
      </c>
      <c r="DF409" t="s">
        <v>75</v>
      </c>
      <c r="DG409">
        <v>1.24996</v>
      </c>
      <c r="DH409" t="s">
        <v>75</v>
      </c>
      <c r="DI409">
        <v>3.42991</v>
      </c>
      <c r="DJ409" t="s">
        <v>75</v>
      </c>
      <c r="DL409" t="s">
        <v>76</v>
      </c>
      <c r="DN409" t="s">
        <v>76</v>
      </c>
      <c r="DO409">
        <v>31.365600000000001</v>
      </c>
      <c r="DP409" t="s">
        <v>75</v>
      </c>
    </row>
    <row r="410" spans="1:121" x14ac:dyDescent="0.2">
      <c r="D410" t="s">
        <v>64</v>
      </c>
      <c r="G410">
        <v>4.2100000000000002E-3</v>
      </c>
      <c r="H410" t="s">
        <v>75</v>
      </c>
      <c r="I410">
        <v>8.8999999999999995E-4</v>
      </c>
      <c r="J410" t="s">
        <v>75</v>
      </c>
      <c r="K410">
        <v>6.2960000000000002E-2</v>
      </c>
      <c r="L410" t="s">
        <v>75</v>
      </c>
      <c r="M410">
        <v>4.2300000000000003E-3</v>
      </c>
      <c r="N410" t="s">
        <v>75</v>
      </c>
      <c r="O410">
        <v>1E-4</v>
      </c>
      <c r="P410" t="s">
        <v>75</v>
      </c>
      <c r="Q410">
        <v>2.0699999999999998E-3</v>
      </c>
      <c r="R410" t="s">
        <v>75</v>
      </c>
      <c r="S410">
        <v>4.0000000000000003E-5</v>
      </c>
      <c r="T410" t="s">
        <v>75</v>
      </c>
      <c r="U410">
        <v>3.6999999999999999E-4</v>
      </c>
      <c r="V410" t="s">
        <v>75</v>
      </c>
      <c r="W410">
        <v>4.7499999999999999E-3</v>
      </c>
      <c r="X410" t="s">
        <v>75</v>
      </c>
      <c r="Y410">
        <v>4.8750000000000002E-2</v>
      </c>
      <c r="Z410" t="s">
        <v>75</v>
      </c>
      <c r="AC410">
        <v>0.86238999999999999</v>
      </c>
      <c r="AD410" t="s">
        <v>75</v>
      </c>
      <c r="AE410">
        <v>4.8567</v>
      </c>
      <c r="AF410" t="s">
        <v>75</v>
      </c>
      <c r="AG410">
        <v>3.0300000000000001E-3</v>
      </c>
      <c r="AH410" t="s">
        <v>75</v>
      </c>
      <c r="AI410">
        <v>0.15278</v>
      </c>
      <c r="AJ410" t="s">
        <v>75</v>
      </c>
      <c r="AK410">
        <v>6.9999999999999994E-5</v>
      </c>
      <c r="AL410" t="s">
        <v>75</v>
      </c>
      <c r="AM410">
        <v>6.9999999999999994E-5</v>
      </c>
      <c r="AN410" t="s">
        <v>75</v>
      </c>
      <c r="AO410">
        <v>8.0000000000000007E-5</v>
      </c>
      <c r="AP410" t="s">
        <v>75</v>
      </c>
      <c r="AQ410">
        <v>2.9999999999999997E-4</v>
      </c>
      <c r="AR410" t="s">
        <v>75</v>
      </c>
      <c r="AS410">
        <v>2.4000000000000001E-4</v>
      </c>
      <c r="AT410" t="s">
        <v>75</v>
      </c>
      <c r="AU410">
        <v>3.0000000000000001E-5</v>
      </c>
      <c r="AV410" t="s">
        <v>75</v>
      </c>
      <c r="AW410">
        <v>1.2999999999999999E-4</v>
      </c>
      <c r="AX410" t="s">
        <v>75</v>
      </c>
      <c r="AY410">
        <v>8.0000000000000004E-4</v>
      </c>
      <c r="AZ410" t="s">
        <v>75</v>
      </c>
      <c r="BC410">
        <v>1.2999999999999999E-4</v>
      </c>
      <c r="BD410" t="s">
        <v>75</v>
      </c>
      <c r="BE410">
        <v>1.1000000000000001E-3</v>
      </c>
      <c r="BF410" t="s">
        <v>75</v>
      </c>
      <c r="BG410">
        <v>0.30689</v>
      </c>
      <c r="BH410" t="s">
        <v>75</v>
      </c>
      <c r="BI410">
        <v>0.25259999999999999</v>
      </c>
      <c r="BJ410" t="s">
        <v>75</v>
      </c>
      <c r="BK410">
        <v>0.24660000000000001</v>
      </c>
      <c r="BL410" t="s">
        <v>75</v>
      </c>
      <c r="BM410">
        <v>2.3349999999999999E-2</v>
      </c>
      <c r="BN410" t="s">
        <v>75</v>
      </c>
      <c r="BO410">
        <v>4.1954500000000001</v>
      </c>
      <c r="BP410" t="s">
        <v>75</v>
      </c>
      <c r="BQ410">
        <v>1.111E-2</v>
      </c>
      <c r="BR410" t="s">
        <v>75</v>
      </c>
      <c r="BS410">
        <v>2.6939999999999999E-2</v>
      </c>
      <c r="BT410" t="s">
        <v>75</v>
      </c>
      <c r="BU410">
        <v>1.89863</v>
      </c>
      <c r="BV410" t="s">
        <v>75</v>
      </c>
      <c r="BW410">
        <v>3.19259</v>
      </c>
      <c r="BX410" t="s">
        <v>75</v>
      </c>
      <c r="BY410">
        <v>5.4937899999999997</v>
      </c>
      <c r="BZ410" t="s">
        <v>75</v>
      </c>
      <c r="CA410">
        <v>0.35670000000000002</v>
      </c>
      <c r="CB410" t="s">
        <v>75</v>
      </c>
      <c r="CC410">
        <v>1.7919999999999998E-2</v>
      </c>
      <c r="CD410" t="s">
        <v>75</v>
      </c>
      <c r="CE410">
        <v>2.0500000000000002E-3</v>
      </c>
      <c r="CF410" t="s">
        <v>75</v>
      </c>
      <c r="CG410">
        <v>2.4219999999999998E-2</v>
      </c>
      <c r="CH410" t="s">
        <v>75</v>
      </c>
      <c r="CI410">
        <v>4.7239999999999997E-2</v>
      </c>
      <c r="CJ410" t="s">
        <v>75</v>
      </c>
      <c r="CK410">
        <v>0.87472000000000005</v>
      </c>
      <c r="CL410" t="s">
        <v>75</v>
      </c>
      <c r="CM410">
        <v>3.1700000000000001E-3</v>
      </c>
      <c r="CN410" t="s">
        <v>75</v>
      </c>
      <c r="CO410">
        <v>1.7229999999999999E-2</v>
      </c>
      <c r="CP410" t="s">
        <v>75</v>
      </c>
      <c r="CQ410">
        <v>0.12058000000000001</v>
      </c>
      <c r="CR410" t="s">
        <v>75</v>
      </c>
      <c r="CS410">
        <v>40.546959999999999</v>
      </c>
      <c r="CT410" t="s">
        <v>75</v>
      </c>
      <c r="CW410">
        <v>0.46704000000000001</v>
      </c>
      <c r="CX410" t="s">
        <v>75</v>
      </c>
      <c r="DA410">
        <v>13.84811</v>
      </c>
      <c r="DB410" t="s">
        <v>75</v>
      </c>
      <c r="DC410">
        <v>1.3860000000000001E-2</v>
      </c>
      <c r="DD410" t="s">
        <v>75</v>
      </c>
      <c r="DE410">
        <v>0.60755999999999999</v>
      </c>
      <c r="DF410" t="s">
        <v>75</v>
      </c>
      <c r="DG410">
        <v>8.7040000000000006E-2</v>
      </c>
      <c r="DH410" t="s">
        <v>75</v>
      </c>
      <c r="DI410">
        <v>0.24099000000000001</v>
      </c>
      <c r="DJ410" t="s">
        <v>75</v>
      </c>
      <c r="DO410">
        <v>0.87387999999999999</v>
      </c>
      <c r="DP410" t="s">
        <v>75</v>
      </c>
    </row>
    <row r="411" spans="1:121" x14ac:dyDescent="0.2">
      <c r="D411" t="s">
        <v>65</v>
      </c>
      <c r="G411" t="s">
        <v>66</v>
      </c>
      <c r="I411" t="s">
        <v>66</v>
      </c>
      <c r="K411" t="s">
        <v>66</v>
      </c>
      <c r="M411" t="s">
        <v>66</v>
      </c>
      <c r="O411" t="s">
        <v>66</v>
      </c>
      <c r="Q411" t="s">
        <v>66</v>
      </c>
      <c r="S411" t="s">
        <v>66</v>
      </c>
      <c r="U411" t="s">
        <v>66</v>
      </c>
      <c r="W411" t="s">
        <v>66</v>
      </c>
      <c r="Y411" t="s">
        <v>66</v>
      </c>
      <c r="AA411" t="s">
        <v>66</v>
      </c>
      <c r="AC411" t="s">
        <v>66</v>
      </c>
      <c r="AE411" t="s">
        <v>66</v>
      </c>
      <c r="AG411" t="s">
        <v>66</v>
      </c>
      <c r="AI411" t="s">
        <v>66</v>
      </c>
      <c r="AK411" t="s">
        <v>66</v>
      </c>
      <c r="AM411" t="s">
        <v>66</v>
      </c>
      <c r="AO411" t="s">
        <v>66</v>
      </c>
      <c r="AQ411" t="s">
        <v>66</v>
      </c>
      <c r="AS411" t="s">
        <v>66</v>
      </c>
      <c r="AU411" t="s">
        <v>66</v>
      </c>
      <c r="AW411" t="s">
        <v>66</v>
      </c>
      <c r="AY411" t="s">
        <v>66</v>
      </c>
      <c r="BA411" t="s">
        <v>66</v>
      </c>
      <c r="BC411" t="s">
        <v>66</v>
      </c>
      <c r="BE411" t="s">
        <v>66</v>
      </c>
      <c r="BG411" t="s">
        <v>66</v>
      </c>
      <c r="BI411" t="s">
        <v>66</v>
      </c>
      <c r="BK411" t="s">
        <v>66</v>
      </c>
      <c r="BM411" t="s">
        <v>66</v>
      </c>
      <c r="BO411" t="s">
        <v>66</v>
      </c>
      <c r="BQ411" t="s">
        <v>66</v>
      </c>
      <c r="BS411" t="s">
        <v>66</v>
      </c>
      <c r="BU411" t="s">
        <v>66</v>
      </c>
      <c r="BW411" t="s">
        <v>66</v>
      </c>
      <c r="BY411" t="s">
        <v>66</v>
      </c>
      <c r="CA411" t="s">
        <v>66</v>
      </c>
      <c r="CC411" t="s">
        <v>66</v>
      </c>
      <c r="CE411" t="s">
        <v>66</v>
      </c>
      <c r="CG411" t="s">
        <v>66</v>
      </c>
      <c r="CI411" t="s">
        <v>66</v>
      </c>
      <c r="CK411" t="s">
        <v>66</v>
      </c>
      <c r="CM411" t="s">
        <v>66</v>
      </c>
      <c r="CO411" t="s">
        <v>66</v>
      </c>
      <c r="CQ411" t="s">
        <v>66</v>
      </c>
      <c r="CS411" t="s">
        <v>66</v>
      </c>
      <c r="CU411" t="s">
        <v>66</v>
      </c>
      <c r="CW411" t="s">
        <v>66</v>
      </c>
      <c r="CY411" t="s">
        <v>66</v>
      </c>
      <c r="DA411" t="s">
        <v>66</v>
      </c>
      <c r="DC411" t="s">
        <v>66</v>
      </c>
      <c r="DE411" t="s">
        <v>66</v>
      </c>
      <c r="DG411" t="s">
        <v>66</v>
      </c>
      <c r="DI411" t="s">
        <v>66</v>
      </c>
      <c r="DK411" t="s">
        <v>66</v>
      </c>
      <c r="DM411" t="s">
        <v>66</v>
      </c>
      <c r="DO411" t="s">
        <v>66</v>
      </c>
      <c r="DQ411" t="s">
        <v>66</v>
      </c>
    </row>
    <row r="412" spans="1:121" x14ac:dyDescent="0.2">
      <c r="A412" t="s">
        <v>652</v>
      </c>
      <c r="D412" t="s">
        <v>60</v>
      </c>
      <c r="E412" t="s">
        <v>61</v>
      </c>
      <c r="G412">
        <v>41410.1</v>
      </c>
      <c r="I412">
        <v>650.29999999999995</v>
      </c>
      <c r="K412">
        <v>3599894.7</v>
      </c>
      <c r="M412">
        <v>133307.29999999999</v>
      </c>
      <c r="O412">
        <v>1056.8</v>
      </c>
      <c r="Q412">
        <v>36986.1</v>
      </c>
      <c r="S412">
        <v>1992.2</v>
      </c>
      <c r="U412">
        <v>1338.4</v>
      </c>
      <c r="W412">
        <v>149614.29999999999</v>
      </c>
      <c r="Y412">
        <v>154934.9</v>
      </c>
      <c r="AA412">
        <v>10157414.6</v>
      </c>
      <c r="AC412">
        <v>12791786.4</v>
      </c>
      <c r="AE412">
        <v>70699127.700000003</v>
      </c>
      <c r="AG412">
        <v>252951.8</v>
      </c>
      <c r="AI412">
        <v>1062975.7</v>
      </c>
      <c r="AK412">
        <v>30166.9</v>
      </c>
      <c r="AM412">
        <v>3875.7</v>
      </c>
      <c r="AO412">
        <v>415.7</v>
      </c>
      <c r="AQ412">
        <v>288.60000000000002</v>
      </c>
      <c r="AS412">
        <v>290.60000000000002</v>
      </c>
      <c r="AU412">
        <v>244.8</v>
      </c>
      <c r="AW412">
        <v>292.7</v>
      </c>
      <c r="AY412">
        <v>13564</v>
      </c>
      <c r="BA412">
        <v>681519.3</v>
      </c>
      <c r="BC412">
        <v>2068.3000000000002</v>
      </c>
      <c r="BE412">
        <v>49563.8</v>
      </c>
      <c r="BG412">
        <v>4895506.5999999996</v>
      </c>
      <c r="BI412">
        <v>4128709.9</v>
      </c>
      <c r="BK412">
        <v>9965958.4000000004</v>
      </c>
      <c r="BM412">
        <v>2117053.7000000002</v>
      </c>
      <c r="BO412">
        <v>34054736.399999999</v>
      </c>
      <c r="BQ412">
        <v>61915.199999999997</v>
      </c>
      <c r="BS412">
        <v>155755.29999999999</v>
      </c>
      <c r="BU412">
        <v>7002341.2999999998</v>
      </c>
      <c r="BW412">
        <v>377450.7</v>
      </c>
      <c r="BY412">
        <v>2272696.9</v>
      </c>
      <c r="CA412">
        <v>55918.400000000001</v>
      </c>
      <c r="CC412">
        <v>345.4</v>
      </c>
      <c r="CE412">
        <v>569.6</v>
      </c>
      <c r="CG412">
        <v>21800.799999999999</v>
      </c>
      <c r="CI412">
        <v>113758.5</v>
      </c>
      <c r="CK412">
        <v>763469.2</v>
      </c>
      <c r="CM412">
        <v>30207.599999999999</v>
      </c>
      <c r="CO412">
        <v>18326</v>
      </c>
      <c r="CQ412">
        <v>307233.09999999998</v>
      </c>
      <c r="CS412">
        <v>14254102.800000001</v>
      </c>
      <c r="CU412">
        <v>1037415</v>
      </c>
      <c r="CW412">
        <v>1470170.7</v>
      </c>
      <c r="CY412">
        <v>59064.9</v>
      </c>
      <c r="DA412">
        <v>20685292.5</v>
      </c>
      <c r="DC412">
        <v>539.79999999999995</v>
      </c>
      <c r="DE412">
        <v>343421.2</v>
      </c>
      <c r="DG412">
        <v>495.9</v>
      </c>
      <c r="DI412">
        <v>3325.5</v>
      </c>
      <c r="DK412">
        <v>821.3</v>
      </c>
      <c r="DM412">
        <v>272778.09999999998</v>
      </c>
      <c r="DO412">
        <v>345291.4</v>
      </c>
      <c r="DQ412">
        <v>15375.8</v>
      </c>
    </row>
    <row r="413" spans="1:121" x14ac:dyDescent="0.2">
      <c r="D413" t="s">
        <v>62</v>
      </c>
      <c r="E413" t="s">
        <v>61</v>
      </c>
      <c r="G413">
        <v>145.19999999999999</v>
      </c>
      <c r="I413">
        <v>64.7</v>
      </c>
      <c r="K413">
        <v>14929</v>
      </c>
      <c r="M413">
        <v>653.1</v>
      </c>
      <c r="O413">
        <v>66</v>
      </c>
      <c r="Q413">
        <v>316.2</v>
      </c>
      <c r="S413">
        <v>149.9</v>
      </c>
      <c r="U413">
        <v>142.1</v>
      </c>
      <c r="W413">
        <v>2467.3000000000002</v>
      </c>
      <c r="Y413">
        <v>2191.6</v>
      </c>
      <c r="AA413">
        <v>93520.2</v>
      </c>
      <c r="AC413">
        <v>120255.8</v>
      </c>
      <c r="AE413">
        <v>943615.6</v>
      </c>
      <c r="AG413">
        <v>4201.3999999999996</v>
      </c>
      <c r="AI413">
        <v>10417.799999999999</v>
      </c>
      <c r="AK413">
        <v>415.5</v>
      </c>
      <c r="AM413">
        <v>45.2</v>
      </c>
      <c r="AO413">
        <v>65</v>
      </c>
      <c r="AQ413">
        <v>44.5</v>
      </c>
      <c r="AS413">
        <v>27.1</v>
      </c>
      <c r="AU413">
        <v>25.5</v>
      </c>
      <c r="AW413">
        <v>50.8</v>
      </c>
      <c r="AY413">
        <v>422</v>
      </c>
      <c r="BA413">
        <v>7734.8</v>
      </c>
      <c r="BC413">
        <v>64.5</v>
      </c>
      <c r="BE413">
        <v>606.1</v>
      </c>
      <c r="BG413">
        <v>106983.6</v>
      </c>
      <c r="BI413">
        <v>54152.9</v>
      </c>
      <c r="BK413">
        <v>160007.79999999999</v>
      </c>
      <c r="BM413">
        <v>17849</v>
      </c>
      <c r="BO413">
        <v>304366.2</v>
      </c>
      <c r="BQ413">
        <v>645.79999999999995</v>
      </c>
      <c r="BS413">
        <v>2575.9</v>
      </c>
      <c r="BU413">
        <v>39127</v>
      </c>
      <c r="BW413">
        <v>3147.4</v>
      </c>
      <c r="BY413">
        <v>1255.5</v>
      </c>
      <c r="CA413">
        <v>560.6</v>
      </c>
      <c r="CC413">
        <v>22.5</v>
      </c>
      <c r="CE413">
        <v>20.100000000000001</v>
      </c>
      <c r="CG413">
        <v>338.2</v>
      </c>
      <c r="CI413">
        <v>3571.6</v>
      </c>
      <c r="CK413">
        <v>10325.299999999999</v>
      </c>
      <c r="CM413">
        <v>159.6</v>
      </c>
      <c r="CO413">
        <v>901.9</v>
      </c>
      <c r="CQ413">
        <v>3074.6</v>
      </c>
      <c r="CS413">
        <v>165484.4</v>
      </c>
      <c r="CU413">
        <v>2886.3</v>
      </c>
      <c r="CW413">
        <v>7351.2</v>
      </c>
      <c r="CY413">
        <v>101.5</v>
      </c>
      <c r="DA413">
        <v>338845.8</v>
      </c>
      <c r="DC413">
        <v>42.2</v>
      </c>
      <c r="DE413">
        <v>1640.6</v>
      </c>
      <c r="DG413">
        <v>63.7</v>
      </c>
      <c r="DI413">
        <v>74.3</v>
      </c>
      <c r="DK413">
        <v>34.1</v>
      </c>
      <c r="DM413">
        <v>3323.5</v>
      </c>
      <c r="DO413">
        <v>5771.8</v>
      </c>
      <c r="DQ413">
        <v>79.400000000000006</v>
      </c>
    </row>
    <row r="414" spans="1:121" x14ac:dyDescent="0.2">
      <c r="D414" t="s">
        <v>63</v>
      </c>
      <c r="G414">
        <v>0.29287000000000002</v>
      </c>
      <c r="H414" t="s">
        <v>75</v>
      </c>
      <c r="I414">
        <v>9.9399999999999992E-3</v>
      </c>
      <c r="J414" t="s">
        <v>75</v>
      </c>
      <c r="K414">
        <v>4.5511400000000002</v>
      </c>
      <c r="L414" t="s">
        <v>75</v>
      </c>
      <c r="M414">
        <v>0.10052</v>
      </c>
      <c r="N414" t="s">
        <v>75</v>
      </c>
      <c r="O414">
        <v>3.81E-3</v>
      </c>
      <c r="P414" t="s">
        <v>75</v>
      </c>
      <c r="Q414">
        <v>0.25857000000000002</v>
      </c>
      <c r="R414" t="s">
        <v>75</v>
      </c>
      <c r="S414">
        <v>1.0399999999999999E-3</v>
      </c>
      <c r="T414" t="s">
        <v>75</v>
      </c>
      <c r="U414">
        <v>1.115E-2</v>
      </c>
      <c r="V414" t="s">
        <v>75</v>
      </c>
      <c r="W414">
        <v>0.31920999999999999</v>
      </c>
      <c r="X414" t="s">
        <v>75</v>
      </c>
      <c r="Y414">
        <v>2.2885</v>
      </c>
      <c r="Z414" t="s">
        <v>75</v>
      </c>
      <c r="AB414" t="s">
        <v>76</v>
      </c>
      <c r="AC414">
        <v>45.313090000000003</v>
      </c>
      <c r="AD414" t="s">
        <v>75</v>
      </c>
      <c r="AE414">
        <v>263.4717</v>
      </c>
      <c r="AF414" t="s">
        <v>75</v>
      </c>
      <c r="AG414">
        <v>0.1812</v>
      </c>
      <c r="AH414" t="s">
        <v>75</v>
      </c>
      <c r="AI414">
        <v>6.6830999999999996</v>
      </c>
      <c r="AJ414" t="s">
        <v>75</v>
      </c>
      <c r="AK414">
        <v>1.8450000000000001E-2</v>
      </c>
      <c r="AL414" t="s">
        <v>75</v>
      </c>
      <c r="AM414">
        <v>-2.7899999999999999E-3</v>
      </c>
      <c r="AN414" t="s">
        <v>75</v>
      </c>
      <c r="AO414">
        <v>2.9399999999999999E-3</v>
      </c>
      <c r="AP414" t="s">
        <v>75</v>
      </c>
      <c r="AQ414">
        <v>2.7E-4</v>
      </c>
      <c r="AR414" t="s">
        <v>75</v>
      </c>
      <c r="AS414">
        <v>2.5000000000000001E-4</v>
      </c>
      <c r="AT414" t="s">
        <v>75</v>
      </c>
      <c r="AU414">
        <v>1.5100000000000001E-3</v>
      </c>
      <c r="AV414" t="s">
        <v>75</v>
      </c>
      <c r="AW414">
        <v>-1E-4</v>
      </c>
      <c r="AX414" t="s">
        <v>75</v>
      </c>
      <c r="AY414">
        <v>3.3180000000000001E-2</v>
      </c>
      <c r="AZ414" t="s">
        <v>75</v>
      </c>
      <c r="BC414">
        <v>-2.05375</v>
      </c>
      <c r="BD414" t="s">
        <v>75</v>
      </c>
      <c r="BE414">
        <v>4.9639999999999997E-2</v>
      </c>
      <c r="BF414" t="s">
        <v>75</v>
      </c>
      <c r="BG414">
        <v>13.96518</v>
      </c>
      <c r="BH414" t="s">
        <v>75</v>
      </c>
      <c r="BI414">
        <v>13.56038</v>
      </c>
      <c r="BJ414" t="s">
        <v>75</v>
      </c>
      <c r="BK414">
        <v>13.856920000000001</v>
      </c>
      <c r="BL414" t="s">
        <v>75</v>
      </c>
      <c r="BM414">
        <v>1.96946</v>
      </c>
      <c r="BN414" t="s">
        <v>75</v>
      </c>
      <c r="BO414">
        <v>757.23248000000001</v>
      </c>
      <c r="BP414" t="s">
        <v>75</v>
      </c>
      <c r="BQ414">
        <v>1.6955800000000001</v>
      </c>
      <c r="BR414" t="s">
        <v>75</v>
      </c>
      <c r="BS414">
        <v>3.0640800000000001</v>
      </c>
      <c r="BT414" t="s">
        <v>75</v>
      </c>
      <c r="BU414">
        <v>271.88184000000001</v>
      </c>
      <c r="BV414" t="s">
        <v>75</v>
      </c>
      <c r="BW414">
        <v>161.48268999999999</v>
      </c>
      <c r="BX414" t="s">
        <v>75</v>
      </c>
      <c r="BY414">
        <v>636.36689000000001</v>
      </c>
      <c r="BZ414" t="s">
        <v>75</v>
      </c>
      <c r="CA414">
        <v>26.637899999999998</v>
      </c>
      <c r="CB414" t="s">
        <v>75</v>
      </c>
      <c r="CC414">
        <v>6.0130000000000003E-2</v>
      </c>
      <c r="CD414" t="s">
        <v>75</v>
      </c>
      <c r="CE414">
        <v>6.9199999999999999E-3</v>
      </c>
      <c r="CF414" t="s">
        <v>75</v>
      </c>
      <c r="CG414">
        <v>0.35771999999999998</v>
      </c>
      <c r="CH414" t="s">
        <v>75</v>
      </c>
      <c r="CI414">
        <v>1.46949</v>
      </c>
      <c r="CJ414" t="s">
        <v>75</v>
      </c>
      <c r="CK414">
        <v>10.58254</v>
      </c>
      <c r="CL414" t="s">
        <v>75</v>
      </c>
      <c r="CM414">
        <v>0.42605999999999999</v>
      </c>
      <c r="CN414" t="s">
        <v>75</v>
      </c>
      <c r="CO414">
        <v>1.0563800000000001</v>
      </c>
      <c r="CP414" t="s">
        <v>75</v>
      </c>
      <c r="CQ414">
        <v>9.3539700000000003</v>
      </c>
      <c r="CR414" t="s">
        <v>75</v>
      </c>
      <c r="CS414">
        <v>3764.0075299999999</v>
      </c>
      <c r="CT414" t="s">
        <v>75</v>
      </c>
      <c r="CV414" t="s">
        <v>76</v>
      </c>
      <c r="CW414">
        <v>55.067999999999998</v>
      </c>
      <c r="CX414" t="s">
        <v>75</v>
      </c>
      <c r="DA414">
        <v>1307.2309499999999</v>
      </c>
      <c r="DB414" t="s">
        <v>75</v>
      </c>
      <c r="DC414">
        <v>0.25065999999999999</v>
      </c>
      <c r="DD414" t="s">
        <v>75</v>
      </c>
      <c r="DE414">
        <v>164.77811</v>
      </c>
      <c r="DF414" t="s">
        <v>75</v>
      </c>
      <c r="DG414">
        <v>2.7030500000000002</v>
      </c>
      <c r="DH414" t="s">
        <v>75</v>
      </c>
      <c r="DI414">
        <v>5.7570600000000001</v>
      </c>
      <c r="DJ414" t="s">
        <v>75</v>
      </c>
      <c r="DL414" t="s">
        <v>76</v>
      </c>
      <c r="DN414" t="s">
        <v>76</v>
      </c>
      <c r="DO414">
        <v>54.157380000000003</v>
      </c>
      <c r="DP414" t="s">
        <v>75</v>
      </c>
    </row>
    <row r="415" spans="1:121" x14ac:dyDescent="0.2">
      <c r="D415" t="s">
        <v>64</v>
      </c>
      <c r="G415">
        <v>4.2199999999999998E-3</v>
      </c>
      <c r="H415" t="s">
        <v>75</v>
      </c>
      <c r="I415">
        <v>2.16E-3</v>
      </c>
      <c r="J415" t="s">
        <v>75</v>
      </c>
      <c r="K415">
        <v>4.3810000000000002E-2</v>
      </c>
      <c r="L415" t="s">
        <v>75</v>
      </c>
      <c r="M415">
        <v>1.81E-3</v>
      </c>
      <c r="N415" t="s">
        <v>75</v>
      </c>
      <c r="O415">
        <v>6.0000000000000002E-5</v>
      </c>
      <c r="P415" t="s">
        <v>75</v>
      </c>
      <c r="Q415">
        <v>4.1700000000000001E-3</v>
      </c>
      <c r="R415" t="s">
        <v>75</v>
      </c>
      <c r="S415">
        <v>1.2999999999999999E-4</v>
      </c>
      <c r="T415" t="s">
        <v>75</v>
      </c>
      <c r="U415">
        <v>5.9000000000000003E-4</v>
      </c>
      <c r="V415" t="s">
        <v>75</v>
      </c>
      <c r="W415">
        <v>4.5599999999999998E-3</v>
      </c>
      <c r="X415" t="s">
        <v>75</v>
      </c>
      <c r="Y415">
        <v>3.5130000000000002E-2</v>
      </c>
      <c r="Z415" t="s">
        <v>75</v>
      </c>
      <c r="AC415">
        <v>0.91954000000000002</v>
      </c>
      <c r="AD415" t="s">
        <v>75</v>
      </c>
      <c r="AE415">
        <v>6.4533100000000001</v>
      </c>
      <c r="AF415" t="s">
        <v>75</v>
      </c>
      <c r="AG415">
        <v>3.98E-3</v>
      </c>
      <c r="AH415" t="s">
        <v>75</v>
      </c>
      <c r="AI415">
        <v>4.197E-2</v>
      </c>
      <c r="AJ415" t="s">
        <v>75</v>
      </c>
      <c r="AK415">
        <v>2.4000000000000001E-4</v>
      </c>
      <c r="AL415" t="s">
        <v>75</v>
      </c>
      <c r="AM415">
        <v>5.0000000000000002E-5</v>
      </c>
      <c r="AN415" t="s">
        <v>75</v>
      </c>
      <c r="AO415">
        <v>2.5000000000000001E-4</v>
      </c>
      <c r="AP415" t="s">
        <v>75</v>
      </c>
      <c r="AQ415">
        <v>1.8000000000000001E-4</v>
      </c>
      <c r="AR415" t="s">
        <v>75</v>
      </c>
      <c r="AS415">
        <v>1.2E-4</v>
      </c>
      <c r="AT415" t="s">
        <v>75</v>
      </c>
      <c r="AU415">
        <v>2.0000000000000002E-5</v>
      </c>
      <c r="AV415" t="s">
        <v>75</v>
      </c>
      <c r="AW415">
        <v>1.1E-4</v>
      </c>
      <c r="AX415" t="s">
        <v>75</v>
      </c>
      <c r="AY415">
        <v>1.3600000000000001E-3</v>
      </c>
      <c r="AZ415" t="s">
        <v>75</v>
      </c>
      <c r="BC415">
        <v>1.4999999999999999E-4</v>
      </c>
      <c r="BD415" t="s">
        <v>75</v>
      </c>
      <c r="BE415">
        <v>2.0000000000000001E-4</v>
      </c>
      <c r="BF415" t="s">
        <v>75</v>
      </c>
      <c r="BG415">
        <v>0.46250000000000002</v>
      </c>
      <c r="BH415" t="s">
        <v>75</v>
      </c>
      <c r="BI415">
        <v>0.30532999999999999</v>
      </c>
      <c r="BJ415" t="s">
        <v>75</v>
      </c>
      <c r="BK415">
        <v>0.37758000000000003</v>
      </c>
      <c r="BL415" t="s">
        <v>75</v>
      </c>
      <c r="BM415">
        <v>3.8469999999999997E-2</v>
      </c>
      <c r="BN415" t="s">
        <v>75</v>
      </c>
      <c r="BO415">
        <v>6.8583999999999996</v>
      </c>
      <c r="BP415" t="s">
        <v>75</v>
      </c>
      <c r="BQ415">
        <v>2.1129999999999999E-2</v>
      </c>
      <c r="BR415" t="s">
        <v>75</v>
      </c>
      <c r="BS415">
        <v>5.8470000000000001E-2</v>
      </c>
      <c r="BT415" t="s">
        <v>75</v>
      </c>
      <c r="BU415">
        <v>2.0971099999999998</v>
      </c>
      <c r="BV415" t="s">
        <v>75</v>
      </c>
      <c r="BW415">
        <v>1.4110199999999999</v>
      </c>
      <c r="BX415" t="s">
        <v>75</v>
      </c>
      <c r="BY415">
        <v>1.1389</v>
      </c>
      <c r="BZ415" t="s">
        <v>75</v>
      </c>
      <c r="CA415">
        <v>0.25480999999999998</v>
      </c>
      <c r="CB415" t="s">
        <v>75</v>
      </c>
      <c r="CC415">
        <v>4.7099999999999998E-3</v>
      </c>
      <c r="CD415" t="s">
        <v>75</v>
      </c>
      <c r="CE415">
        <v>2.9999999999999997E-4</v>
      </c>
      <c r="CF415" t="s">
        <v>75</v>
      </c>
      <c r="CG415">
        <v>5.1799999999999997E-3</v>
      </c>
      <c r="CH415" t="s">
        <v>75</v>
      </c>
      <c r="CI415">
        <v>4.4970000000000003E-2</v>
      </c>
      <c r="CJ415" t="s">
        <v>75</v>
      </c>
      <c r="CK415">
        <v>0.14121</v>
      </c>
      <c r="CL415" t="s">
        <v>75</v>
      </c>
      <c r="CM415">
        <v>1.6100000000000001E-3</v>
      </c>
      <c r="CN415" t="s">
        <v>75</v>
      </c>
      <c r="CO415">
        <v>5.0259999999999999E-2</v>
      </c>
      <c r="CP415" t="s">
        <v>75</v>
      </c>
      <c r="CQ415">
        <v>7.9339999999999994E-2</v>
      </c>
      <c r="CR415" t="s">
        <v>75</v>
      </c>
      <c r="CS415">
        <v>41.502839999999999</v>
      </c>
      <c r="CT415" t="s">
        <v>75</v>
      </c>
      <c r="CW415">
        <v>0.31470999999999999</v>
      </c>
      <c r="CX415" t="s">
        <v>75</v>
      </c>
      <c r="DA415">
        <v>14.93477</v>
      </c>
      <c r="DB415" t="s">
        <v>75</v>
      </c>
      <c r="DC415">
        <v>2.0660000000000001E-2</v>
      </c>
      <c r="DD415" t="s">
        <v>75</v>
      </c>
      <c r="DE415">
        <v>0.13078000000000001</v>
      </c>
      <c r="DF415" t="s">
        <v>75</v>
      </c>
      <c r="DG415">
        <v>0.34286</v>
      </c>
      <c r="DH415" t="s">
        <v>75</v>
      </c>
      <c r="DI415">
        <v>0.14274999999999999</v>
      </c>
      <c r="DJ415" t="s">
        <v>75</v>
      </c>
      <c r="DO415">
        <v>1.03738</v>
      </c>
      <c r="DP415" t="s">
        <v>75</v>
      </c>
    </row>
    <row r="416" spans="1:121" x14ac:dyDescent="0.2">
      <c r="D416" t="s">
        <v>65</v>
      </c>
      <c r="G416" t="s">
        <v>66</v>
      </c>
      <c r="I416" t="s">
        <v>66</v>
      </c>
      <c r="K416" t="s">
        <v>66</v>
      </c>
      <c r="M416" t="s">
        <v>66</v>
      </c>
      <c r="O416" t="s">
        <v>66</v>
      </c>
      <c r="Q416" t="s">
        <v>66</v>
      </c>
      <c r="S416" t="s">
        <v>66</v>
      </c>
      <c r="U416" t="s">
        <v>66</v>
      </c>
      <c r="W416" t="s">
        <v>66</v>
      </c>
      <c r="Y416" t="s">
        <v>66</v>
      </c>
      <c r="AA416" t="s">
        <v>66</v>
      </c>
      <c r="AC416" t="s">
        <v>66</v>
      </c>
      <c r="AE416" t="s">
        <v>66</v>
      </c>
      <c r="AG416" t="s">
        <v>66</v>
      </c>
      <c r="AI416" t="s">
        <v>66</v>
      </c>
      <c r="AK416" t="s">
        <v>66</v>
      </c>
      <c r="AM416" t="s">
        <v>66</v>
      </c>
      <c r="AO416" t="s">
        <v>66</v>
      </c>
      <c r="AQ416" t="s">
        <v>66</v>
      </c>
      <c r="AS416" t="s">
        <v>66</v>
      </c>
      <c r="AU416" t="s">
        <v>66</v>
      </c>
      <c r="AW416" t="s">
        <v>66</v>
      </c>
      <c r="AY416" t="s">
        <v>66</v>
      </c>
      <c r="BA416" t="s">
        <v>66</v>
      </c>
      <c r="BC416" t="s">
        <v>66</v>
      </c>
      <c r="BE416" t="s">
        <v>66</v>
      </c>
      <c r="BG416" t="s">
        <v>66</v>
      </c>
      <c r="BI416" t="s">
        <v>66</v>
      </c>
      <c r="BK416" t="s">
        <v>66</v>
      </c>
      <c r="BM416" t="s">
        <v>66</v>
      </c>
      <c r="BO416" t="s">
        <v>66</v>
      </c>
      <c r="BQ416" t="s">
        <v>66</v>
      </c>
      <c r="BS416" t="s">
        <v>66</v>
      </c>
      <c r="BU416" t="s">
        <v>66</v>
      </c>
      <c r="BW416" t="s">
        <v>66</v>
      </c>
      <c r="BY416" t="s">
        <v>66</v>
      </c>
      <c r="CA416" t="s">
        <v>66</v>
      </c>
      <c r="CC416" t="s">
        <v>66</v>
      </c>
      <c r="CE416" t="s">
        <v>66</v>
      </c>
      <c r="CG416" t="s">
        <v>66</v>
      </c>
      <c r="CI416" t="s">
        <v>66</v>
      </c>
      <c r="CK416" t="s">
        <v>66</v>
      </c>
      <c r="CM416" t="s">
        <v>66</v>
      </c>
      <c r="CO416" t="s">
        <v>66</v>
      </c>
      <c r="CQ416" t="s">
        <v>66</v>
      </c>
      <c r="CS416" t="s">
        <v>66</v>
      </c>
      <c r="CU416" t="s">
        <v>66</v>
      </c>
      <c r="CW416" t="s">
        <v>66</v>
      </c>
      <c r="CY416" t="s">
        <v>66</v>
      </c>
      <c r="DA416" t="s">
        <v>66</v>
      </c>
      <c r="DC416" t="s">
        <v>66</v>
      </c>
      <c r="DE416" t="s">
        <v>66</v>
      </c>
      <c r="DG416" t="s">
        <v>66</v>
      </c>
      <c r="DI416" t="s">
        <v>66</v>
      </c>
      <c r="DK416" t="s">
        <v>66</v>
      </c>
      <c r="DM416" t="s">
        <v>66</v>
      </c>
      <c r="DO416" t="s">
        <v>66</v>
      </c>
      <c r="DQ416" t="s">
        <v>66</v>
      </c>
    </row>
    <row r="417" spans="1:121" x14ac:dyDescent="0.2">
      <c r="A417" t="s">
        <v>653</v>
      </c>
      <c r="D417" t="s">
        <v>60</v>
      </c>
      <c r="E417" t="s">
        <v>61</v>
      </c>
      <c r="G417">
        <v>153309.5</v>
      </c>
      <c r="I417">
        <v>34867.4</v>
      </c>
      <c r="K417">
        <v>928660</v>
      </c>
      <c r="M417">
        <v>1235056.8</v>
      </c>
      <c r="O417">
        <v>1444776.5</v>
      </c>
      <c r="Q417">
        <v>176475.4</v>
      </c>
      <c r="S417">
        <v>1364133.8</v>
      </c>
      <c r="U417">
        <v>276145.3</v>
      </c>
      <c r="W417">
        <v>551833.5</v>
      </c>
      <c r="Y417">
        <v>78888.800000000003</v>
      </c>
      <c r="AA417">
        <v>3090748.7</v>
      </c>
      <c r="AC417">
        <v>316984.5</v>
      </c>
      <c r="AE417">
        <v>322030.8</v>
      </c>
      <c r="AG417">
        <v>1559009.7</v>
      </c>
      <c r="AI417">
        <v>653542.19999999995</v>
      </c>
      <c r="AK417">
        <v>1775982.5</v>
      </c>
      <c r="AM417">
        <v>1621687.7</v>
      </c>
      <c r="AO417">
        <v>330875.3</v>
      </c>
      <c r="AQ417">
        <v>282835.7</v>
      </c>
      <c r="AS417">
        <v>271226.5</v>
      </c>
      <c r="AU417">
        <v>1923373.3</v>
      </c>
      <c r="AW417">
        <v>511249.3</v>
      </c>
      <c r="AY417">
        <v>383624.3</v>
      </c>
      <c r="BA417">
        <v>699043.1</v>
      </c>
      <c r="BC417">
        <v>298963</v>
      </c>
      <c r="BE417">
        <v>1232832.8</v>
      </c>
      <c r="BG417">
        <v>410366.6</v>
      </c>
      <c r="BI417">
        <v>350196.6</v>
      </c>
      <c r="BK417">
        <v>882420</v>
      </c>
      <c r="BM417">
        <v>1330823.2</v>
      </c>
      <c r="BO417">
        <v>421949.3</v>
      </c>
      <c r="BQ417">
        <v>252529.9</v>
      </c>
      <c r="BS417">
        <v>199108.4</v>
      </c>
      <c r="BU417">
        <v>719822.1</v>
      </c>
      <c r="BW417">
        <v>3714.7</v>
      </c>
      <c r="BY417">
        <v>110506.4</v>
      </c>
      <c r="CA417">
        <v>23035.3</v>
      </c>
      <c r="CC417">
        <v>5625.5</v>
      </c>
      <c r="CE417">
        <v>78374.600000000006</v>
      </c>
      <c r="CG417">
        <v>69692.899999999994</v>
      </c>
      <c r="CI417">
        <v>89383.1</v>
      </c>
      <c r="CK417">
        <v>286695</v>
      </c>
      <c r="CM417">
        <v>81770.100000000006</v>
      </c>
      <c r="CO417">
        <v>18858.5</v>
      </c>
      <c r="CQ417">
        <v>38927.9</v>
      </c>
      <c r="CS417">
        <v>19204.599999999999</v>
      </c>
      <c r="CU417">
        <v>261676.79999999999</v>
      </c>
      <c r="CW417">
        <v>32742.2</v>
      </c>
      <c r="CY417">
        <v>60462.400000000001</v>
      </c>
      <c r="DA417">
        <v>191553.6</v>
      </c>
      <c r="DC417">
        <v>3128.1</v>
      </c>
      <c r="DE417">
        <v>2614.6999999999998</v>
      </c>
      <c r="DG417">
        <v>354.2</v>
      </c>
      <c r="DI417">
        <v>3694.6</v>
      </c>
      <c r="DK417">
        <v>917.6</v>
      </c>
      <c r="DM417">
        <v>70083.399999999994</v>
      </c>
      <c r="DO417">
        <v>7630.9</v>
      </c>
      <c r="DQ417">
        <v>15170</v>
      </c>
    </row>
    <row r="418" spans="1:121" x14ac:dyDescent="0.2">
      <c r="D418" t="s">
        <v>62</v>
      </c>
      <c r="E418" t="s">
        <v>61</v>
      </c>
      <c r="G418">
        <v>751.5</v>
      </c>
      <c r="I418">
        <v>75.3</v>
      </c>
      <c r="K418">
        <v>8617.1</v>
      </c>
      <c r="M418">
        <v>359.4</v>
      </c>
      <c r="O418">
        <v>19968.5</v>
      </c>
      <c r="Q418">
        <v>1946.2</v>
      </c>
      <c r="S418">
        <v>7573.1</v>
      </c>
      <c r="U418">
        <v>2214</v>
      </c>
      <c r="W418">
        <v>2488.5</v>
      </c>
      <c r="Y418">
        <v>910.4</v>
      </c>
      <c r="AA418">
        <v>39306.6</v>
      </c>
      <c r="AC418">
        <v>4082</v>
      </c>
      <c r="AE418">
        <v>1347.3</v>
      </c>
      <c r="AG418">
        <v>17514.3</v>
      </c>
      <c r="AI418">
        <v>10283.299999999999</v>
      </c>
      <c r="AK418">
        <v>29434.9</v>
      </c>
      <c r="AM418">
        <v>42088.6</v>
      </c>
      <c r="AO418">
        <v>5797.6</v>
      </c>
      <c r="AQ418">
        <v>2350.6</v>
      </c>
      <c r="AS418">
        <v>1223</v>
      </c>
      <c r="AU418">
        <v>18658.099999999999</v>
      </c>
      <c r="AW418">
        <v>6376.8</v>
      </c>
      <c r="AY418">
        <v>4819.3999999999996</v>
      </c>
      <c r="BA418">
        <v>6090.7</v>
      </c>
      <c r="BC418">
        <v>2364.8000000000002</v>
      </c>
      <c r="BE418">
        <v>15349.2</v>
      </c>
      <c r="BG418">
        <v>7062.8</v>
      </c>
      <c r="BI418">
        <v>3441.1</v>
      </c>
      <c r="BK418">
        <v>11546.1</v>
      </c>
      <c r="BM418">
        <v>4968.6000000000004</v>
      </c>
      <c r="BO418">
        <v>7228.2</v>
      </c>
      <c r="BQ418">
        <v>1801.2</v>
      </c>
      <c r="BS418">
        <v>1043.8</v>
      </c>
      <c r="BU418">
        <v>5140.3999999999996</v>
      </c>
      <c r="BW418">
        <v>77.400000000000006</v>
      </c>
      <c r="BY418">
        <v>165.2</v>
      </c>
      <c r="CA418">
        <v>93.5</v>
      </c>
      <c r="CC418">
        <v>87.9</v>
      </c>
      <c r="CE418">
        <v>1094.9000000000001</v>
      </c>
      <c r="CG418">
        <v>1541.5</v>
      </c>
      <c r="CI418">
        <v>941.5</v>
      </c>
      <c r="CK418">
        <v>9862.1</v>
      </c>
      <c r="CM418">
        <v>3630.3</v>
      </c>
      <c r="CO418">
        <v>431.8</v>
      </c>
      <c r="CQ418">
        <v>1715.3</v>
      </c>
      <c r="CS418">
        <v>440.9</v>
      </c>
      <c r="CU418">
        <v>6650.4</v>
      </c>
      <c r="CW418">
        <v>317.39999999999998</v>
      </c>
      <c r="CY418">
        <v>561.1</v>
      </c>
      <c r="DA418">
        <v>1116.0999999999999</v>
      </c>
      <c r="DC418">
        <v>59.5</v>
      </c>
      <c r="DE418">
        <v>31.3</v>
      </c>
      <c r="DG418">
        <v>43.3</v>
      </c>
      <c r="DI418">
        <v>90.6</v>
      </c>
      <c r="DK418">
        <v>97.5</v>
      </c>
      <c r="DM418">
        <v>1650.4</v>
      </c>
      <c r="DO418">
        <v>161.5</v>
      </c>
      <c r="DQ418">
        <v>198.9</v>
      </c>
    </row>
    <row r="419" spans="1:121" x14ac:dyDescent="0.2">
      <c r="D419" t="s">
        <v>63</v>
      </c>
      <c r="G419">
        <v>1.14676</v>
      </c>
      <c r="H419" t="s">
        <v>75</v>
      </c>
      <c r="I419">
        <v>1.1691100000000001</v>
      </c>
      <c r="J419" t="s">
        <v>75</v>
      </c>
      <c r="K419">
        <v>1.1419900000000001</v>
      </c>
      <c r="L419" t="s">
        <v>75</v>
      </c>
      <c r="M419">
        <v>1.18266</v>
      </c>
      <c r="N419" t="s">
        <v>75</v>
      </c>
      <c r="O419">
        <v>1.17072</v>
      </c>
      <c r="P419" t="s">
        <v>75</v>
      </c>
      <c r="Q419">
        <v>1.1261000000000001</v>
      </c>
      <c r="R419" t="s">
        <v>75</v>
      </c>
      <c r="S419">
        <v>1.15642</v>
      </c>
      <c r="T419" t="s">
        <v>75</v>
      </c>
      <c r="U419">
        <v>1.1134299999999999</v>
      </c>
      <c r="V419" t="s">
        <v>75</v>
      </c>
      <c r="W419">
        <v>1.13866</v>
      </c>
      <c r="X419" t="s">
        <v>75</v>
      </c>
      <c r="Y419">
        <v>1.1359600000000001</v>
      </c>
      <c r="Z419" t="s">
        <v>75</v>
      </c>
      <c r="AB419" t="s">
        <v>76</v>
      </c>
      <c r="AC419">
        <v>1.13523</v>
      </c>
      <c r="AD419" t="s">
        <v>75</v>
      </c>
      <c r="AE419">
        <v>1.20892</v>
      </c>
      <c r="AF419" t="s">
        <v>75</v>
      </c>
      <c r="AG419">
        <v>1.17072</v>
      </c>
      <c r="AH419" t="s">
        <v>75</v>
      </c>
      <c r="AI419">
        <v>4.0063399999999998</v>
      </c>
      <c r="AJ419" t="s">
        <v>75</v>
      </c>
      <c r="AK419">
        <v>1.1797599999999999</v>
      </c>
      <c r="AL419" t="s">
        <v>75</v>
      </c>
      <c r="AM419">
        <v>1.17605</v>
      </c>
      <c r="AN419" t="s">
        <v>75</v>
      </c>
      <c r="AO419">
        <v>1.1732499999999999</v>
      </c>
      <c r="AP419" t="s">
        <v>75</v>
      </c>
      <c r="AQ419">
        <v>1.1753400000000001</v>
      </c>
      <c r="AR419" t="s">
        <v>75</v>
      </c>
      <c r="AS419">
        <v>1.16675</v>
      </c>
      <c r="AT419" t="s">
        <v>75</v>
      </c>
      <c r="AU419">
        <v>1.22892</v>
      </c>
      <c r="AV419" t="s">
        <v>75</v>
      </c>
      <c r="AW419">
        <v>1.19425</v>
      </c>
      <c r="AX419" t="s">
        <v>75</v>
      </c>
      <c r="AY419">
        <v>1.19024</v>
      </c>
      <c r="AZ419" t="s">
        <v>75</v>
      </c>
      <c r="BC419">
        <v>-1.19224</v>
      </c>
      <c r="BD419" t="s">
        <v>75</v>
      </c>
      <c r="BE419">
        <v>1.1441399999999999</v>
      </c>
      <c r="BF419" t="s">
        <v>75</v>
      </c>
      <c r="BG419">
        <v>1.10541</v>
      </c>
      <c r="BH419" t="s">
        <v>75</v>
      </c>
      <c r="BI419">
        <v>1.1064000000000001</v>
      </c>
      <c r="BJ419" t="s">
        <v>75</v>
      </c>
      <c r="BK419">
        <v>1.1246100000000001</v>
      </c>
      <c r="BL419" t="s">
        <v>75</v>
      </c>
      <c r="BM419">
        <v>1.2030000000000001</v>
      </c>
      <c r="BN419" t="s">
        <v>75</v>
      </c>
      <c r="BO419">
        <v>7.4559100000000003</v>
      </c>
      <c r="BP419" t="s">
        <v>75</v>
      </c>
      <c r="BQ419">
        <v>8.0082299999999993</v>
      </c>
      <c r="BR419" t="s">
        <v>75</v>
      </c>
      <c r="BS419">
        <v>3.94123</v>
      </c>
      <c r="BT419" t="s">
        <v>75</v>
      </c>
      <c r="BU419">
        <v>8.8891100000000005</v>
      </c>
      <c r="BV419" t="s">
        <v>75</v>
      </c>
      <c r="BW419">
        <v>1.30315</v>
      </c>
      <c r="BX419" t="s">
        <v>75</v>
      </c>
      <c r="BY419">
        <v>22.484549999999999</v>
      </c>
      <c r="BZ419" t="s">
        <v>75</v>
      </c>
      <c r="CA419">
        <v>8.5654599999999999</v>
      </c>
      <c r="CB419" t="s">
        <v>75</v>
      </c>
      <c r="CC419">
        <v>1.1694800000000001</v>
      </c>
      <c r="CD419" t="s">
        <v>75</v>
      </c>
      <c r="CE419">
        <v>1.14964</v>
      </c>
      <c r="CF419" t="s">
        <v>75</v>
      </c>
      <c r="CG419">
        <v>1.1542399999999999</v>
      </c>
      <c r="CH419" t="s">
        <v>75</v>
      </c>
      <c r="CI419">
        <v>1.12141</v>
      </c>
      <c r="CJ419" t="s">
        <v>75</v>
      </c>
      <c r="CK419">
        <v>3.67442</v>
      </c>
      <c r="CL419" t="s">
        <v>75</v>
      </c>
      <c r="CM419">
        <v>1.1385000000000001</v>
      </c>
      <c r="CN419" t="s">
        <v>75</v>
      </c>
      <c r="CO419">
        <v>1.0621400000000001</v>
      </c>
      <c r="CP419" t="s">
        <v>75</v>
      </c>
      <c r="CQ419">
        <v>1.1342099999999999</v>
      </c>
      <c r="CR419" t="s">
        <v>75</v>
      </c>
      <c r="CS419">
        <v>4.85609</v>
      </c>
      <c r="CT419" t="s">
        <v>75</v>
      </c>
      <c r="CV419" t="s">
        <v>76</v>
      </c>
      <c r="CW419">
        <v>1.17292</v>
      </c>
      <c r="CX419" t="s">
        <v>75</v>
      </c>
      <c r="DA419">
        <v>12.045629999999999</v>
      </c>
      <c r="DB419" t="s">
        <v>75</v>
      </c>
      <c r="DC419">
        <v>1.47725</v>
      </c>
      <c r="DD419" t="s">
        <v>75</v>
      </c>
      <c r="DE419">
        <v>1.2537</v>
      </c>
      <c r="DF419" t="s">
        <v>75</v>
      </c>
      <c r="DG419">
        <v>1.9424399999999999</v>
      </c>
      <c r="DH419" t="s">
        <v>75</v>
      </c>
      <c r="DI419">
        <v>6.5358700000000001</v>
      </c>
      <c r="DJ419" t="s">
        <v>75</v>
      </c>
      <c r="DL419" t="s">
        <v>76</v>
      </c>
      <c r="DN419" t="s">
        <v>76</v>
      </c>
      <c r="DO419">
        <v>1.2053400000000001</v>
      </c>
      <c r="DP419" t="s">
        <v>75</v>
      </c>
    </row>
    <row r="420" spans="1:121" x14ac:dyDescent="0.2">
      <c r="D420" t="s">
        <v>64</v>
      </c>
      <c r="G420">
        <v>1.6150000000000001E-2</v>
      </c>
      <c r="H420" t="s">
        <v>75</v>
      </c>
      <c r="I420">
        <v>9.0699999999999999E-3</v>
      </c>
      <c r="J420" t="s">
        <v>75</v>
      </c>
      <c r="K420">
        <v>1.448E-2</v>
      </c>
      <c r="L420" t="s">
        <v>75</v>
      </c>
      <c r="M420">
        <v>1.099E-2</v>
      </c>
      <c r="N420" t="s">
        <v>75</v>
      </c>
      <c r="O420">
        <v>7.0299999999999998E-3</v>
      </c>
      <c r="P420" t="s">
        <v>75</v>
      </c>
      <c r="Q420">
        <v>2.1420000000000002E-2</v>
      </c>
      <c r="R420" t="s">
        <v>75</v>
      </c>
      <c r="S420">
        <v>1.451E-2</v>
      </c>
      <c r="T420" t="s">
        <v>75</v>
      </c>
      <c r="U420">
        <v>2.7499999999999998E-3</v>
      </c>
      <c r="V420" t="s">
        <v>75</v>
      </c>
      <c r="W420">
        <v>5.7999999999999996E-3</v>
      </c>
      <c r="X420" t="s">
        <v>75</v>
      </c>
      <c r="Y420">
        <v>4.6100000000000004E-3</v>
      </c>
      <c r="Z420" t="s">
        <v>75</v>
      </c>
      <c r="AC420">
        <v>5.0099999999999997E-3</v>
      </c>
      <c r="AD420" t="s">
        <v>75</v>
      </c>
      <c r="AE420">
        <v>1.282E-2</v>
      </c>
      <c r="AF420" t="s">
        <v>75</v>
      </c>
      <c r="AG420">
        <v>2.2329999999999999E-2</v>
      </c>
      <c r="AH420" t="s">
        <v>75</v>
      </c>
      <c r="AI420">
        <v>9.4399999999999998E-2</v>
      </c>
      <c r="AJ420" t="s">
        <v>75</v>
      </c>
      <c r="AK420">
        <v>2.7560000000000001E-2</v>
      </c>
      <c r="AL420" t="s">
        <v>75</v>
      </c>
      <c r="AM420">
        <v>3.9629999999999999E-2</v>
      </c>
      <c r="AN420" t="s">
        <v>75</v>
      </c>
      <c r="AO420">
        <v>3.048E-2</v>
      </c>
      <c r="AP420" t="s">
        <v>75</v>
      </c>
      <c r="AQ420">
        <v>1.721E-2</v>
      </c>
      <c r="AR420" t="s">
        <v>75</v>
      </c>
      <c r="AS420">
        <v>1.542E-2</v>
      </c>
      <c r="AT420" t="s">
        <v>75</v>
      </c>
      <c r="AU420">
        <v>2.256E-2</v>
      </c>
      <c r="AV420" t="s">
        <v>75</v>
      </c>
      <c r="AW420">
        <v>2.3539999999999998E-2</v>
      </c>
      <c r="AX420" t="s">
        <v>75</v>
      </c>
      <c r="AY420">
        <v>1.9939999999999999E-2</v>
      </c>
      <c r="AZ420" t="s">
        <v>75</v>
      </c>
      <c r="BC420">
        <v>9.0200000000000002E-3</v>
      </c>
      <c r="BD420" t="s">
        <v>75</v>
      </c>
      <c r="BE420">
        <v>1.227E-2</v>
      </c>
      <c r="BF420" t="s">
        <v>75</v>
      </c>
      <c r="BG420">
        <v>2.026E-2</v>
      </c>
      <c r="BH420" t="s">
        <v>75</v>
      </c>
      <c r="BI420">
        <v>8.2100000000000003E-3</v>
      </c>
      <c r="BJ420" t="s">
        <v>75</v>
      </c>
      <c r="BK420">
        <v>6.94E-3</v>
      </c>
      <c r="BL420" t="s">
        <v>75</v>
      </c>
      <c r="BM420">
        <v>6.11E-3</v>
      </c>
      <c r="BN420" t="s">
        <v>75</v>
      </c>
      <c r="BO420">
        <v>0.11859</v>
      </c>
      <c r="BP420" t="s">
        <v>75</v>
      </c>
      <c r="BQ420">
        <v>3.7990000000000003E-2</v>
      </c>
      <c r="BR420" t="s">
        <v>75</v>
      </c>
      <c r="BS420">
        <v>6.3799999999999996E-2</v>
      </c>
      <c r="BT420" t="s">
        <v>75</v>
      </c>
      <c r="BU420">
        <v>0.48115000000000002</v>
      </c>
      <c r="BV420" t="s">
        <v>75</v>
      </c>
      <c r="BW420">
        <v>2.002E-2</v>
      </c>
      <c r="BX420" t="s">
        <v>75</v>
      </c>
      <c r="BY420">
        <v>0.24654999999999999</v>
      </c>
      <c r="BZ420" t="s">
        <v>75</v>
      </c>
      <c r="CA420">
        <v>8.8340000000000002E-2</v>
      </c>
      <c r="CB420" t="s">
        <v>75</v>
      </c>
      <c r="CC420">
        <v>8.9200000000000008E-3</v>
      </c>
      <c r="CD420" t="s">
        <v>75</v>
      </c>
      <c r="CE420">
        <v>5.8999999999999999E-3</v>
      </c>
      <c r="CF420" t="s">
        <v>75</v>
      </c>
      <c r="CG420">
        <v>3.6609999999999997E-2</v>
      </c>
      <c r="CH420" t="s">
        <v>75</v>
      </c>
      <c r="CI420">
        <v>2.1250000000000002E-2</v>
      </c>
      <c r="CJ420" t="s">
        <v>75</v>
      </c>
      <c r="CK420">
        <v>0.17405000000000001</v>
      </c>
      <c r="CL420" t="s">
        <v>75</v>
      </c>
      <c r="CM420">
        <v>6.0720000000000003E-2</v>
      </c>
      <c r="CN420" t="s">
        <v>75</v>
      </c>
      <c r="CO420">
        <v>3.3919999999999999E-2</v>
      </c>
      <c r="CP420" t="s">
        <v>75</v>
      </c>
      <c r="CQ420">
        <v>6.2170000000000003E-2</v>
      </c>
      <c r="CR420" t="s">
        <v>75</v>
      </c>
      <c r="CS420">
        <v>0.15773999999999999</v>
      </c>
      <c r="CT420" t="s">
        <v>75</v>
      </c>
      <c r="CW420">
        <v>5.0699999999999999E-3</v>
      </c>
      <c r="CX420" t="s">
        <v>75</v>
      </c>
      <c r="DA420">
        <v>0.1008</v>
      </c>
      <c r="DB420" t="s">
        <v>75</v>
      </c>
      <c r="DC420">
        <v>3.5720000000000002E-2</v>
      </c>
      <c r="DD420" t="s">
        <v>75</v>
      </c>
      <c r="DE420">
        <v>3.1119999999999998E-2</v>
      </c>
      <c r="DF420" t="s">
        <v>75</v>
      </c>
      <c r="DG420">
        <v>0.26618999999999998</v>
      </c>
      <c r="DH420" t="s">
        <v>75</v>
      </c>
      <c r="DI420">
        <v>0.24734999999999999</v>
      </c>
      <c r="DJ420" t="s">
        <v>75</v>
      </c>
      <c r="DO420">
        <v>3.687E-2</v>
      </c>
      <c r="DP420" t="s">
        <v>75</v>
      </c>
    </row>
    <row r="421" spans="1:121" x14ac:dyDescent="0.2">
      <c r="D421" t="s">
        <v>65</v>
      </c>
      <c r="G421" t="s">
        <v>66</v>
      </c>
      <c r="I421" t="s">
        <v>66</v>
      </c>
      <c r="K421" t="s">
        <v>66</v>
      </c>
      <c r="M421" t="s">
        <v>66</v>
      </c>
      <c r="O421" t="s">
        <v>66</v>
      </c>
      <c r="Q421" t="s">
        <v>66</v>
      </c>
      <c r="S421" t="s">
        <v>66</v>
      </c>
      <c r="U421" t="s">
        <v>66</v>
      </c>
      <c r="W421" t="s">
        <v>66</v>
      </c>
      <c r="Y421" t="s">
        <v>66</v>
      </c>
      <c r="AA421" t="s">
        <v>66</v>
      </c>
      <c r="AC421" t="s">
        <v>66</v>
      </c>
      <c r="AE421" t="s">
        <v>66</v>
      </c>
      <c r="AG421" t="s">
        <v>66</v>
      </c>
      <c r="AI421" t="s">
        <v>66</v>
      </c>
      <c r="AK421" t="s">
        <v>66</v>
      </c>
      <c r="AM421" t="s">
        <v>66</v>
      </c>
      <c r="AO421" t="s">
        <v>66</v>
      </c>
      <c r="AQ421" t="s">
        <v>66</v>
      </c>
      <c r="AS421" t="s">
        <v>66</v>
      </c>
      <c r="AU421" t="s">
        <v>66</v>
      </c>
      <c r="AW421" t="s">
        <v>66</v>
      </c>
      <c r="AY421" t="s">
        <v>66</v>
      </c>
      <c r="BA421" t="s">
        <v>66</v>
      </c>
      <c r="BC421" t="s">
        <v>66</v>
      </c>
      <c r="BE421" t="s">
        <v>66</v>
      </c>
      <c r="BG421" t="s">
        <v>66</v>
      </c>
      <c r="BI421" t="s">
        <v>66</v>
      </c>
      <c r="BK421" t="s">
        <v>66</v>
      </c>
      <c r="BM421" t="s">
        <v>66</v>
      </c>
      <c r="BO421" t="s">
        <v>66</v>
      </c>
      <c r="BQ421" t="s">
        <v>66</v>
      </c>
      <c r="BS421" t="s">
        <v>66</v>
      </c>
      <c r="BU421" t="s">
        <v>66</v>
      </c>
      <c r="BW421" t="s">
        <v>66</v>
      </c>
      <c r="BY421" t="s">
        <v>66</v>
      </c>
      <c r="CA421" t="s">
        <v>66</v>
      </c>
      <c r="CC421" t="s">
        <v>66</v>
      </c>
      <c r="CE421" t="s">
        <v>66</v>
      </c>
      <c r="CG421" t="s">
        <v>66</v>
      </c>
      <c r="CI421" t="s">
        <v>66</v>
      </c>
      <c r="CK421" t="s">
        <v>66</v>
      </c>
      <c r="CM421" t="s">
        <v>66</v>
      </c>
      <c r="CO421" t="s">
        <v>66</v>
      </c>
      <c r="CQ421" t="s">
        <v>66</v>
      </c>
      <c r="CS421" t="s">
        <v>66</v>
      </c>
      <c r="CU421" t="s">
        <v>66</v>
      </c>
      <c r="CW421" t="s">
        <v>66</v>
      </c>
      <c r="CY421" t="s">
        <v>66</v>
      </c>
      <c r="DA421" t="s">
        <v>66</v>
      </c>
      <c r="DC421" t="s">
        <v>66</v>
      </c>
      <c r="DE421" t="s">
        <v>66</v>
      </c>
      <c r="DG421" t="s">
        <v>66</v>
      </c>
      <c r="DI421" t="s">
        <v>66</v>
      </c>
      <c r="DK421" t="s">
        <v>66</v>
      </c>
      <c r="DM421" t="s">
        <v>66</v>
      </c>
      <c r="DO421" t="s">
        <v>66</v>
      </c>
      <c r="DQ421" t="s">
        <v>66</v>
      </c>
    </row>
    <row r="422" spans="1:121" x14ac:dyDescent="0.2">
      <c r="A422" t="s">
        <v>654</v>
      </c>
      <c r="D422" t="s">
        <v>60</v>
      </c>
      <c r="E422" t="s">
        <v>61</v>
      </c>
      <c r="G422">
        <v>9916.9</v>
      </c>
      <c r="I422">
        <v>749</v>
      </c>
      <c r="K422">
        <v>10039.6</v>
      </c>
      <c r="M422">
        <v>30090.400000000001</v>
      </c>
      <c r="O422">
        <v>243.8</v>
      </c>
      <c r="Q422">
        <v>605.4</v>
      </c>
      <c r="S422">
        <v>1631.4</v>
      </c>
      <c r="U422">
        <v>1396.8</v>
      </c>
      <c r="W422">
        <v>1879.6</v>
      </c>
      <c r="Y422">
        <v>55.2</v>
      </c>
      <c r="AA422">
        <v>2951892</v>
      </c>
      <c r="AC422">
        <v>2523</v>
      </c>
      <c r="AE422">
        <v>7358.4</v>
      </c>
      <c r="AG422">
        <v>2484.5</v>
      </c>
      <c r="AI422">
        <v>5646.7</v>
      </c>
      <c r="AK422">
        <v>431.3</v>
      </c>
      <c r="AM422">
        <v>292.7</v>
      </c>
      <c r="AO422">
        <v>128.1</v>
      </c>
      <c r="AQ422">
        <v>419.9</v>
      </c>
      <c r="AS422">
        <v>274</v>
      </c>
      <c r="AU422">
        <v>377.2</v>
      </c>
      <c r="AW422">
        <v>150</v>
      </c>
      <c r="AY422">
        <v>1907.8</v>
      </c>
      <c r="BA422">
        <v>673316.9</v>
      </c>
      <c r="BC422">
        <v>2420.8000000000002</v>
      </c>
      <c r="BE422">
        <v>388.6</v>
      </c>
      <c r="BG422">
        <v>575.20000000000005</v>
      </c>
      <c r="BI422">
        <v>580.4</v>
      </c>
      <c r="BK422">
        <v>1336.3</v>
      </c>
      <c r="BM422">
        <v>941.1</v>
      </c>
      <c r="BO422">
        <v>41223.5</v>
      </c>
      <c r="BQ422">
        <v>8776.1</v>
      </c>
      <c r="BS422">
        <v>12788.1</v>
      </c>
      <c r="BU422">
        <v>483557.5</v>
      </c>
      <c r="BW422">
        <v>552</v>
      </c>
      <c r="BY422">
        <v>24302.400000000001</v>
      </c>
      <c r="CA422">
        <v>7724.6</v>
      </c>
      <c r="CC422">
        <v>23.1</v>
      </c>
      <c r="CE422">
        <v>154.6</v>
      </c>
      <c r="CG422">
        <v>574.20000000000005</v>
      </c>
      <c r="CI422">
        <v>149.1</v>
      </c>
      <c r="CK422">
        <v>2543.9</v>
      </c>
      <c r="CM422">
        <v>49.1</v>
      </c>
      <c r="CO422">
        <v>124.1</v>
      </c>
      <c r="CQ422">
        <v>303.7</v>
      </c>
      <c r="CS422">
        <v>589.1</v>
      </c>
      <c r="CU422">
        <v>257137.8</v>
      </c>
      <c r="CW422">
        <v>246.8</v>
      </c>
      <c r="CY422">
        <v>59704</v>
      </c>
      <c r="DA422">
        <v>27586.1</v>
      </c>
      <c r="DC422">
        <v>2.2999999999999998</v>
      </c>
      <c r="DE422">
        <v>107.8</v>
      </c>
      <c r="DG422">
        <v>157.80000000000001</v>
      </c>
      <c r="DI422">
        <v>2451.1999999999998</v>
      </c>
      <c r="DK422">
        <v>909.3</v>
      </c>
      <c r="DM422">
        <v>68307.899999999994</v>
      </c>
      <c r="DO422">
        <v>63.9</v>
      </c>
      <c r="DQ422">
        <v>15102.2</v>
      </c>
    </row>
    <row r="423" spans="1:121" x14ac:dyDescent="0.2">
      <c r="D423" t="s">
        <v>62</v>
      </c>
      <c r="E423" t="s">
        <v>61</v>
      </c>
      <c r="G423">
        <v>163.69999999999999</v>
      </c>
      <c r="I423">
        <v>87.7</v>
      </c>
      <c r="K423">
        <v>186.8</v>
      </c>
      <c r="M423">
        <v>542</v>
      </c>
      <c r="O423">
        <v>25.6</v>
      </c>
      <c r="Q423">
        <v>53.9</v>
      </c>
      <c r="S423">
        <v>153.69999999999999</v>
      </c>
      <c r="U423">
        <v>368</v>
      </c>
      <c r="W423">
        <v>377.5</v>
      </c>
      <c r="Y423">
        <v>30.7</v>
      </c>
      <c r="AA423">
        <v>43941.2</v>
      </c>
      <c r="AC423">
        <v>24</v>
      </c>
      <c r="AE423">
        <v>88.2</v>
      </c>
      <c r="AG423">
        <v>34.5</v>
      </c>
      <c r="AI423">
        <v>219.6</v>
      </c>
      <c r="AK423">
        <v>78.7</v>
      </c>
      <c r="AM423">
        <v>82.8</v>
      </c>
      <c r="AO423">
        <v>63.2</v>
      </c>
      <c r="AQ423">
        <v>3.6</v>
      </c>
      <c r="AS423">
        <v>10</v>
      </c>
      <c r="AU423">
        <v>113.1</v>
      </c>
      <c r="AW423">
        <v>30.1</v>
      </c>
      <c r="AY423">
        <v>157.6</v>
      </c>
      <c r="BA423">
        <v>18629.599999999999</v>
      </c>
      <c r="BC423">
        <v>76.900000000000006</v>
      </c>
      <c r="BE423">
        <v>7.9</v>
      </c>
      <c r="BG423">
        <v>84.6</v>
      </c>
      <c r="BI423">
        <v>30.1</v>
      </c>
      <c r="BK423">
        <v>46.9</v>
      </c>
      <c r="BM423">
        <v>100.7</v>
      </c>
      <c r="BO423">
        <v>714</v>
      </c>
      <c r="BQ423">
        <v>116.8</v>
      </c>
      <c r="BS423">
        <v>286</v>
      </c>
      <c r="BU423">
        <v>1362.7</v>
      </c>
      <c r="BW423">
        <v>30.6</v>
      </c>
      <c r="BY423">
        <v>314.5</v>
      </c>
      <c r="CA423">
        <v>172.3</v>
      </c>
      <c r="CC423">
        <v>18.5</v>
      </c>
      <c r="CE423">
        <v>7</v>
      </c>
      <c r="CG423">
        <v>27</v>
      </c>
      <c r="CI423">
        <v>4.2</v>
      </c>
      <c r="CK423">
        <v>96.7</v>
      </c>
      <c r="CM423">
        <v>7</v>
      </c>
      <c r="CO423">
        <v>35.799999999999997</v>
      </c>
      <c r="CQ423">
        <v>58.9</v>
      </c>
      <c r="CS423">
        <v>28.9</v>
      </c>
      <c r="CU423">
        <v>1863.2</v>
      </c>
      <c r="CW423">
        <v>40.799999999999997</v>
      </c>
      <c r="CY423">
        <v>1130</v>
      </c>
      <c r="DA423">
        <v>1102.0999999999999</v>
      </c>
      <c r="DC423">
        <v>4</v>
      </c>
      <c r="DE423">
        <v>56.8</v>
      </c>
      <c r="DG423">
        <v>6.9</v>
      </c>
      <c r="DI423">
        <v>98</v>
      </c>
      <c r="DK423">
        <v>55.4</v>
      </c>
      <c r="DM423">
        <v>1026.5</v>
      </c>
      <c r="DO423">
        <v>5.9</v>
      </c>
      <c r="DQ423">
        <v>463.1</v>
      </c>
    </row>
    <row r="424" spans="1:121" x14ac:dyDescent="0.2">
      <c r="D424" t="s">
        <v>63</v>
      </c>
      <c r="G424">
        <v>4.4979999999999999E-2</v>
      </c>
      <c r="H424" t="s">
        <v>75</v>
      </c>
      <c r="I424">
        <v>1.372E-2</v>
      </c>
      <c r="J424" t="s">
        <v>75</v>
      </c>
      <c r="K424">
        <v>9.3799999999999994E-3</v>
      </c>
      <c r="L424" t="s">
        <v>75</v>
      </c>
      <c r="M424">
        <v>-3.4199999999999999E-3</v>
      </c>
      <c r="N424" t="s">
        <v>75</v>
      </c>
      <c r="O424">
        <v>3.13E-3</v>
      </c>
      <c r="P424" t="s">
        <v>75</v>
      </c>
      <c r="Q424">
        <v>2.494E-2</v>
      </c>
      <c r="R424" t="s">
        <v>75</v>
      </c>
      <c r="S424">
        <v>7.5000000000000002E-4</v>
      </c>
      <c r="T424" t="s">
        <v>75</v>
      </c>
      <c r="U424">
        <v>1.1480000000000001E-2</v>
      </c>
      <c r="V424" t="s">
        <v>75</v>
      </c>
      <c r="W424">
        <v>7.5700000000000003E-3</v>
      </c>
      <c r="X424" t="s">
        <v>75</v>
      </c>
      <c r="Y424">
        <v>8.3000000000000001E-4</v>
      </c>
      <c r="Z424" t="s">
        <v>75</v>
      </c>
      <c r="AB424" t="s">
        <v>76</v>
      </c>
      <c r="AC424">
        <v>5.0750000000000003E-2</v>
      </c>
      <c r="AD424" t="s">
        <v>75</v>
      </c>
      <c r="AE424">
        <v>6.6989999999999994E-2</v>
      </c>
      <c r="AF424" t="s">
        <v>75</v>
      </c>
      <c r="AG424">
        <v>-1.439E-2</v>
      </c>
      <c r="AH424" t="s">
        <v>75</v>
      </c>
      <c r="AI424">
        <v>3.5970000000000002E-2</v>
      </c>
      <c r="AJ424" t="s">
        <v>75</v>
      </c>
      <c r="AK424">
        <v>-1.8500000000000001E-3</v>
      </c>
      <c r="AL424" t="s">
        <v>75</v>
      </c>
      <c r="AM424">
        <v>-5.4599999999999996E-3</v>
      </c>
      <c r="AN424" t="s">
        <v>75</v>
      </c>
      <c r="AO424">
        <v>1.9E-3</v>
      </c>
      <c r="AP424" t="s">
        <v>75</v>
      </c>
      <c r="AQ424">
        <v>8.5999999999999998E-4</v>
      </c>
      <c r="AR424" t="s">
        <v>75</v>
      </c>
      <c r="AS424">
        <v>1.9000000000000001E-4</v>
      </c>
      <c r="AT424" t="s">
        <v>75</v>
      </c>
      <c r="AU424">
        <v>1.6000000000000001E-3</v>
      </c>
      <c r="AV424" t="s">
        <v>75</v>
      </c>
      <c r="AW424">
        <v>-4.2999999999999999E-4</v>
      </c>
      <c r="AX424" t="s">
        <v>75</v>
      </c>
      <c r="AY424">
        <v>-4.1599999999999996E-3</v>
      </c>
      <c r="AZ424" t="s">
        <v>75</v>
      </c>
      <c r="BC424">
        <v>-2.05261</v>
      </c>
      <c r="BD424" t="s">
        <v>75</v>
      </c>
      <c r="BE424">
        <v>2.9399999999999999E-3</v>
      </c>
      <c r="BF424" t="s">
        <v>75</v>
      </c>
      <c r="BG424">
        <v>-3.7139999999999999E-2</v>
      </c>
      <c r="BH424" t="s">
        <v>75</v>
      </c>
      <c r="BI424">
        <v>-1.4189999999999999E-2</v>
      </c>
      <c r="BJ424" t="s">
        <v>75</v>
      </c>
      <c r="BK424">
        <v>-4.616E-2</v>
      </c>
      <c r="BL424" t="s">
        <v>75</v>
      </c>
      <c r="BM424">
        <v>-9.11E-3</v>
      </c>
      <c r="BN424" t="s">
        <v>75</v>
      </c>
      <c r="BO424">
        <v>-0.82150000000000001</v>
      </c>
      <c r="BP424" t="s">
        <v>75</v>
      </c>
      <c r="BQ424">
        <v>-0.12296</v>
      </c>
      <c r="BR424" t="s">
        <v>75</v>
      </c>
      <c r="BS424">
        <v>-0.17366999999999999</v>
      </c>
      <c r="BT424" t="s">
        <v>75</v>
      </c>
      <c r="BU424">
        <v>-0.49414000000000002</v>
      </c>
      <c r="BV424" t="s">
        <v>75</v>
      </c>
      <c r="BW424">
        <v>-1.7770000000000001E-2</v>
      </c>
      <c r="BX424" t="s">
        <v>75</v>
      </c>
      <c r="BY424">
        <v>-1.3102199999999999</v>
      </c>
      <c r="BZ424" t="s">
        <v>75</v>
      </c>
      <c r="CA424">
        <v>0.52871000000000001</v>
      </c>
      <c r="CB424" t="s">
        <v>75</v>
      </c>
      <c r="CC424">
        <v>-9.3100000000000006E-3</v>
      </c>
      <c r="CD424" t="s">
        <v>75</v>
      </c>
      <c r="CE424">
        <v>6.6E-4</v>
      </c>
      <c r="CF424" t="s">
        <v>75</v>
      </c>
      <c r="CG424">
        <v>-7.5799999999999999E-3</v>
      </c>
      <c r="CH424" t="s">
        <v>75</v>
      </c>
      <c r="CI424">
        <v>-2.6769999999999999E-2</v>
      </c>
      <c r="CJ424" t="s">
        <v>75</v>
      </c>
      <c r="CK424">
        <v>-0.29365999999999998</v>
      </c>
      <c r="CL424" t="s">
        <v>75</v>
      </c>
      <c r="CM424">
        <v>-6.2899999999999996E-3</v>
      </c>
      <c r="CN424" t="s">
        <v>75</v>
      </c>
      <c r="CO424">
        <v>1.7319999999999999E-2</v>
      </c>
      <c r="CP424" t="s">
        <v>75</v>
      </c>
      <c r="CQ424">
        <v>-1.8180000000000002E-2</v>
      </c>
      <c r="CR424" t="s">
        <v>75</v>
      </c>
      <c r="CS424">
        <v>5.484E-2</v>
      </c>
      <c r="CT424" t="s">
        <v>75</v>
      </c>
      <c r="CV424" t="s">
        <v>76</v>
      </c>
      <c r="CW424">
        <v>-1.6549999999999999E-2</v>
      </c>
      <c r="CX424" t="s">
        <v>75</v>
      </c>
      <c r="DA424">
        <v>1.5482</v>
      </c>
      <c r="DB424" t="s">
        <v>75</v>
      </c>
      <c r="DC424">
        <v>4.0000000000000003E-5</v>
      </c>
      <c r="DD424" t="s">
        <v>75</v>
      </c>
      <c r="DE424">
        <v>3.4779999999999998E-2</v>
      </c>
      <c r="DF424" t="s">
        <v>75</v>
      </c>
      <c r="DG424">
        <v>0.83404999999999996</v>
      </c>
      <c r="DH424" t="s">
        <v>75</v>
      </c>
      <c r="DI424">
        <v>4.2039400000000002</v>
      </c>
      <c r="DJ424" t="s">
        <v>75</v>
      </c>
      <c r="DL424" t="s">
        <v>76</v>
      </c>
      <c r="DN424" t="s">
        <v>76</v>
      </c>
      <c r="DO424">
        <v>2.0600000000000002E-3</v>
      </c>
      <c r="DP424" t="s">
        <v>75</v>
      </c>
    </row>
    <row r="425" spans="1:121" x14ac:dyDescent="0.2">
      <c r="D425" t="s">
        <v>64</v>
      </c>
      <c r="G425">
        <v>2.1900000000000001E-3</v>
      </c>
      <c r="H425" t="s">
        <v>75</v>
      </c>
      <c r="I425">
        <v>3.3400000000000001E-3</v>
      </c>
      <c r="J425" t="s">
        <v>75</v>
      </c>
      <c r="K425">
        <v>2.4000000000000001E-4</v>
      </c>
      <c r="L425" t="s">
        <v>75</v>
      </c>
      <c r="M425">
        <v>8.4999999999999995E-4</v>
      </c>
      <c r="N425" t="s">
        <v>75</v>
      </c>
      <c r="O425">
        <v>2.0000000000000002E-5</v>
      </c>
      <c r="P425" t="s">
        <v>75</v>
      </c>
      <c r="Q425">
        <v>4.4999999999999999E-4</v>
      </c>
      <c r="R425" t="s">
        <v>75</v>
      </c>
      <c r="S425">
        <v>1.3999999999999999E-4</v>
      </c>
      <c r="T425" t="s">
        <v>75</v>
      </c>
      <c r="U425">
        <v>1.6100000000000001E-3</v>
      </c>
      <c r="V425" t="s">
        <v>75</v>
      </c>
      <c r="W425">
        <v>8.7000000000000001E-4</v>
      </c>
      <c r="X425" t="s">
        <v>75</v>
      </c>
      <c r="Y425">
        <v>4.6999999999999999E-4</v>
      </c>
      <c r="Z425" t="s">
        <v>75</v>
      </c>
      <c r="AC425">
        <v>2.5999999999999998E-4</v>
      </c>
      <c r="AD425" t="s">
        <v>75</v>
      </c>
      <c r="AE425">
        <v>9.7999999999999997E-4</v>
      </c>
      <c r="AF425" t="s">
        <v>75</v>
      </c>
      <c r="AG425">
        <v>6.0000000000000002E-5</v>
      </c>
      <c r="AH425" t="s">
        <v>75</v>
      </c>
      <c r="AI425">
        <v>2.2100000000000002E-3</v>
      </c>
      <c r="AJ425" t="s">
        <v>75</v>
      </c>
      <c r="AK425">
        <v>6.0000000000000002E-5</v>
      </c>
      <c r="AL425" t="s">
        <v>75</v>
      </c>
      <c r="AM425">
        <v>6.0000000000000002E-5</v>
      </c>
      <c r="AN425" t="s">
        <v>75</v>
      </c>
      <c r="AO425">
        <v>2.4000000000000001E-4</v>
      </c>
      <c r="AP425" t="s">
        <v>75</v>
      </c>
      <c r="AQ425">
        <v>6.0000000000000002E-5</v>
      </c>
      <c r="AR425" t="s">
        <v>75</v>
      </c>
      <c r="AS425">
        <v>4.0000000000000003E-5</v>
      </c>
      <c r="AT425" t="s">
        <v>75</v>
      </c>
      <c r="AU425">
        <v>8.0000000000000007E-5</v>
      </c>
      <c r="AV425" t="s">
        <v>75</v>
      </c>
      <c r="AW425">
        <v>8.0000000000000007E-5</v>
      </c>
      <c r="AX425" t="s">
        <v>75</v>
      </c>
      <c r="AY425">
        <v>6.7000000000000002E-4</v>
      </c>
      <c r="AZ425" t="s">
        <v>75</v>
      </c>
      <c r="BC425">
        <v>4.2000000000000002E-4</v>
      </c>
      <c r="BD425" t="s">
        <v>75</v>
      </c>
      <c r="BE425">
        <v>2.0000000000000002E-5</v>
      </c>
      <c r="BF425" t="s">
        <v>75</v>
      </c>
      <c r="BG425">
        <v>2.5000000000000001E-4</v>
      </c>
      <c r="BH425" t="s">
        <v>75</v>
      </c>
      <c r="BI425">
        <v>1.2999999999999999E-4</v>
      </c>
      <c r="BJ425" t="s">
        <v>75</v>
      </c>
      <c r="BK425">
        <v>5.0000000000000002E-5</v>
      </c>
      <c r="BL425" t="s">
        <v>75</v>
      </c>
      <c r="BM425">
        <v>1E-4</v>
      </c>
      <c r="BN425" t="s">
        <v>75</v>
      </c>
      <c r="BO425">
        <v>1.47E-3</v>
      </c>
      <c r="BP425" t="s">
        <v>75</v>
      </c>
      <c r="BQ425">
        <v>2.96E-3</v>
      </c>
      <c r="BR425" t="s">
        <v>75</v>
      </c>
      <c r="BS425">
        <v>5.8799999999999998E-3</v>
      </c>
      <c r="BT425" t="s">
        <v>75</v>
      </c>
      <c r="BU425">
        <v>0.42653999999999997</v>
      </c>
      <c r="BV425" t="s">
        <v>75</v>
      </c>
      <c r="BW425">
        <v>9.2899999999999996E-3</v>
      </c>
      <c r="BX425" t="s">
        <v>75</v>
      </c>
      <c r="BY425">
        <v>0.18683</v>
      </c>
      <c r="BZ425" t="s">
        <v>75</v>
      </c>
      <c r="CA425">
        <v>0.14362</v>
      </c>
      <c r="CB425" t="s">
        <v>75</v>
      </c>
      <c r="CC425">
        <v>4.0099999999999997E-3</v>
      </c>
      <c r="CD425" t="s">
        <v>75</v>
      </c>
      <c r="CE425">
        <v>6.9999999999999994E-5</v>
      </c>
      <c r="CF425" t="s">
        <v>75</v>
      </c>
      <c r="CG425">
        <v>6.3000000000000003E-4</v>
      </c>
      <c r="CH425" t="s">
        <v>75</v>
      </c>
      <c r="CI425">
        <v>4.0000000000000003E-5</v>
      </c>
      <c r="CJ425" t="s">
        <v>75</v>
      </c>
      <c r="CK425">
        <v>9.3999999999999997E-4</v>
      </c>
      <c r="CL425" t="s">
        <v>75</v>
      </c>
      <c r="CM425">
        <v>9.0000000000000006E-5</v>
      </c>
      <c r="CN425" t="s">
        <v>75</v>
      </c>
      <c r="CO425">
        <v>2.1199999999999999E-3</v>
      </c>
      <c r="CP425" t="s">
        <v>75</v>
      </c>
      <c r="CQ425">
        <v>1.91E-3</v>
      </c>
      <c r="CR425" t="s">
        <v>75</v>
      </c>
      <c r="CS425">
        <v>6.6100000000000004E-3</v>
      </c>
      <c r="CT425" t="s">
        <v>75</v>
      </c>
      <c r="CW425">
        <v>1.66E-3</v>
      </c>
      <c r="CX425" t="s">
        <v>75</v>
      </c>
      <c r="DA425">
        <v>6.4199999999999993E-2</v>
      </c>
      <c r="DB425" t="s">
        <v>75</v>
      </c>
      <c r="DC425">
        <v>1.9300000000000001E-3</v>
      </c>
      <c r="DD425" t="s">
        <v>75</v>
      </c>
      <c r="DE425">
        <v>2.894E-2</v>
      </c>
      <c r="DF425" t="s">
        <v>75</v>
      </c>
      <c r="DG425">
        <v>2.7949999999999999E-2</v>
      </c>
      <c r="DH425" t="s">
        <v>75</v>
      </c>
      <c r="DI425">
        <v>0.25158000000000003</v>
      </c>
      <c r="DJ425" t="s">
        <v>75</v>
      </c>
      <c r="DO425">
        <v>1.1999999999999999E-3</v>
      </c>
      <c r="DP425" t="s">
        <v>75</v>
      </c>
    </row>
    <row r="426" spans="1:121" x14ac:dyDescent="0.2">
      <c r="D426" t="s">
        <v>65</v>
      </c>
      <c r="G426" t="s">
        <v>66</v>
      </c>
      <c r="I426" t="s">
        <v>66</v>
      </c>
      <c r="K426" t="s">
        <v>66</v>
      </c>
      <c r="M426" t="s">
        <v>66</v>
      </c>
      <c r="O426" t="s">
        <v>66</v>
      </c>
      <c r="Q426" t="s">
        <v>66</v>
      </c>
      <c r="S426" t="s">
        <v>66</v>
      </c>
      <c r="U426" t="s">
        <v>66</v>
      </c>
      <c r="W426" t="s">
        <v>66</v>
      </c>
      <c r="Y426" t="s">
        <v>66</v>
      </c>
      <c r="AA426" t="s">
        <v>66</v>
      </c>
      <c r="AC426" t="s">
        <v>66</v>
      </c>
      <c r="AE426" t="s">
        <v>66</v>
      </c>
      <c r="AG426" t="s">
        <v>66</v>
      </c>
      <c r="AI426" t="s">
        <v>66</v>
      </c>
      <c r="AK426" t="s">
        <v>66</v>
      </c>
      <c r="AM426" t="s">
        <v>66</v>
      </c>
      <c r="AO426" t="s">
        <v>66</v>
      </c>
      <c r="AQ426" t="s">
        <v>66</v>
      </c>
      <c r="AS426" t="s">
        <v>66</v>
      </c>
      <c r="AU426" t="s">
        <v>66</v>
      </c>
      <c r="AW426" t="s">
        <v>66</v>
      </c>
      <c r="AY426" t="s">
        <v>66</v>
      </c>
      <c r="BA426" t="s">
        <v>66</v>
      </c>
      <c r="BC426" t="s">
        <v>66</v>
      </c>
      <c r="BE426" t="s">
        <v>66</v>
      </c>
      <c r="BG426" t="s">
        <v>66</v>
      </c>
      <c r="BI426" t="s">
        <v>66</v>
      </c>
      <c r="BK426" t="s">
        <v>66</v>
      </c>
      <c r="BM426" t="s">
        <v>66</v>
      </c>
      <c r="BO426" t="s">
        <v>66</v>
      </c>
      <c r="BQ426" t="s">
        <v>66</v>
      </c>
      <c r="BS426" t="s">
        <v>66</v>
      </c>
      <c r="BU426" t="s">
        <v>66</v>
      </c>
      <c r="BW426" t="s">
        <v>66</v>
      </c>
      <c r="BY426" t="s">
        <v>66</v>
      </c>
      <c r="CA426" t="s">
        <v>66</v>
      </c>
      <c r="CC426" t="s">
        <v>66</v>
      </c>
      <c r="CE426" t="s">
        <v>66</v>
      </c>
      <c r="CG426" t="s">
        <v>66</v>
      </c>
      <c r="CI426" t="s">
        <v>66</v>
      </c>
      <c r="CK426" t="s">
        <v>66</v>
      </c>
      <c r="CM426" t="s">
        <v>66</v>
      </c>
      <c r="CO426" t="s">
        <v>66</v>
      </c>
      <c r="CQ426" t="s">
        <v>66</v>
      </c>
      <c r="CS426" t="s">
        <v>66</v>
      </c>
      <c r="CU426" t="s">
        <v>66</v>
      </c>
      <c r="CW426" t="s">
        <v>66</v>
      </c>
      <c r="CY426" t="s">
        <v>66</v>
      </c>
      <c r="DA426" t="s">
        <v>66</v>
      </c>
      <c r="DC426" t="s">
        <v>66</v>
      </c>
      <c r="DE426" t="s">
        <v>66</v>
      </c>
      <c r="DG426" t="s">
        <v>66</v>
      </c>
      <c r="DI426" t="s">
        <v>66</v>
      </c>
      <c r="DK426" t="s">
        <v>66</v>
      </c>
      <c r="DM426" t="s">
        <v>66</v>
      </c>
      <c r="DO426" t="s">
        <v>66</v>
      </c>
      <c r="DQ426" t="s">
        <v>66</v>
      </c>
    </row>
    <row r="427" spans="1:121" x14ac:dyDescent="0.2">
      <c r="A427" t="s">
        <v>655</v>
      </c>
      <c r="D427" t="s">
        <v>60</v>
      </c>
      <c r="E427" t="s">
        <v>61</v>
      </c>
      <c r="G427">
        <v>35453.5</v>
      </c>
      <c r="I427">
        <v>761.5</v>
      </c>
      <c r="K427">
        <v>3025760.3</v>
      </c>
      <c r="M427">
        <v>102283.8</v>
      </c>
      <c r="O427">
        <v>913</v>
      </c>
      <c r="Q427">
        <v>30730.6</v>
      </c>
      <c r="S427">
        <v>2285.3000000000002</v>
      </c>
      <c r="U427">
        <v>1330</v>
      </c>
      <c r="W427">
        <v>118971.2</v>
      </c>
      <c r="Y427">
        <v>140447.6</v>
      </c>
      <c r="AA427">
        <v>10460435.5</v>
      </c>
      <c r="AC427">
        <v>14173876.4</v>
      </c>
      <c r="AE427">
        <v>72928962.400000006</v>
      </c>
      <c r="AG427">
        <v>195515.4</v>
      </c>
      <c r="AI427">
        <v>589577.4</v>
      </c>
      <c r="AK427">
        <v>28589.599999999999</v>
      </c>
      <c r="AM427">
        <v>2974.7</v>
      </c>
      <c r="AO427">
        <v>262.5</v>
      </c>
      <c r="AQ427">
        <v>310.39999999999998</v>
      </c>
      <c r="AS427">
        <v>292.7</v>
      </c>
      <c r="AU427">
        <v>222.9</v>
      </c>
      <c r="AW427">
        <v>190.6</v>
      </c>
      <c r="AY427">
        <v>12972.4</v>
      </c>
      <c r="BA427">
        <v>694238.6</v>
      </c>
      <c r="BC427">
        <v>2381.1999999999998</v>
      </c>
      <c r="BE427">
        <v>34854.300000000003</v>
      </c>
      <c r="BG427">
        <v>4063776.9</v>
      </c>
      <c r="BI427">
        <v>3605291.7</v>
      </c>
      <c r="BK427">
        <v>8310650.5</v>
      </c>
      <c r="BM427">
        <v>1703011.5</v>
      </c>
      <c r="BO427">
        <v>29828021.899999999</v>
      </c>
      <c r="BQ427">
        <v>43814.1</v>
      </c>
      <c r="BS427">
        <v>85141.3</v>
      </c>
      <c r="BU427">
        <v>6629315.5999999996</v>
      </c>
      <c r="BW427">
        <v>468969.3</v>
      </c>
      <c r="BY427">
        <v>1778019.9</v>
      </c>
      <c r="CA427">
        <v>31177.8</v>
      </c>
      <c r="CC427">
        <v>261.10000000000002</v>
      </c>
      <c r="CE427">
        <v>446.4</v>
      </c>
      <c r="CG427">
        <v>18467</v>
      </c>
      <c r="CI427">
        <v>83567.199999999997</v>
      </c>
      <c r="CK427">
        <v>733098.4</v>
      </c>
      <c r="CM427">
        <v>29616.2</v>
      </c>
      <c r="CO427">
        <v>6892</v>
      </c>
      <c r="CQ427">
        <v>269997.8</v>
      </c>
      <c r="CS427">
        <v>12958256.300000001</v>
      </c>
      <c r="CU427">
        <v>1057363</v>
      </c>
      <c r="CW427">
        <v>1652865.2</v>
      </c>
      <c r="CY427">
        <v>59722.9</v>
      </c>
      <c r="DA427">
        <v>16780572.5</v>
      </c>
      <c r="DC427">
        <v>414.1</v>
      </c>
      <c r="DE427">
        <v>275190.8</v>
      </c>
      <c r="DG427">
        <v>339.9</v>
      </c>
      <c r="DI427">
        <v>2394.1999999999998</v>
      </c>
      <c r="DK427">
        <v>857</v>
      </c>
      <c r="DM427">
        <v>270158.09999999998</v>
      </c>
      <c r="DO427">
        <v>370236.4</v>
      </c>
      <c r="DQ427">
        <v>15112.9</v>
      </c>
    </row>
    <row r="428" spans="1:121" x14ac:dyDescent="0.2">
      <c r="D428" t="s">
        <v>62</v>
      </c>
      <c r="E428" t="s">
        <v>61</v>
      </c>
      <c r="G428">
        <v>208.4</v>
      </c>
      <c r="I428">
        <v>56.6</v>
      </c>
      <c r="K428">
        <v>28533.9</v>
      </c>
      <c r="M428">
        <v>370.8</v>
      </c>
      <c r="O428">
        <v>108.9</v>
      </c>
      <c r="Q428">
        <v>350.6</v>
      </c>
      <c r="S428">
        <v>29.1</v>
      </c>
      <c r="U428">
        <v>28.9</v>
      </c>
      <c r="W428">
        <v>1660.1</v>
      </c>
      <c r="Y428">
        <v>1886.2</v>
      </c>
      <c r="AA428">
        <v>93920</v>
      </c>
      <c r="AC428">
        <v>44448.1</v>
      </c>
      <c r="AE428">
        <v>604289.4</v>
      </c>
      <c r="AG428">
        <v>1297.4000000000001</v>
      </c>
      <c r="AI428">
        <v>4630.2</v>
      </c>
      <c r="AK428">
        <v>881.4</v>
      </c>
      <c r="AM428">
        <v>82</v>
      </c>
      <c r="AO428">
        <v>51.6</v>
      </c>
      <c r="AQ428">
        <v>51.4</v>
      </c>
      <c r="AS428">
        <v>37</v>
      </c>
      <c r="AU428">
        <v>9</v>
      </c>
      <c r="AW428">
        <v>33.1</v>
      </c>
      <c r="AY428">
        <v>166.3</v>
      </c>
      <c r="BA428">
        <v>1177.2</v>
      </c>
      <c r="BC428">
        <v>83.9</v>
      </c>
      <c r="BE428">
        <v>506</v>
      </c>
      <c r="BG428">
        <v>12073.7</v>
      </c>
      <c r="BI428">
        <v>70342.3</v>
      </c>
      <c r="BK428">
        <v>61523.9</v>
      </c>
      <c r="BM428">
        <v>27042.1</v>
      </c>
      <c r="BO428">
        <v>320660.5</v>
      </c>
      <c r="BQ428">
        <v>646.9</v>
      </c>
      <c r="BS428">
        <v>585.29999999999995</v>
      </c>
      <c r="BU428">
        <v>65258.1</v>
      </c>
      <c r="BW428">
        <v>2725.4</v>
      </c>
      <c r="BY428">
        <v>7154.8</v>
      </c>
      <c r="CA428">
        <v>579.29999999999995</v>
      </c>
      <c r="CC428">
        <v>26.5</v>
      </c>
      <c r="CE428">
        <v>32.5</v>
      </c>
      <c r="CG428">
        <v>678.6</v>
      </c>
      <c r="CI428">
        <v>2558</v>
      </c>
      <c r="CK428">
        <v>24440.799999999999</v>
      </c>
      <c r="CM428">
        <v>830.3</v>
      </c>
      <c r="CO428">
        <v>221.4</v>
      </c>
      <c r="CQ428">
        <v>6631.8</v>
      </c>
      <c r="CS428">
        <v>274691.7</v>
      </c>
      <c r="CU428">
        <v>18971.7</v>
      </c>
      <c r="CW428">
        <v>18311.3</v>
      </c>
      <c r="CY428">
        <v>735.9</v>
      </c>
      <c r="DA428">
        <v>99659.9</v>
      </c>
      <c r="DC428">
        <v>8.5</v>
      </c>
      <c r="DE428">
        <v>2341</v>
      </c>
      <c r="DG428">
        <v>8.5</v>
      </c>
      <c r="DI428">
        <v>35.200000000000003</v>
      </c>
      <c r="DK428">
        <v>38.4</v>
      </c>
      <c r="DM428">
        <v>295.89999999999998</v>
      </c>
      <c r="DO428">
        <v>2020</v>
      </c>
      <c r="DQ428">
        <v>300.2</v>
      </c>
    </row>
    <row r="429" spans="1:121" x14ac:dyDescent="0.2">
      <c r="D429" t="s">
        <v>63</v>
      </c>
      <c r="G429">
        <v>0.24063999999999999</v>
      </c>
      <c r="H429" t="s">
        <v>75</v>
      </c>
      <c r="I429">
        <v>1.333E-2</v>
      </c>
      <c r="J429" t="s">
        <v>75</v>
      </c>
      <c r="K429">
        <v>3.7543199999999999</v>
      </c>
      <c r="L429" t="s">
        <v>75</v>
      </c>
      <c r="M429">
        <v>6.726E-2</v>
      </c>
      <c r="N429" t="s">
        <v>75</v>
      </c>
      <c r="O429">
        <v>3.6700000000000001E-3</v>
      </c>
      <c r="P429" t="s">
        <v>75</v>
      </c>
      <c r="Q429">
        <v>0.21475</v>
      </c>
      <c r="R429" t="s">
        <v>75</v>
      </c>
      <c r="S429">
        <v>1.2600000000000001E-3</v>
      </c>
      <c r="T429" t="s">
        <v>75</v>
      </c>
      <c r="U429">
        <v>1.102E-2</v>
      </c>
      <c r="V429" t="s">
        <v>75</v>
      </c>
      <c r="W429">
        <v>0.24995999999999999</v>
      </c>
      <c r="X429" t="s">
        <v>75</v>
      </c>
      <c r="Y429">
        <v>2.0363899999999999</v>
      </c>
      <c r="Z429" t="s">
        <v>75</v>
      </c>
      <c r="AB429" t="s">
        <v>76</v>
      </c>
      <c r="AC429">
        <v>49.277979999999999</v>
      </c>
      <c r="AD429" t="s">
        <v>75</v>
      </c>
      <c r="AE429">
        <v>266.75538999999998</v>
      </c>
      <c r="AF429" t="s">
        <v>75</v>
      </c>
      <c r="AG429">
        <v>0.13353000000000001</v>
      </c>
      <c r="AH429" t="s">
        <v>75</v>
      </c>
      <c r="AI429">
        <v>3.6387999999999998</v>
      </c>
      <c r="AJ429" t="s">
        <v>75</v>
      </c>
      <c r="AK429">
        <v>1.7010000000000001E-2</v>
      </c>
      <c r="AL429" t="s">
        <v>75</v>
      </c>
      <c r="AM429">
        <v>-3.5000000000000001E-3</v>
      </c>
      <c r="AN429" t="s">
        <v>75</v>
      </c>
      <c r="AO429">
        <v>2.3600000000000001E-3</v>
      </c>
      <c r="AP429" t="s">
        <v>75</v>
      </c>
      <c r="AQ429">
        <v>3.4000000000000002E-4</v>
      </c>
      <c r="AR429" t="s">
        <v>75</v>
      </c>
      <c r="AS429">
        <v>2.3000000000000001E-4</v>
      </c>
      <c r="AT429" t="s">
        <v>75</v>
      </c>
      <c r="AU429">
        <v>1.49E-3</v>
      </c>
      <c r="AV429" t="s">
        <v>75</v>
      </c>
      <c r="AW429">
        <v>-3.5E-4</v>
      </c>
      <c r="AX429" t="s">
        <v>75</v>
      </c>
      <c r="AY429">
        <v>3.0509999999999999E-2</v>
      </c>
      <c r="AZ429" t="s">
        <v>75</v>
      </c>
      <c r="BC429">
        <v>-2.0529500000000001</v>
      </c>
      <c r="BD429" t="s">
        <v>75</v>
      </c>
      <c r="BE429">
        <v>3.5069999999999997E-2</v>
      </c>
      <c r="BF429" t="s">
        <v>75</v>
      </c>
      <c r="BG429">
        <v>11.37018</v>
      </c>
      <c r="BH429" t="s">
        <v>75</v>
      </c>
      <c r="BI429">
        <v>11.620480000000001</v>
      </c>
      <c r="BJ429" t="s">
        <v>75</v>
      </c>
      <c r="BK429">
        <v>11.436030000000001</v>
      </c>
      <c r="BL429" t="s">
        <v>75</v>
      </c>
      <c r="BM429">
        <v>1.5529200000000001</v>
      </c>
      <c r="BN429" t="s">
        <v>75</v>
      </c>
      <c r="BO429">
        <v>655.78707999999995</v>
      </c>
      <c r="BP429" t="s">
        <v>75</v>
      </c>
      <c r="BQ429">
        <v>1.06071</v>
      </c>
      <c r="BR429" t="s">
        <v>75</v>
      </c>
      <c r="BS429">
        <v>1.4453199999999999</v>
      </c>
      <c r="BT429" t="s">
        <v>75</v>
      </c>
      <c r="BU429">
        <v>253.26919000000001</v>
      </c>
      <c r="BV429" t="s">
        <v>75</v>
      </c>
      <c r="BW429">
        <v>198.49524</v>
      </c>
      <c r="BX429" t="s">
        <v>75</v>
      </c>
      <c r="BY429">
        <v>490.58774</v>
      </c>
      <c r="BZ429" t="s">
        <v>75</v>
      </c>
      <c r="CA429">
        <v>13.07433</v>
      </c>
      <c r="CB429" t="s">
        <v>75</v>
      </c>
      <c r="CC429">
        <v>4.1320000000000003E-2</v>
      </c>
      <c r="CD429" t="s">
        <v>75</v>
      </c>
      <c r="CE429">
        <v>4.9899999999999996E-3</v>
      </c>
      <c r="CF429" t="s">
        <v>75</v>
      </c>
      <c r="CG429">
        <v>0.29683999999999999</v>
      </c>
      <c r="CH429" t="s">
        <v>75</v>
      </c>
      <c r="CI429">
        <v>1.0598799999999999</v>
      </c>
      <c r="CJ429" t="s">
        <v>75</v>
      </c>
      <c r="CK429">
        <v>10.03443</v>
      </c>
      <c r="CL429" t="s">
        <v>75</v>
      </c>
      <c r="CM429">
        <v>0.41299999999999998</v>
      </c>
      <c r="CN429" t="s">
        <v>75</v>
      </c>
      <c r="CO429">
        <v>0.39950000000000002</v>
      </c>
      <c r="CP429" t="s">
        <v>75</v>
      </c>
      <c r="CQ429">
        <v>8.12791</v>
      </c>
      <c r="CR429" t="s">
        <v>75</v>
      </c>
      <c r="CS429">
        <v>3384.9758499999998</v>
      </c>
      <c r="CT429" t="s">
        <v>75</v>
      </c>
      <c r="CV429" t="s">
        <v>76</v>
      </c>
      <c r="CW429">
        <v>61.24268</v>
      </c>
      <c r="CX429" t="s">
        <v>75</v>
      </c>
      <c r="DA429">
        <v>1079.25154</v>
      </c>
      <c r="DB429" t="s">
        <v>75</v>
      </c>
      <c r="DC429">
        <v>0.19541</v>
      </c>
      <c r="DD429" t="s">
        <v>75</v>
      </c>
      <c r="DE429">
        <v>134.37246999999999</v>
      </c>
      <c r="DF429" t="s">
        <v>75</v>
      </c>
      <c r="DG429">
        <v>1.86829</v>
      </c>
      <c r="DH429" t="s">
        <v>75</v>
      </c>
      <c r="DI429">
        <v>4.09232</v>
      </c>
      <c r="DJ429" t="s">
        <v>75</v>
      </c>
      <c r="DL429" t="s">
        <v>76</v>
      </c>
      <c r="DN429" t="s">
        <v>76</v>
      </c>
      <c r="DO429">
        <v>59.092260000000003</v>
      </c>
      <c r="DP429" t="s">
        <v>75</v>
      </c>
    </row>
    <row r="430" spans="1:121" x14ac:dyDescent="0.2">
      <c r="D430" t="s">
        <v>64</v>
      </c>
      <c r="G430">
        <v>1.6800000000000001E-3</v>
      </c>
      <c r="H430" t="s">
        <v>75</v>
      </c>
      <c r="I430">
        <v>1.9499999999999999E-3</v>
      </c>
      <c r="J430" t="s">
        <v>75</v>
      </c>
      <c r="K430">
        <v>2.9309999999999999E-2</v>
      </c>
      <c r="L430" t="s">
        <v>75</v>
      </c>
      <c r="M430">
        <v>2.9E-4</v>
      </c>
      <c r="N430" t="s">
        <v>75</v>
      </c>
      <c r="O430">
        <v>9.0000000000000006E-5</v>
      </c>
      <c r="P430" t="s">
        <v>75</v>
      </c>
      <c r="Q430">
        <v>2.2000000000000001E-3</v>
      </c>
      <c r="R430" t="s">
        <v>75</v>
      </c>
      <c r="S430">
        <v>3.0000000000000001E-5</v>
      </c>
      <c r="T430" t="s">
        <v>75</v>
      </c>
      <c r="U430">
        <v>1.2999999999999999E-4</v>
      </c>
      <c r="V430" t="s">
        <v>75</v>
      </c>
      <c r="W430">
        <v>3.5400000000000002E-3</v>
      </c>
      <c r="X430" t="s">
        <v>75</v>
      </c>
      <c r="Y430">
        <v>2.673E-2</v>
      </c>
      <c r="Z430" t="s">
        <v>75</v>
      </c>
      <c r="AC430">
        <v>0.13919000000000001</v>
      </c>
      <c r="AD430" t="s">
        <v>75</v>
      </c>
      <c r="AE430">
        <v>2.66323</v>
      </c>
      <c r="AF430" t="s">
        <v>75</v>
      </c>
      <c r="AG430">
        <v>1.25E-3</v>
      </c>
      <c r="AH430" t="s">
        <v>75</v>
      </c>
      <c r="AI430">
        <v>3.3070000000000002E-2</v>
      </c>
      <c r="AJ430" t="s">
        <v>75</v>
      </c>
      <c r="AK430">
        <v>6.2E-4</v>
      </c>
      <c r="AL430" t="s">
        <v>75</v>
      </c>
      <c r="AM430">
        <v>6.0000000000000002E-5</v>
      </c>
      <c r="AN430" t="s">
        <v>75</v>
      </c>
      <c r="AO430">
        <v>1.9000000000000001E-4</v>
      </c>
      <c r="AP430" t="s">
        <v>75</v>
      </c>
      <c r="AQ430">
        <v>2.1000000000000001E-4</v>
      </c>
      <c r="AR430" t="s">
        <v>75</v>
      </c>
      <c r="AS430">
        <v>1.6000000000000001E-4</v>
      </c>
      <c r="AT430" t="s">
        <v>75</v>
      </c>
      <c r="AU430">
        <v>1.0000000000000001E-5</v>
      </c>
      <c r="AV430" t="s">
        <v>75</v>
      </c>
      <c r="AW430">
        <v>8.0000000000000007E-5</v>
      </c>
      <c r="AX430" t="s">
        <v>75</v>
      </c>
      <c r="AY430">
        <v>5.0000000000000001E-4</v>
      </c>
      <c r="AZ430" t="s">
        <v>75</v>
      </c>
      <c r="BC430">
        <v>2.3000000000000001E-4</v>
      </c>
      <c r="BD430" t="s">
        <v>75</v>
      </c>
      <c r="BE430">
        <v>5.2999999999999998E-4</v>
      </c>
      <c r="BF430" t="s">
        <v>75</v>
      </c>
      <c r="BG430">
        <v>5.0250000000000003E-2</v>
      </c>
      <c r="BH430" t="s">
        <v>75</v>
      </c>
      <c r="BI430">
        <v>0.24692</v>
      </c>
      <c r="BJ430" t="s">
        <v>75</v>
      </c>
      <c r="BK430">
        <v>0.1178</v>
      </c>
      <c r="BL430" t="s">
        <v>75</v>
      </c>
      <c r="BM430">
        <v>2.3349999999999999E-2</v>
      </c>
      <c r="BN430" t="s">
        <v>75</v>
      </c>
      <c r="BO430">
        <v>11.7036</v>
      </c>
      <c r="BP430" t="s">
        <v>75</v>
      </c>
      <c r="BQ430">
        <v>1.095E-2</v>
      </c>
      <c r="BR430" t="s">
        <v>75</v>
      </c>
      <c r="BS430">
        <v>1.8169999999999999E-2</v>
      </c>
      <c r="BT430" t="s">
        <v>75</v>
      </c>
      <c r="BU430">
        <v>2.5202399999999998</v>
      </c>
      <c r="BV430" t="s">
        <v>75</v>
      </c>
      <c r="BW430">
        <v>1.5871299999999999</v>
      </c>
      <c r="BX430" t="s">
        <v>75</v>
      </c>
      <c r="BY430">
        <v>7.3323400000000003</v>
      </c>
      <c r="BZ430" t="s">
        <v>75</v>
      </c>
      <c r="CA430">
        <v>0.46532000000000001</v>
      </c>
      <c r="CB430" t="s">
        <v>75</v>
      </c>
      <c r="CC430">
        <v>4.9699999999999996E-3</v>
      </c>
      <c r="CD430" t="s">
        <v>75</v>
      </c>
      <c r="CE430">
        <v>4.0999999999999999E-4</v>
      </c>
      <c r="CF430" t="s">
        <v>75</v>
      </c>
      <c r="CG430">
        <v>9.6799999999999994E-3</v>
      </c>
      <c r="CH430" t="s">
        <v>75</v>
      </c>
      <c r="CI430">
        <v>3.5709999999999999E-2</v>
      </c>
      <c r="CJ430" t="s">
        <v>75</v>
      </c>
      <c r="CK430">
        <v>0.38194</v>
      </c>
      <c r="CL430" t="s">
        <v>75</v>
      </c>
      <c r="CM430">
        <v>1.536E-2</v>
      </c>
      <c r="CN430" t="s">
        <v>75</v>
      </c>
      <c r="CO430">
        <v>1.6660000000000001E-2</v>
      </c>
      <c r="CP430" t="s">
        <v>75</v>
      </c>
      <c r="CQ430">
        <v>0.26762000000000002</v>
      </c>
      <c r="CR430" t="s">
        <v>75</v>
      </c>
      <c r="CS430">
        <v>110.26622999999999</v>
      </c>
      <c r="CT430" t="s">
        <v>75</v>
      </c>
      <c r="CW430">
        <v>1.3813299999999999</v>
      </c>
      <c r="CX430" t="s">
        <v>75</v>
      </c>
      <c r="DA430">
        <v>25.797540000000001</v>
      </c>
      <c r="DB430" t="s">
        <v>75</v>
      </c>
      <c r="DC430">
        <v>6.8700000000000002E-3</v>
      </c>
      <c r="DD430" t="s">
        <v>75</v>
      </c>
      <c r="DE430">
        <v>3.1204700000000001</v>
      </c>
      <c r="DF430" t="s">
        <v>75</v>
      </c>
      <c r="DG430">
        <v>8.5080000000000003E-2</v>
      </c>
      <c r="DH430" t="s">
        <v>75</v>
      </c>
      <c r="DI430">
        <v>3.347E-2</v>
      </c>
      <c r="DJ430" t="s">
        <v>75</v>
      </c>
      <c r="DO430">
        <v>1.07148</v>
      </c>
      <c r="DP430" t="s">
        <v>75</v>
      </c>
    </row>
    <row r="431" spans="1:121" x14ac:dyDescent="0.2">
      <c r="D431" t="s">
        <v>65</v>
      </c>
      <c r="G431" t="s">
        <v>66</v>
      </c>
      <c r="I431" t="s">
        <v>66</v>
      </c>
      <c r="K431" t="s">
        <v>66</v>
      </c>
      <c r="M431" t="s">
        <v>66</v>
      </c>
      <c r="O431" t="s">
        <v>66</v>
      </c>
      <c r="Q431" t="s">
        <v>66</v>
      </c>
      <c r="S431" t="s">
        <v>66</v>
      </c>
      <c r="U431" t="s">
        <v>66</v>
      </c>
      <c r="W431" t="s">
        <v>66</v>
      </c>
      <c r="Y431" t="s">
        <v>66</v>
      </c>
      <c r="AA431" t="s">
        <v>66</v>
      </c>
      <c r="AC431" t="s">
        <v>66</v>
      </c>
      <c r="AE431" t="s">
        <v>66</v>
      </c>
      <c r="AG431" t="s">
        <v>66</v>
      </c>
      <c r="AI431" t="s">
        <v>66</v>
      </c>
      <c r="AK431" t="s">
        <v>66</v>
      </c>
      <c r="AM431" t="s">
        <v>66</v>
      </c>
      <c r="AO431" t="s">
        <v>66</v>
      </c>
      <c r="AQ431" t="s">
        <v>66</v>
      </c>
      <c r="AS431" t="s">
        <v>66</v>
      </c>
      <c r="AU431" t="s">
        <v>66</v>
      </c>
      <c r="AW431" t="s">
        <v>66</v>
      </c>
      <c r="AY431" t="s">
        <v>66</v>
      </c>
      <c r="BA431" t="s">
        <v>66</v>
      </c>
      <c r="BC431" t="s">
        <v>66</v>
      </c>
      <c r="BE431" t="s">
        <v>66</v>
      </c>
      <c r="BG431" t="s">
        <v>66</v>
      </c>
      <c r="BI431" t="s">
        <v>66</v>
      </c>
      <c r="BK431" t="s">
        <v>66</v>
      </c>
      <c r="BM431" t="s">
        <v>66</v>
      </c>
      <c r="BO431" t="s">
        <v>66</v>
      </c>
      <c r="BQ431" t="s">
        <v>66</v>
      </c>
      <c r="BS431" t="s">
        <v>66</v>
      </c>
      <c r="BU431" t="s">
        <v>66</v>
      </c>
      <c r="BW431" t="s">
        <v>66</v>
      </c>
      <c r="BY431" t="s">
        <v>66</v>
      </c>
      <c r="CA431" t="s">
        <v>66</v>
      </c>
      <c r="CC431" t="s">
        <v>66</v>
      </c>
      <c r="CE431" t="s">
        <v>66</v>
      </c>
      <c r="CG431" t="s">
        <v>66</v>
      </c>
      <c r="CI431" t="s">
        <v>66</v>
      </c>
      <c r="CK431" t="s">
        <v>66</v>
      </c>
      <c r="CM431" t="s">
        <v>66</v>
      </c>
      <c r="CO431" t="s">
        <v>66</v>
      </c>
      <c r="CQ431" t="s">
        <v>66</v>
      </c>
      <c r="CS431" t="s">
        <v>66</v>
      </c>
      <c r="CU431" t="s">
        <v>66</v>
      </c>
      <c r="CW431" t="s">
        <v>66</v>
      </c>
      <c r="CY431" t="s">
        <v>66</v>
      </c>
      <c r="DA431" t="s">
        <v>66</v>
      </c>
      <c r="DC431" t="s">
        <v>66</v>
      </c>
      <c r="DE431" t="s">
        <v>66</v>
      </c>
      <c r="DG431" t="s">
        <v>66</v>
      </c>
      <c r="DI431" t="s">
        <v>66</v>
      </c>
      <c r="DK431" t="s">
        <v>66</v>
      </c>
      <c r="DM431" t="s">
        <v>66</v>
      </c>
      <c r="DO431" t="s">
        <v>66</v>
      </c>
      <c r="DQ431" t="s">
        <v>66</v>
      </c>
    </row>
    <row r="432" spans="1:121" x14ac:dyDescent="0.2">
      <c r="A432" t="s">
        <v>656</v>
      </c>
      <c r="D432" t="s">
        <v>60</v>
      </c>
      <c r="E432" t="s">
        <v>61</v>
      </c>
      <c r="G432">
        <v>39949.699999999997</v>
      </c>
      <c r="I432">
        <v>799</v>
      </c>
      <c r="K432">
        <v>3502870.7</v>
      </c>
      <c r="M432">
        <v>125591.6</v>
      </c>
      <c r="O432">
        <v>1306.0999999999999</v>
      </c>
      <c r="Q432">
        <v>31008.400000000001</v>
      </c>
      <c r="S432">
        <v>2116.3000000000002</v>
      </c>
      <c r="U432">
        <v>1508.3</v>
      </c>
      <c r="W432">
        <v>167879</v>
      </c>
      <c r="Y432">
        <v>157670.20000000001</v>
      </c>
      <c r="AA432">
        <v>12281578.300000001</v>
      </c>
      <c r="AC432">
        <v>15020438.1</v>
      </c>
      <c r="AE432">
        <v>79784328.200000003</v>
      </c>
      <c r="AG432">
        <v>226030.9</v>
      </c>
      <c r="AI432">
        <v>555692.30000000005</v>
      </c>
      <c r="AK432">
        <v>30163.5</v>
      </c>
      <c r="AM432">
        <v>2406.3000000000002</v>
      </c>
      <c r="AO432">
        <v>200</v>
      </c>
      <c r="AQ432">
        <v>337.5</v>
      </c>
      <c r="AS432">
        <v>300</v>
      </c>
      <c r="AU432">
        <v>261.5</v>
      </c>
      <c r="AW432">
        <v>249</v>
      </c>
      <c r="AY432">
        <v>15554.1</v>
      </c>
      <c r="BA432">
        <v>695704.2</v>
      </c>
      <c r="BC432">
        <v>2312.4</v>
      </c>
      <c r="BE432">
        <v>55722.7</v>
      </c>
      <c r="BG432">
        <v>4561393.0999999996</v>
      </c>
      <c r="BI432">
        <v>3872859.4</v>
      </c>
      <c r="BK432">
        <v>9378738.6999999993</v>
      </c>
      <c r="BM432">
        <v>1878316.3</v>
      </c>
      <c r="BO432">
        <v>33746481.700000003</v>
      </c>
      <c r="BQ432">
        <v>37038</v>
      </c>
      <c r="BS432">
        <v>119763</v>
      </c>
      <c r="BU432">
        <v>8013518.7999999998</v>
      </c>
      <c r="BW432">
        <v>402258.2</v>
      </c>
      <c r="BY432">
        <v>1643909.6</v>
      </c>
      <c r="CA432">
        <v>32107</v>
      </c>
      <c r="CC432">
        <v>230.6</v>
      </c>
      <c r="CE432">
        <v>482.5</v>
      </c>
      <c r="CG432">
        <v>14160.7</v>
      </c>
      <c r="CI432">
        <v>98479.6</v>
      </c>
      <c r="CK432">
        <v>349230.3</v>
      </c>
      <c r="CM432">
        <v>32354.9</v>
      </c>
      <c r="CO432">
        <v>3050</v>
      </c>
      <c r="CQ432">
        <v>328059.40000000002</v>
      </c>
      <c r="CS432">
        <v>14930273.199999999</v>
      </c>
      <c r="CU432">
        <v>1305446.2</v>
      </c>
      <c r="CW432">
        <v>1765473.5</v>
      </c>
      <c r="CY432">
        <v>61112.3</v>
      </c>
      <c r="DA432">
        <v>17814836.899999999</v>
      </c>
      <c r="DC432">
        <v>380.2</v>
      </c>
      <c r="DE432">
        <v>293458.90000000002</v>
      </c>
      <c r="DG432">
        <v>788.7</v>
      </c>
      <c r="DI432">
        <v>4880.3</v>
      </c>
      <c r="DK432">
        <v>803.5</v>
      </c>
      <c r="DM432">
        <v>318308.09999999998</v>
      </c>
      <c r="DO432">
        <v>392553.5</v>
      </c>
      <c r="DQ432">
        <v>15321</v>
      </c>
    </row>
    <row r="433" spans="1:121" x14ac:dyDescent="0.2">
      <c r="D433" t="s">
        <v>62</v>
      </c>
      <c r="E433" t="s">
        <v>61</v>
      </c>
      <c r="G433">
        <v>523.9</v>
      </c>
      <c r="I433">
        <v>46.5</v>
      </c>
      <c r="K433">
        <v>20300.400000000001</v>
      </c>
      <c r="M433">
        <v>1625.4</v>
      </c>
      <c r="O433">
        <v>107.2</v>
      </c>
      <c r="Q433">
        <v>341.9</v>
      </c>
      <c r="S433">
        <v>123</v>
      </c>
      <c r="U433">
        <v>117.8</v>
      </c>
      <c r="W433">
        <v>520.1</v>
      </c>
      <c r="Y433">
        <v>821.5</v>
      </c>
      <c r="AA433">
        <v>74347.3</v>
      </c>
      <c r="AC433">
        <v>156081.9</v>
      </c>
      <c r="AE433">
        <v>483852.9</v>
      </c>
      <c r="AG433">
        <v>2114.6</v>
      </c>
      <c r="AI433">
        <v>5879</v>
      </c>
      <c r="AK433">
        <v>30.4</v>
      </c>
      <c r="AM433">
        <v>129.30000000000001</v>
      </c>
      <c r="AO433">
        <v>11.3</v>
      </c>
      <c r="AQ433">
        <v>19</v>
      </c>
      <c r="AS433">
        <v>49.1</v>
      </c>
      <c r="AU433">
        <v>42.6</v>
      </c>
      <c r="AW433">
        <v>65</v>
      </c>
      <c r="AY433">
        <v>88.8</v>
      </c>
      <c r="BA433">
        <v>4945.7</v>
      </c>
      <c r="BC433">
        <v>13</v>
      </c>
      <c r="BE433">
        <v>608.4</v>
      </c>
      <c r="BG433">
        <v>23646.1</v>
      </c>
      <c r="BI433">
        <v>29239.599999999999</v>
      </c>
      <c r="BK433">
        <v>141347.79999999999</v>
      </c>
      <c r="BM433">
        <v>11753.6</v>
      </c>
      <c r="BO433">
        <v>116928.4</v>
      </c>
      <c r="BQ433">
        <v>74</v>
      </c>
      <c r="BS433">
        <v>2302.5</v>
      </c>
      <c r="BU433">
        <v>75680.600000000006</v>
      </c>
      <c r="BW433">
        <v>4712.5</v>
      </c>
      <c r="BY433">
        <v>11783.7</v>
      </c>
      <c r="CA433">
        <v>399.7</v>
      </c>
      <c r="CC433">
        <v>16.899999999999999</v>
      </c>
      <c r="CE433">
        <v>53.2</v>
      </c>
      <c r="CG433">
        <v>424.8</v>
      </c>
      <c r="CI433">
        <v>728.4</v>
      </c>
      <c r="CK433">
        <v>3327</v>
      </c>
      <c r="CM433">
        <v>227.4</v>
      </c>
      <c r="CO433">
        <v>164.7</v>
      </c>
      <c r="CQ433">
        <v>2363.1999999999998</v>
      </c>
      <c r="CS433">
        <v>138320.5</v>
      </c>
      <c r="CU433">
        <v>6359.8</v>
      </c>
      <c r="CW433">
        <v>15041.1</v>
      </c>
      <c r="CY433">
        <v>1213.5999999999999</v>
      </c>
      <c r="DA433">
        <v>304999.2</v>
      </c>
      <c r="DC433">
        <v>10.199999999999999</v>
      </c>
      <c r="DE433">
        <v>3651.2</v>
      </c>
      <c r="DG433">
        <v>13.1</v>
      </c>
      <c r="DI433">
        <v>403</v>
      </c>
      <c r="DK433">
        <v>33.4</v>
      </c>
      <c r="DM433">
        <v>939.2</v>
      </c>
      <c r="DO433">
        <v>5656.1</v>
      </c>
      <c r="DQ433">
        <v>131.1</v>
      </c>
    </row>
    <row r="434" spans="1:121" x14ac:dyDescent="0.2">
      <c r="D434" t="s">
        <v>63</v>
      </c>
      <c r="G434">
        <v>0.27488000000000001</v>
      </c>
      <c r="H434" t="s">
        <v>75</v>
      </c>
      <c r="I434">
        <v>1.4540000000000001E-2</v>
      </c>
      <c r="J434" t="s">
        <v>75</v>
      </c>
      <c r="K434">
        <v>4.3377600000000003</v>
      </c>
      <c r="L434" t="s">
        <v>75</v>
      </c>
      <c r="M434">
        <v>9.0109999999999996E-2</v>
      </c>
      <c r="N434" t="s">
        <v>75</v>
      </c>
      <c r="O434">
        <v>3.9899999999999996E-3</v>
      </c>
      <c r="P434" t="s">
        <v>75</v>
      </c>
      <c r="Q434">
        <v>0.21609999999999999</v>
      </c>
      <c r="R434" t="s">
        <v>75</v>
      </c>
      <c r="S434">
        <v>1.1100000000000001E-3</v>
      </c>
      <c r="T434" t="s">
        <v>75</v>
      </c>
      <c r="U434">
        <v>1.1730000000000001E-2</v>
      </c>
      <c r="V434" t="s">
        <v>75</v>
      </c>
      <c r="W434">
        <v>0.35054000000000002</v>
      </c>
      <c r="X434" t="s">
        <v>75</v>
      </c>
      <c r="Y434">
        <v>2.2814199999999998</v>
      </c>
      <c r="Z434" t="s">
        <v>75</v>
      </c>
      <c r="AB434" t="s">
        <v>76</v>
      </c>
      <c r="AC434">
        <v>52.108310000000003</v>
      </c>
      <c r="AD434" t="s">
        <v>75</v>
      </c>
      <c r="AE434">
        <v>291.21465000000001</v>
      </c>
      <c r="AF434" t="s">
        <v>75</v>
      </c>
      <c r="AG434">
        <v>0.15656</v>
      </c>
      <c r="AH434" t="s">
        <v>75</v>
      </c>
      <c r="AI434">
        <v>3.4224000000000001</v>
      </c>
      <c r="AJ434" t="s">
        <v>75</v>
      </c>
      <c r="AK434">
        <v>1.8020000000000001E-2</v>
      </c>
      <c r="AL434" t="s">
        <v>75</v>
      </c>
      <c r="AM434">
        <v>-3.9199999999999999E-3</v>
      </c>
      <c r="AN434" t="s">
        <v>75</v>
      </c>
      <c r="AO434">
        <v>2.14E-3</v>
      </c>
      <c r="AP434" t="s">
        <v>75</v>
      </c>
      <c r="AQ434">
        <v>4.4999999999999999E-4</v>
      </c>
      <c r="AR434" t="s">
        <v>75</v>
      </c>
      <c r="AS434">
        <v>2.5999999999999998E-4</v>
      </c>
      <c r="AT434" t="s">
        <v>75</v>
      </c>
      <c r="AU434">
        <v>1.5200000000000001E-3</v>
      </c>
      <c r="AV434" t="s">
        <v>75</v>
      </c>
      <c r="AW434">
        <v>-2.1000000000000001E-4</v>
      </c>
      <c r="AX434" t="s">
        <v>75</v>
      </c>
      <c r="AY434">
        <v>3.8550000000000001E-2</v>
      </c>
      <c r="AZ434" t="s">
        <v>75</v>
      </c>
      <c r="BC434">
        <v>-2.0531700000000002</v>
      </c>
      <c r="BD434" t="s">
        <v>75</v>
      </c>
      <c r="BE434">
        <v>5.4420000000000003E-2</v>
      </c>
      <c r="BF434" t="s">
        <v>75</v>
      </c>
      <c r="BG434">
        <v>12.740360000000001</v>
      </c>
      <c r="BH434" t="s">
        <v>75</v>
      </c>
      <c r="BI434">
        <v>12.45792</v>
      </c>
      <c r="BJ434" t="s">
        <v>75</v>
      </c>
      <c r="BK434">
        <v>12.72706</v>
      </c>
      <c r="BL434" t="s">
        <v>75</v>
      </c>
      <c r="BM434">
        <v>1.71025</v>
      </c>
      <c r="BN434" t="s">
        <v>75</v>
      </c>
      <c r="BO434">
        <v>725.37647000000004</v>
      </c>
      <c r="BP434" t="s">
        <v>75</v>
      </c>
      <c r="BQ434">
        <v>0.80364000000000002</v>
      </c>
      <c r="BR434" t="s">
        <v>75</v>
      </c>
      <c r="BS434">
        <v>2.1602999999999999</v>
      </c>
      <c r="BT434" t="s">
        <v>75</v>
      </c>
      <c r="BU434">
        <v>303.00189</v>
      </c>
      <c r="BV434" t="s">
        <v>75</v>
      </c>
      <c r="BW434">
        <v>166.40637000000001</v>
      </c>
      <c r="BX434" t="s">
        <v>75</v>
      </c>
      <c r="BY434">
        <v>442.58969999999999</v>
      </c>
      <c r="BZ434" t="s">
        <v>75</v>
      </c>
      <c r="CA434">
        <v>13.17939</v>
      </c>
      <c r="CB434" t="s">
        <v>75</v>
      </c>
      <c r="CC434">
        <v>3.3779999999999998E-2</v>
      </c>
      <c r="CD434" t="s">
        <v>75</v>
      </c>
      <c r="CE434">
        <v>5.3800000000000002E-3</v>
      </c>
      <c r="CF434" t="s">
        <v>75</v>
      </c>
      <c r="CG434">
        <v>0.21812000000000001</v>
      </c>
      <c r="CH434" t="s">
        <v>75</v>
      </c>
      <c r="CI434">
        <v>1.22525</v>
      </c>
      <c r="CJ434" t="s">
        <v>75</v>
      </c>
      <c r="CK434">
        <v>4.4965099999999998</v>
      </c>
      <c r="CL434" t="s">
        <v>75</v>
      </c>
      <c r="CM434">
        <v>0.44141000000000002</v>
      </c>
      <c r="CN434" t="s">
        <v>75</v>
      </c>
      <c r="CO434">
        <v>0.17863999999999999</v>
      </c>
      <c r="CP434" t="s">
        <v>75</v>
      </c>
      <c r="CQ434">
        <v>9.6578199999999992</v>
      </c>
      <c r="CR434" t="s">
        <v>75</v>
      </c>
      <c r="CS434">
        <v>3811.7644</v>
      </c>
      <c r="CT434" t="s">
        <v>75</v>
      </c>
      <c r="CV434" t="s">
        <v>76</v>
      </c>
      <c r="CW434">
        <v>63.939810000000001</v>
      </c>
      <c r="CX434" t="s">
        <v>75</v>
      </c>
      <c r="DA434">
        <v>1129.9446800000001</v>
      </c>
      <c r="DB434" t="s">
        <v>75</v>
      </c>
      <c r="DC434">
        <v>0.17680000000000001</v>
      </c>
      <c r="DD434" t="s">
        <v>75</v>
      </c>
      <c r="DE434">
        <v>141.32238000000001</v>
      </c>
      <c r="DF434" t="s">
        <v>75</v>
      </c>
      <c r="DG434">
        <v>4.35344</v>
      </c>
      <c r="DH434" t="s">
        <v>75</v>
      </c>
      <c r="DI434">
        <v>8.6915099999999992</v>
      </c>
      <c r="DJ434" t="s">
        <v>75</v>
      </c>
      <c r="DL434" t="s">
        <v>76</v>
      </c>
      <c r="DN434" t="s">
        <v>76</v>
      </c>
      <c r="DO434">
        <v>61.788139999999999</v>
      </c>
      <c r="DP434" t="s">
        <v>75</v>
      </c>
    </row>
    <row r="435" spans="1:121" x14ac:dyDescent="0.2">
      <c r="D435" t="s">
        <v>64</v>
      </c>
      <c r="G435">
        <v>4.81E-3</v>
      </c>
      <c r="H435" t="s">
        <v>75</v>
      </c>
      <c r="I435">
        <v>1.41E-3</v>
      </c>
      <c r="J435" t="s">
        <v>75</v>
      </c>
      <c r="K435">
        <v>6.6299999999999996E-3</v>
      </c>
      <c r="L435" t="s">
        <v>75</v>
      </c>
      <c r="M435">
        <v>7.5000000000000002E-4</v>
      </c>
      <c r="N435" t="s">
        <v>75</v>
      </c>
      <c r="O435">
        <v>9.0000000000000006E-5</v>
      </c>
      <c r="P435" t="s">
        <v>75</v>
      </c>
      <c r="Q435">
        <v>3.3E-3</v>
      </c>
      <c r="R435" t="s">
        <v>75</v>
      </c>
      <c r="S435">
        <v>9.0000000000000006E-5</v>
      </c>
      <c r="T435" t="s">
        <v>75</v>
      </c>
      <c r="U435">
        <v>4.8999999999999998E-4</v>
      </c>
      <c r="V435" t="s">
        <v>75</v>
      </c>
      <c r="W435">
        <v>3.3400000000000001E-3</v>
      </c>
      <c r="X435" t="s">
        <v>75</v>
      </c>
      <c r="Y435">
        <v>2.7779999999999999E-2</v>
      </c>
      <c r="Z435" t="s">
        <v>75</v>
      </c>
      <c r="AC435">
        <v>0.29304999999999998</v>
      </c>
      <c r="AD435" t="s">
        <v>75</v>
      </c>
      <c r="AE435">
        <v>1.96132</v>
      </c>
      <c r="AF435" t="s">
        <v>75</v>
      </c>
      <c r="AG435">
        <v>1.75E-3</v>
      </c>
      <c r="AH435" t="s">
        <v>75</v>
      </c>
      <c r="AI435">
        <v>2.4410000000000001E-2</v>
      </c>
      <c r="AJ435" t="s">
        <v>75</v>
      </c>
      <c r="AK435">
        <v>1.3999999999999999E-4</v>
      </c>
      <c r="AL435" t="s">
        <v>75</v>
      </c>
      <c r="AM435">
        <v>1.1E-4</v>
      </c>
      <c r="AN435" t="s">
        <v>75</v>
      </c>
      <c r="AO435">
        <v>4.0000000000000003E-5</v>
      </c>
      <c r="AP435" t="s">
        <v>75</v>
      </c>
      <c r="AQ435">
        <v>6.9999999999999994E-5</v>
      </c>
      <c r="AR435" t="s">
        <v>75</v>
      </c>
      <c r="AS435">
        <v>2.1000000000000001E-4</v>
      </c>
      <c r="AT435" t="s">
        <v>75</v>
      </c>
      <c r="AU435">
        <v>3.0000000000000001E-5</v>
      </c>
      <c r="AV435" t="s">
        <v>75</v>
      </c>
      <c r="AW435">
        <v>1.4999999999999999E-4</v>
      </c>
      <c r="AX435" t="s">
        <v>75</v>
      </c>
      <c r="AY435">
        <v>4.2999999999999999E-4</v>
      </c>
      <c r="AZ435" t="s">
        <v>75</v>
      </c>
      <c r="BC435">
        <v>5.0000000000000002E-5</v>
      </c>
      <c r="BD435" t="s">
        <v>75</v>
      </c>
      <c r="BE435">
        <v>7.3999999999999999E-4</v>
      </c>
      <c r="BF435" t="s">
        <v>75</v>
      </c>
      <c r="BG435">
        <v>4.7309999999999998E-2</v>
      </c>
      <c r="BH435" t="s">
        <v>75</v>
      </c>
      <c r="BI435">
        <v>0.13531000000000001</v>
      </c>
      <c r="BJ435" t="s">
        <v>75</v>
      </c>
      <c r="BK435">
        <v>0.15190000000000001</v>
      </c>
      <c r="BL435" t="s">
        <v>75</v>
      </c>
      <c r="BM435">
        <v>1.7729999999999999E-2</v>
      </c>
      <c r="BN435" t="s">
        <v>75</v>
      </c>
      <c r="BO435">
        <v>16.07094</v>
      </c>
      <c r="BP435" t="s">
        <v>75</v>
      </c>
      <c r="BQ435">
        <v>2.3619999999999999E-2</v>
      </c>
      <c r="BR435" t="s">
        <v>75</v>
      </c>
      <c r="BS435">
        <v>0.10124</v>
      </c>
      <c r="BT435" t="s">
        <v>75</v>
      </c>
      <c r="BU435">
        <v>8.8207699999999996</v>
      </c>
      <c r="BV435" t="s">
        <v>75</v>
      </c>
      <c r="BW435">
        <v>5.2103200000000003</v>
      </c>
      <c r="BX435" t="s">
        <v>75</v>
      </c>
      <c r="BY435">
        <v>11.81803</v>
      </c>
      <c r="BZ435" t="s">
        <v>75</v>
      </c>
      <c r="CA435">
        <v>0.13311999999999999</v>
      </c>
      <c r="CB435" t="s">
        <v>75</v>
      </c>
      <c r="CC435">
        <v>4.3400000000000001E-3</v>
      </c>
      <c r="CD435" t="s">
        <v>75</v>
      </c>
      <c r="CE435">
        <v>8.4999999999999995E-4</v>
      </c>
      <c r="CF435" t="s">
        <v>75</v>
      </c>
      <c r="CG435">
        <v>5.3200000000000001E-3</v>
      </c>
      <c r="CH435" t="s">
        <v>75</v>
      </c>
      <c r="CI435">
        <v>3.1329999999999997E-2</v>
      </c>
      <c r="CJ435" t="s">
        <v>75</v>
      </c>
      <c r="CK435">
        <v>0.13932</v>
      </c>
      <c r="CL435" t="s">
        <v>75</v>
      </c>
      <c r="CM435">
        <v>8.1899999999999994E-3</v>
      </c>
      <c r="CN435" t="s">
        <v>75</v>
      </c>
      <c r="CO435">
        <v>1.051E-2</v>
      </c>
      <c r="CP435" t="s">
        <v>75</v>
      </c>
      <c r="CQ435">
        <v>0.25946000000000002</v>
      </c>
      <c r="CR435" t="s">
        <v>75</v>
      </c>
      <c r="CS435">
        <v>99.952590000000001</v>
      </c>
      <c r="CT435" t="s">
        <v>75</v>
      </c>
      <c r="CW435">
        <v>1.71905</v>
      </c>
      <c r="CX435" t="s">
        <v>75</v>
      </c>
      <c r="DA435">
        <v>23.644659999999998</v>
      </c>
      <c r="DB435" t="s">
        <v>75</v>
      </c>
      <c r="DC435">
        <v>4.5100000000000001E-3</v>
      </c>
      <c r="DD435" t="s">
        <v>75</v>
      </c>
      <c r="DE435">
        <v>2.9468100000000002</v>
      </c>
      <c r="DF435" t="s">
        <v>75</v>
      </c>
      <c r="DG435">
        <v>0.10786</v>
      </c>
      <c r="DH435" t="s">
        <v>75</v>
      </c>
      <c r="DI435">
        <v>0.67847999999999997</v>
      </c>
      <c r="DJ435" t="s">
        <v>75</v>
      </c>
      <c r="DO435">
        <v>0.60326999999999997</v>
      </c>
      <c r="DP435" t="s">
        <v>75</v>
      </c>
    </row>
    <row r="436" spans="1:121" x14ac:dyDescent="0.2">
      <c r="D436" t="s">
        <v>65</v>
      </c>
      <c r="G436" t="s">
        <v>66</v>
      </c>
      <c r="I436" t="s">
        <v>66</v>
      </c>
      <c r="K436" t="s">
        <v>66</v>
      </c>
      <c r="M436" t="s">
        <v>66</v>
      </c>
      <c r="O436" t="s">
        <v>66</v>
      </c>
      <c r="Q436" t="s">
        <v>66</v>
      </c>
      <c r="S436" t="s">
        <v>66</v>
      </c>
      <c r="U436" t="s">
        <v>66</v>
      </c>
      <c r="W436" t="s">
        <v>66</v>
      </c>
      <c r="Y436" t="s">
        <v>66</v>
      </c>
      <c r="AA436" t="s">
        <v>66</v>
      </c>
      <c r="AC436" t="s">
        <v>66</v>
      </c>
      <c r="AE436" t="s">
        <v>66</v>
      </c>
      <c r="AG436" t="s">
        <v>66</v>
      </c>
      <c r="AI436" t="s">
        <v>66</v>
      </c>
      <c r="AK436" t="s">
        <v>66</v>
      </c>
      <c r="AM436" t="s">
        <v>66</v>
      </c>
      <c r="AO436" t="s">
        <v>66</v>
      </c>
      <c r="AQ436" t="s">
        <v>66</v>
      </c>
      <c r="AS436" t="s">
        <v>66</v>
      </c>
      <c r="AU436" t="s">
        <v>66</v>
      </c>
      <c r="AW436" t="s">
        <v>66</v>
      </c>
      <c r="AY436" t="s">
        <v>66</v>
      </c>
      <c r="BA436" t="s">
        <v>66</v>
      </c>
      <c r="BC436" t="s">
        <v>66</v>
      </c>
      <c r="BE436" t="s">
        <v>66</v>
      </c>
      <c r="BG436" t="s">
        <v>66</v>
      </c>
      <c r="BI436" t="s">
        <v>66</v>
      </c>
      <c r="BK436" t="s">
        <v>66</v>
      </c>
      <c r="BM436" t="s">
        <v>66</v>
      </c>
      <c r="BO436" t="s">
        <v>66</v>
      </c>
      <c r="BQ436" t="s">
        <v>66</v>
      </c>
      <c r="BS436" t="s">
        <v>66</v>
      </c>
      <c r="BU436" t="s">
        <v>66</v>
      </c>
      <c r="BW436" t="s">
        <v>66</v>
      </c>
      <c r="BY436" t="s">
        <v>66</v>
      </c>
      <c r="CA436" t="s">
        <v>66</v>
      </c>
      <c r="CC436" t="s">
        <v>66</v>
      </c>
      <c r="CE436" t="s">
        <v>66</v>
      </c>
      <c r="CG436" t="s">
        <v>66</v>
      </c>
      <c r="CI436" t="s">
        <v>66</v>
      </c>
      <c r="CK436" t="s">
        <v>66</v>
      </c>
      <c r="CM436" t="s">
        <v>66</v>
      </c>
      <c r="CO436" t="s">
        <v>66</v>
      </c>
      <c r="CQ436" t="s">
        <v>66</v>
      </c>
      <c r="CS436" t="s">
        <v>66</v>
      </c>
      <c r="CU436" t="s">
        <v>66</v>
      </c>
      <c r="CW436" t="s">
        <v>66</v>
      </c>
      <c r="CY436" t="s">
        <v>66</v>
      </c>
      <c r="DA436" t="s">
        <v>66</v>
      </c>
      <c r="DC436" t="s">
        <v>66</v>
      </c>
      <c r="DE436" t="s">
        <v>66</v>
      </c>
      <c r="DG436" t="s">
        <v>66</v>
      </c>
      <c r="DI436" t="s">
        <v>66</v>
      </c>
      <c r="DK436" t="s">
        <v>66</v>
      </c>
      <c r="DM436" t="s">
        <v>66</v>
      </c>
      <c r="DO436" t="s">
        <v>66</v>
      </c>
      <c r="DQ436" t="s">
        <v>66</v>
      </c>
    </row>
    <row r="437" spans="1:121" x14ac:dyDescent="0.2">
      <c r="A437" t="s">
        <v>657</v>
      </c>
      <c r="D437" t="s">
        <v>60</v>
      </c>
      <c r="E437" t="s">
        <v>61</v>
      </c>
      <c r="G437">
        <v>32039.599999999999</v>
      </c>
      <c r="I437">
        <v>694.8</v>
      </c>
      <c r="K437">
        <v>2207250</v>
      </c>
      <c r="M437">
        <v>109281.5</v>
      </c>
      <c r="O437">
        <v>812.9</v>
      </c>
      <c r="Q437">
        <v>26141.7</v>
      </c>
      <c r="S437">
        <v>1830.6</v>
      </c>
      <c r="U437">
        <v>1497.9</v>
      </c>
      <c r="W437">
        <v>205507</v>
      </c>
      <c r="Y437">
        <v>180430.4</v>
      </c>
      <c r="AA437">
        <v>13767522.1</v>
      </c>
      <c r="AC437">
        <v>17170227.199999999</v>
      </c>
      <c r="AE437">
        <v>93195961.900000006</v>
      </c>
      <c r="AG437">
        <v>144273.60000000001</v>
      </c>
      <c r="AI437">
        <v>402606.4</v>
      </c>
      <c r="AK437">
        <v>40126.699999999997</v>
      </c>
      <c r="AM437">
        <v>14132.8</v>
      </c>
      <c r="AO437">
        <v>955.7</v>
      </c>
      <c r="AQ437">
        <v>395.9</v>
      </c>
      <c r="AS437">
        <v>375</v>
      </c>
      <c r="AU437">
        <v>257.3</v>
      </c>
      <c r="AW437">
        <v>301.10000000000002</v>
      </c>
      <c r="AY437">
        <v>8652</v>
      </c>
      <c r="BA437">
        <v>689663.3</v>
      </c>
      <c r="BC437">
        <v>2185.1</v>
      </c>
      <c r="BE437">
        <v>31491.8</v>
      </c>
      <c r="BG437">
        <v>3827473.1</v>
      </c>
      <c r="BI437">
        <v>3627055</v>
      </c>
      <c r="BK437">
        <v>7767174.5999999996</v>
      </c>
      <c r="BM437">
        <v>1661679.3</v>
      </c>
      <c r="BO437">
        <v>27149387.199999999</v>
      </c>
      <c r="BQ437">
        <v>54454.2</v>
      </c>
      <c r="BS437">
        <v>179139.3</v>
      </c>
      <c r="BU437">
        <v>8649390.8000000007</v>
      </c>
      <c r="BW437">
        <v>498005.2</v>
      </c>
      <c r="BY437">
        <v>918978.8</v>
      </c>
      <c r="CA437">
        <v>60265.4</v>
      </c>
      <c r="CC437">
        <v>288.89999999999998</v>
      </c>
      <c r="CE437">
        <v>490.8</v>
      </c>
      <c r="CG437">
        <v>12583.9</v>
      </c>
      <c r="CI437">
        <v>84763.7</v>
      </c>
      <c r="CK437">
        <v>569505.30000000005</v>
      </c>
      <c r="CM437">
        <v>57413.5</v>
      </c>
      <c r="CO437">
        <v>7596.6</v>
      </c>
      <c r="CQ437">
        <v>280225.5</v>
      </c>
      <c r="CS437">
        <v>15191570</v>
      </c>
      <c r="CU437">
        <v>1451326.8</v>
      </c>
      <c r="CW437">
        <v>2001814.5</v>
      </c>
      <c r="CY437">
        <v>62020.1</v>
      </c>
      <c r="DA437">
        <v>12661872.9</v>
      </c>
      <c r="DC437">
        <v>228.9</v>
      </c>
      <c r="DE437">
        <v>377445.4</v>
      </c>
      <c r="DG437">
        <v>592.79999999999995</v>
      </c>
      <c r="DI437">
        <v>3336</v>
      </c>
      <c r="DK437">
        <v>761.8</v>
      </c>
      <c r="DM437">
        <v>361224.7</v>
      </c>
      <c r="DO437">
        <v>448981.6</v>
      </c>
      <c r="DQ437">
        <v>15212</v>
      </c>
    </row>
    <row r="438" spans="1:121" x14ac:dyDescent="0.2">
      <c r="D438" t="s">
        <v>62</v>
      </c>
      <c r="E438" t="s">
        <v>61</v>
      </c>
      <c r="G438">
        <v>91.4</v>
      </c>
      <c r="I438">
        <v>125.2</v>
      </c>
      <c r="K438">
        <v>23205.1</v>
      </c>
      <c r="M438">
        <v>1140.7</v>
      </c>
      <c r="O438">
        <v>94.7</v>
      </c>
      <c r="Q438">
        <v>257.39999999999998</v>
      </c>
      <c r="S438">
        <v>136.5</v>
      </c>
      <c r="U438">
        <v>62.5</v>
      </c>
      <c r="W438">
        <v>3516.2</v>
      </c>
      <c r="Y438">
        <v>3186.4</v>
      </c>
      <c r="AA438">
        <v>222332.3</v>
      </c>
      <c r="AC438">
        <v>385565.8</v>
      </c>
      <c r="AE438">
        <v>1033375.4</v>
      </c>
      <c r="AG438">
        <v>2692.3</v>
      </c>
      <c r="AI438">
        <v>4055.9</v>
      </c>
      <c r="AK438">
        <v>349.5</v>
      </c>
      <c r="AM438">
        <v>433.7</v>
      </c>
      <c r="AO438">
        <v>45.6</v>
      </c>
      <c r="AQ438">
        <v>50.2</v>
      </c>
      <c r="AS438">
        <v>8.3000000000000007</v>
      </c>
      <c r="AU438">
        <v>23</v>
      </c>
      <c r="AW438">
        <v>18.100000000000001</v>
      </c>
      <c r="AY438">
        <v>235.5</v>
      </c>
      <c r="BA438">
        <v>9885.4</v>
      </c>
      <c r="BC438">
        <v>167.6</v>
      </c>
      <c r="BE438">
        <v>549.20000000000005</v>
      </c>
      <c r="BG438">
        <v>11272.6</v>
      </c>
      <c r="BI438">
        <v>51737.1</v>
      </c>
      <c r="BK438">
        <v>68546.5</v>
      </c>
      <c r="BM438">
        <v>20878.8</v>
      </c>
      <c r="BO438">
        <v>340493.6</v>
      </c>
      <c r="BQ438">
        <v>236</v>
      </c>
      <c r="BS438">
        <v>2674.8</v>
      </c>
      <c r="BU438">
        <v>73474.399999999994</v>
      </c>
      <c r="BW438">
        <v>6499.3</v>
      </c>
      <c r="BY438">
        <v>5140.2</v>
      </c>
      <c r="CA438">
        <v>792.5</v>
      </c>
      <c r="CC438">
        <v>10</v>
      </c>
      <c r="CE438">
        <v>73.7</v>
      </c>
      <c r="CG438">
        <v>403.5</v>
      </c>
      <c r="CI438">
        <v>903.2</v>
      </c>
      <c r="CK438">
        <v>5934.7</v>
      </c>
      <c r="CM438">
        <v>174.3</v>
      </c>
      <c r="CO438">
        <v>175.5</v>
      </c>
      <c r="CQ438">
        <v>4210</v>
      </c>
      <c r="CS438">
        <v>42296.800000000003</v>
      </c>
      <c r="CU438">
        <v>20055.3</v>
      </c>
      <c r="CW438">
        <v>17000.8</v>
      </c>
      <c r="CY438">
        <v>354.2</v>
      </c>
      <c r="DA438">
        <v>124248</v>
      </c>
      <c r="DC438">
        <v>20.100000000000001</v>
      </c>
      <c r="DE438">
        <v>13146.5</v>
      </c>
      <c r="DG438">
        <v>59</v>
      </c>
      <c r="DI438">
        <v>178.3</v>
      </c>
      <c r="DK438">
        <v>52.9</v>
      </c>
      <c r="DM438">
        <v>7233.4</v>
      </c>
      <c r="DO438">
        <v>10454</v>
      </c>
      <c r="DQ438">
        <v>65.2</v>
      </c>
    </row>
    <row r="439" spans="1:121" x14ac:dyDescent="0.2">
      <c r="D439" t="s">
        <v>63</v>
      </c>
      <c r="G439">
        <v>0.21584</v>
      </c>
      <c r="H439" t="s">
        <v>75</v>
      </c>
      <c r="I439">
        <v>1.1180000000000001E-2</v>
      </c>
      <c r="J439" t="s">
        <v>75</v>
      </c>
      <c r="K439">
        <v>2.7562199999999999</v>
      </c>
      <c r="L439" t="s">
        <v>75</v>
      </c>
      <c r="M439">
        <v>7.4929999999999997E-2</v>
      </c>
      <c r="N439" t="s">
        <v>75</v>
      </c>
      <c r="O439">
        <v>3.5999999999999999E-3</v>
      </c>
      <c r="P439" t="s">
        <v>75</v>
      </c>
      <c r="Q439">
        <v>0.18694</v>
      </c>
      <c r="R439" t="s">
        <v>75</v>
      </c>
      <c r="S439">
        <v>8.8000000000000003E-4</v>
      </c>
      <c r="T439" t="s">
        <v>75</v>
      </c>
      <c r="U439">
        <v>1.174E-2</v>
      </c>
      <c r="V439" t="s">
        <v>75</v>
      </c>
      <c r="W439">
        <v>0.43201000000000001</v>
      </c>
      <c r="X439" t="s">
        <v>75</v>
      </c>
      <c r="Y439">
        <v>2.6335000000000002</v>
      </c>
      <c r="Z439" t="s">
        <v>75</v>
      </c>
      <c r="AB439" t="s">
        <v>76</v>
      </c>
      <c r="AC439">
        <v>60.087600000000002</v>
      </c>
      <c r="AD439" t="s">
        <v>75</v>
      </c>
      <c r="AE439">
        <v>343.16478000000001</v>
      </c>
      <c r="AF439" t="s">
        <v>75</v>
      </c>
      <c r="AG439">
        <v>9.5009999999999997E-2</v>
      </c>
      <c r="AH439" t="s">
        <v>75</v>
      </c>
      <c r="AI439">
        <v>2.50177</v>
      </c>
      <c r="AJ439" t="s">
        <v>75</v>
      </c>
      <c r="AK439">
        <v>2.4920000000000001E-2</v>
      </c>
      <c r="AL439" t="s">
        <v>75</v>
      </c>
      <c r="AM439">
        <v>4.7499999999999999E-3</v>
      </c>
      <c r="AN439" t="s">
        <v>75</v>
      </c>
      <c r="AO439">
        <v>4.8599999999999997E-3</v>
      </c>
      <c r="AP439" t="s">
        <v>75</v>
      </c>
      <c r="AQ439">
        <v>7.1000000000000002E-4</v>
      </c>
      <c r="AR439" t="s">
        <v>75</v>
      </c>
      <c r="AS439">
        <v>5.9999999999999995E-4</v>
      </c>
      <c r="AT439" t="s">
        <v>75</v>
      </c>
      <c r="AU439">
        <v>1.5200000000000001E-3</v>
      </c>
      <c r="AV439" t="s">
        <v>75</v>
      </c>
      <c r="AW439">
        <v>-8.0000000000000007E-5</v>
      </c>
      <c r="AX439" t="s">
        <v>75</v>
      </c>
      <c r="AY439">
        <v>1.7090000000000001E-2</v>
      </c>
      <c r="AZ439" t="s">
        <v>75</v>
      </c>
      <c r="BC439">
        <v>-2.05348</v>
      </c>
      <c r="BD439" t="s">
        <v>75</v>
      </c>
      <c r="BE439">
        <v>3.2129999999999999E-2</v>
      </c>
      <c r="BF439" t="s">
        <v>75</v>
      </c>
      <c r="BG439">
        <v>10.779400000000001</v>
      </c>
      <c r="BH439" t="s">
        <v>75</v>
      </c>
      <c r="BI439">
        <v>11.768420000000001</v>
      </c>
      <c r="BJ439" t="s">
        <v>75</v>
      </c>
      <c r="BK439">
        <v>10.96461</v>
      </c>
      <c r="BL439" t="s">
        <v>75</v>
      </c>
      <c r="BM439">
        <v>1.5252300000000001</v>
      </c>
      <c r="BN439" t="s">
        <v>75</v>
      </c>
      <c r="BO439">
        <v>574.48986000000002</v>
      </c>
      <c r="BP439" t="s">
        <v>75</v>
      </c>
      <c r="BQ439">
        <v>1.35212</v>
      </c>
      <c r="BR439" t="s">
        <v>75</v>
      </c>
      <c r="BS439">
        <v>3.39994</v>
      </c>
      <c r="BT439" t="s">
        <v>75</v>
      </c>
      <c r="BU439">
        <v>323.44445000000002</v>
      </c>
      <c r="BV439" t="s">
        <v>75</v>
      </c>
      <c r="BW439">
        <v>202.97300000000001</v>
      </c>
      <c r="BX439" t="s">
        <v>75</v>
      </c>
      <c r="BY439">
        <v>240.06384</v>
      </c>
      <c r="BZ439" t="s">
        <v>75</v>
      </c>
      <c r="CA439">
        <v>27.435359999999999</v>
      </c>
      <c r="CB439" t="s">
        <v>75</v>
      </c>
      <c r="CC439">
        <v>4.4990000000000002E-2</v>
      </c>
      <c r="CD439" t="s">
        <v>75</v>
      </c>
      <c r="CE439">
        <v>5.3800000000000002E-3</v>
      </c>
      <c r="CF439" t="s">
        <v>75</v>
      </c>
      <c r="CG439">
        <v>0.18883</v>
      </c>
      <c r="CH439" t="s">
        <v>75</v>
      </c>
      <c r="CI439">
        <v>1.0345</v>
      </c>
      <c r="CJ439" t="s">
        <v>75</v>
      </c>
      <c r="CK439">
        <v>7.4227600000000002</v>
      </c>
      <c r="CL439" t="s">
        <v>75</v>
      </c>
      <c r="CM439">
        <v>0.77688000000000001</v>
      </c>
      <c r="CN439" t="s">
        <v>75</v>
      </c>
      <c r="CO439">
        <v>0.42326999999999998</v>
      </c>
      <c r="CP439" t="s">
        <v>75</v>
      </c>
      <c r="CQ439">
        <v>8.1220599999999994</v>
      </c>
      <c r="CR439" t="s">
        <v>75</v>
      </c>
      <c r="CS439">
        <v>3820.4738200000002</v>
      </c>
      <c r="CT439" t="s">
        <v>75</v>
      </c>
      <c r="CV439" t="s">
        <v>76</v>
      </c>
      <c r="CW439">
        <v>71.417529999999999</v>
      </c>
      <c r="CX439" t="s">
        <v>75</v>
      </c>
      <c r="DA439">
        <v>808.7473</v>
      </c>
      <c r="DB439" t="s">
        <v>75</v>
      </c>
      <c r="DC439">
        <v>0.10684</v>
      </c>
      <c r="DD439" t="s">
        <v>75</v>
      </c>
      <c r="DE439">
        <v>183.04414</v>
      </c>
      <c r="DF439" t="s">
        <v>75</v>
      </c>
      <c r="DG439">
        <v>3.2798099999999999</v>
      </c>
      <c r="DH439" t="s">
        <v>75</v>
      </c>
      <c r="DI439">
        <v>5.8468900000000001</v>
      </c>
      <c r="DJ439" t="s">
        <v>75</v>
      </c>
      <c r="DL439" t="s">
        <v>76</v>
      </c>
      <c r="DN439" t="s">
        <v>76</v>
      </c>
      <c r="DO439">
        <v>71.182140000000004</v>
      </c>
      <c r="DP439" t="s">
        <v>75</v>
      </c>
    </row>
    <row r="440" spans="1:121" x14ac:dyDescent="0.2">
      <c r="D440" t="s">
        <v>64</v>
      </c>
      <c r="G440">
        <v>3.5000000000000001E-3</v>
      </c>
      <c r="H440" t="s">
        <v>75</v>
      </c>
      <c r="I440">
        <v>4.1099999999999999E-3</v>
      </c>
      <c r="J440" t="s">
        <v>75</v>
      </c>
      <c r="K440">
        <v>3.4909999999999997E-2</v>
      </c>
      <c r="L440" t="s">
        <v>75</v>
      </c>
      <c r="M440">
        <v>8.8999999999999995E-4</v>
      </c>
      <c r="N440" t="s">
        <v>75</v>
      </c>
      <c r="O440">
        <v>8.0000000000000007E-5</v>
      </c>
      <c r="P440" t="s">
        <v>75</v>
      </c>
      <c r="Q440">
        <v>3.1199999999999999E-3</v>
      </c>
      <c r="R440" t="s">
        <v>75</v>
      </c>
      <c r="S440">
        <v>1.3999999999999999E-4</v>
      </c>
      <c r="T440" t="s">
        <v>75</v>
      </c>
      <c r="U440">
        <v>2.5000000000000001E-4</v>
      </c>
      <c r="V440" t="s">
        <v>75</v>
      </c>
      <c r="W440">
        <v>4.15E-3</v>
      </c>
      <c r="X440" t="s">
        <v>75</v>
      </c>
      <c r="Y440">
        <v>3.1669999999999997E-2</v>
      </c>
      <c r="Z440" t="s">
        <v>75</v>
      </c>
      <c r="AC440">
        <v>1.4434499999999999</v>
      </c>
      <c r="AD440" t="s">
        <v>75</v>
      </c>
      <c r="AE440">
        <v>4.7965900000000001</v>
      </c>
      <c r="AF440" t="s">
        <v>75</v>
      </c>
      <c r="AG440">
        <v>3.49E-3</v>
      </c>
      <c r="AH440" t="s">
        <v>75</v>
      </c>
      <c r="AI440">
        <v>5.3460000000000001E-2</v>
      </c>
      <c r="AJ440" t="s">
        <v>75</v>
      </c>
      <c r="AK440">
        <v>5.8E-4</v>
      </c>
      <c r="AL440" t="s">
        <v>75</v>
      </c>
      <c r="AM440">
        <v>3.8999999999999999E-4</v>
      </c>
      <c r="AN440" t="s">
        <v>75</v>
      </c>
      <c r="AO440">
        <v>1.7000000000000001E-4</v>
      </c>
      <c r="AP440" t="s">
        <v>75</v>
      </c>
      <c r="AQ440">
        <v>2.0000000000000001E-4</v>
      </c>
      <c r="AR440" t="s">
        <v>75</v>
      </c>
      <c r="AS440">
        <v>6.0000000000000002E-5</v>
      </c>
      <c r="AT440" t="s">
        <v>75</v>
      </c>
      <c r="AU440">
        <v>2.0000000000000002E-5</v>
      </c>
      <c r="AV440" t="s">
        <v>75</v>
      </c>
      <c r="AW440">
        <v>5.0000000000000002E-5</v>
      </c>
      <c r="AX440" t="s">
        <v>75</v>
      </c>
      <c r="AY440">
        <v>1.1000000000000001E-3</v>
      </c>
      <c r="AZ440" t="s">
        <v>75</v>
      </c>
      <c r="BC440">
        <v>5.8E-4</v>
      </c>
      <c r="BD440" t="s">
        <v>75</v>
      </c>
      <c r="BE440">
        <v>7.5000000000000002E-4</v>
      </c>
      <c r="BF440" t="s">
        <v>75</v>
      </c>
      <c r="BG440">
        <v>0.14921000000000001</v>
      </c>
      <c r="BH440" t="s">
        <v>75</v>
      </c>
      <c r="BI440">
        <v>0.10541</v>
      </c>
      <c r="BJ440" t="s">
        <v>75</v>
      </c>
      <c r="BK440">
        <v>0.11532000000000001</v>
      </c>
      <c r="BL440" t="s">
        <v>75</v>
      </c>
      <c r="BM440">
        <v>2.111E-2</v>
      </c>
      <c r="BN440" t="s">
        <v>75</v>
      </c>
      <c r="BO440">
        <v>3.9441700000000002</v>
      </c>
      <c r="BP440" t="s">
        <v>75</v>
      </c>
      <c r="BQ440">
        <v>1.6629999999999999E-2</v>
      </c>
      <c r="BR440" t="s">
        <v>75</v>
      </c>
      <c r="BS440">
        <v>4.2000000000000003E-2</v>
      </c>
      <c r="BT440" t="s">
        <v>75</v>
      </c>
      <c r="BU440">
        <v>3.3157800000000002</v>
      </c>
      <c r="BV440" t="s">
        <v>75</v>
      </c>
      <c r="BW440">
        <v>2.6342099999999999</v>
      </c>
      <c r="BX440" t="s">
        <v>75</v>
      </c>
      <c r="BY440">
        <v>2.03626</v>
      </c>
      <c r="BZ440" t="s">
        <v>75</v>
      </c>
      <c r="CA440">
        <v>0.24636</v>
      </c>
      <c r="CB440" t="s">
        <v>75</v>
      </c>
      <c r="CC440">
        <v>1.72E-3</v>
      </c>
      <c r="CD440" t="s">
        <v>75</v>
      </c>
      <c r="CE440">
        <v>1.0300000000000001E-3</v>
      </c>
      <c r="CF440" t="s">
        <v>75</v>
      </c>
      <c r="CG440">
        <v>6.2700000000000004E-3</v>
      </c>
      <c r="CH440" t="s">
        <v>75</v>
      </c>
      <c r="CI440">
        <v>1.426E-2</v>
      </c>
      <c r="CJ440" t="s">
        <v>75</v>
      </c>
      <c r="CK440">
        <v>0.11176999999999999</v>
      </c>
      <c r="CL440" t="s">
        <v>75</v>
      </c>
      <c r="CM440">
        <v>4.5399999999999998E-3</v>
      </c>
      <c r="CN440" t="s">
        <v>75</v>
      </c>
      <c r="CO440">
        <v>8.3700000000000007E-3</v>
      </c>
      <c r="CP440" t="s">
        <v>75</v>
      </c>
      <c r="CQ440">
        <v>0.15115000000000001</v>
      </c>
      <c r="CR440" t="s">
        <v>75</v>
      </c>
      <c r="CS440">
        <v>11.27436</v>
      </c>
      <c r="CT440" t="s">
        <v>75</v>
      </c>
      <c r="CW440">
        <v>0.66998000000000002</v>
      </c>
      <c r="CX440" t="s">
        <v>75</v>
      </c>
      <c r="DA440">
        <v>8.5824400000000001</v>
      </c>
      <c r="DB440" t="s">
        <v>75</v>
      </c>
      <c r="DC440">
        <v>9.9299999999999996E-3</v>
      </c>
      <c r="DD440" t="s">
        <v>75</v>
      </c>
      <c r="DE440">
        <v>5.8702500000000004</v>
      </c>
      <c r="DF440" t="s">
        <v>75</v>
      </c>
      <c r="DG440">
        <v>0.32625999999999999</v>
      </c>
      <c r="DH440" t="s">
        <v>75</v>
      </c>
      <c r="DI440">
        <v>0.34514</v>
      </c>
      <c r="DJ440" t="s">
        <v>75</v>
      </c>
      <c r="DO440">
        <v>1.853</v>
      </c>
      <c r="DP440" t="s">
        <v>75</v>
      </c>
    </row>
    <row r="441" spans="1:121" x14ac:dyDescent="0.2">
      <c r="D441" t="s">
        <v>65</v>
      </c>
      <c r="G441" t="s">
        <v>66</v>
      </c>
      <c r="I441" t="s">
        <v>66</v>
      </c>
      <c r="K441" t="s">
        <v>66</v>
      </c>
      <c r="M441" t="s">
        <v>66</v>
      </c>
      <c r="O441" t="s">
        <v>66</v>
      </c>
      <c r="Q441" t="s">
        <v>66</v>
      </c>
      <c r="S441" t="s">
        <v>66</v>
      </c>
      <c r="U441" t="s">
        <v>66</v>
      </c>
      <c r="W441" t="s">
        <v>66</v>
      </c>
      <c r="Y441" t="s">
        <v>66</v>
      </c>
      <c r="AA441" t="s">
        <v>66</v>
      </c>
      <c r="AC441" t="s">
        <v>66</v>
      </c>
      <c r="AE441" t="s">
        <v>66</v>
      </c>
      <c r="AG441" t="s">
        <v>66</v>
      </c>
      <c r="AI441" t="s">
        <v>66</v>
      </c>
      <c r="AK441" t="s">
        <v>66</v>
      </c>
      <c r="AM441" t="s">
        <v>66</v>
      </c>
      <c r="AO441" t="s">
        <v>66</v>
      </c>
      <c r="AQ441" t="s">
        <v>66</v>
      </c>
      <c r="AS441" t="s">
        <v>66</v>
      </c>
      <c r="AU441" t="s">
        <v>66</v>
      </c>
      <c r="AW441" t="s">
        <v>66</v>
      </c>
      <c r="AY441" t="s">
        <v>66</v>
      </c>
      <c r="BA441" t="s">
        <v>66</v>
      </c>
      <c r="BC441" t="s">
        <v>66</v>
      </c>
      <c r="BE441" t="s">
        <v>66</v>
      </c>
      <c r="BG441" t="s">
        <v>66</v>
      </c>
      <c r="BI441" t="s">
        <v>66</v>
      </c>
      <c r="BK441" t="s">
        <v>66</v>
      </c>
      <c r="BM441" t="s">
        <v>66</v>
      </c>
      <c r="BO441" t="s">
        <v>66</v>
      </c>
      <c r="BQ441" t="s">
        <v>66</v>
      </c>
      <c r="BS441" t="s">
        <v>66</v>
      </c>
      <c r="BU441" t="s">
        <v>66</v>
      </c>
      <c r="BW441" t="s">
        <v>66</v>
      </c>
      <c r="BY441" t="s">
        <v>66</v>
      </c>
      <c r="CA441" t="s">
        <v>66</v>
      </c>
      <c r="CC441" t="s">
        <v>66</v>
      </c>
      <c r="CE441" t="s">
        <v>66</v>
      </c>
      <c r="CG441" t="s">
        <v>66</v>
      </c>
      <c r="CI441" t="s">
        <v>66</v>
      </c>
      <c r="CK441" t="s">
        <v>66</v>
      </c>
      <c r="CM441" t="s">
        <v>66</v>
      </c>
      <c r="CO441" t="s">
        <v>66</v>
      </c>
      <c r="CQ441" t="s">
        <v>66</v>
      </c>
      <c r="CS441" t="s">
        <v>66</v>
      </c>
      <c r="CU441" t="s">
        <v>66</v>
      </c>
      <c r="CW441" t="s">
        <v>66</v>
      </c>
      <c r="CY441" t="s">
        <v>66</v>
      </c>
      <c r="DA441" t="s">
        <v>66</v>
      </c>
      <c r="DC441" t="s">
        <v>66</v>
      </c>
      <c r="DE441" t="s">
        <v>66</v>
      </c>
      <c r="DG441" t="s">
        <v>66</v>
      </c>
      <c r="DI441" t="s">
        <v>66</v>
      </c>
      <c r="DK441" t="s">
        <v>66</v>
      </c>
      <c r="DM441" t="s">
        <v>66</v>
      </c>
      <c r="DO441" t="s">
        <v>66</v>
      </c>
      <c r="DQ441" t="s">
        <v>66</v>
      </c>
    </row>
    <row r="442" spans="1:121" x14ac:dyDescent="0.2">
      <c r="A442" t="s">
        <v>658</v>
      </c>
      <c r="D442" t="s">
        <v>60</v>
      </c>
      <c r="E442" t="s">
        <v>61</v>
      </c>
      <c r="G442">
        <v>17635.5</v>
      </c>
      <c r="I442">
        <v>822.7</v>
      </c>
      <c r="K442">
        <v>855775</v>
      </c>
      <c r="M442">
        <v>94916.7</v>
      </c>
      <c r="O442">
        <v>1536.5</v>
      </c>
      <c r="Q442">
        <v>10865.8</v>
      </c>
      <c r="S442">
        <v>1696.1</v>
      </c>
      <c r="U442">
        <v>1358.2</v>
      </c>
      <c r="W442">
        <v>44165.2</v>
      </c>
      <c r="Y442">
        <v>85088.5</v>
      </c>
      <c r="AA442">
        <v>8681828.8000000007</v>
      </c>
      <c r="AC442">
        <v>8746723.1999999993</v>
      </c>
      <c r="AE442">
        <v>46809248.299999997</v>
      </c>
      <c r="AG442">
        <v>69081.100000000006</v>
      </c>
      <c r="AI442">
        <v>157024.29999999999</v>
      </c>
      <c r="AK442">
        <v>78319.600000000006</v>
      </c>
      <c r="AM442">
        <v>166561.20000000001</v>
      </c>
      <c r="AO442">
        <v>9541.7999999999993</v>
      </c>
      <c r="AQ442">
        <v>417.8</v>
      </c>
      <c r="AS442">
        <v>833.7</v>
      </c>
      <c r="AU442">
        <v>400</v>
      </c>
      <c r="AW442">
        <v>709.6</v>
      </c>
      <c r="AY442">
        <v>6048.3</v>
      </c>
      <c r="BA442">
        <v>684869.5</v>
      </c>
      <c r="BC442">
        <v>2176.8000000000002</v>
      </c>
      <c r="BE442">
        <v>32343</v>
      </c>
      <c r="BG442">
        <v>1750694.5</v>
      </c>
      <c r="BI442">
        <v>1475261.8</v>
      </c>
      <c r="BK442">
        <v>3683741.4</v>
      </c>
      <c r="BM442">
        <v>750371.9</v>
      </c>
      <c r="BO442">
        <v>11841710.4</v>
      </c>
      <c r="BQ442">
        <v>30831.7</v>
      </c>
      <c r="BS442">
        <v>162416.29999999999</v>
      </c>
      <c r="BU442">
        <v>4198074.2</v>
      </c>
      <c r="BW442">
        <v>217505.1</v>
      </c>
      <c r="BY442">
        <v>373861.5</v>
      </c>
      <c r="CA442">
        <v>36127.9</v>
      </c>
      <c r="CC442">
        <v>154.6</v>
      </c>
      <c r="CE442">
        <v>296.3</v>
      </c>
      <c r="CG442">
        <v>8491.4</v>
      </c>
      <c r="CI442">
        <v>47016.3</v>
      </c>
      <c r="CK442">
        <v>509198.5</v>
      </c>
      <c r="CM442">
        <v>25252.6</v>
      </c>
      <c r="CO442">
        <v>4653.8</v>
      </c>
      <c r="CQ442">
        <v>184994.5</v>
      </c>
      <c r="CS442">
        <v>6430216.4000000004</v>
      </c>
      <c r="CU442">
        <v>887758.5</v>
      </c>
      <c r="CW442">
        <v>996915.3</v>
      </c>
      <c r="CY442">
        <v>59609.3</v>
      </c>
      <c r="DA442">
        <v>5230719.7</v>
      </c>
      <c r="DC442">
        <v>98.3</v>
      </c>
      <c r="DE442">
        <v>155895.1</v>
      </c>
      <c r="DG442">
        <v>452.5</v>
      </c>
      <c r="DI442">
        <v>3473.6</v>
      </c>
      <c r="DK442">
        <v>747.9</v>
      </c>
      <c r="DM442">
        <v>225797.8</v>
      </c>
      <c r="DO442">
        <v>229115.6</v>
      </c>
      <c r="DQ442">
        <v>14988.3</v>
      </c>
    </row>
    <row r="443" spans="1:121" x14ac:dyDescent="0.2">
      <c r="D443" t="s">
        <v>62</v>
      </c>
      <c r="E443" t="s">
        <v>61</v>
      </c>
      <c r="G443">
        <v>210.2</v>
      </c>
      <c r="I443">
        <v>78.099999999999994</v>
      </c>
      <c r="K443">
        <v>10259</v>
      </c>
      <c r="M443">
        <v>1190.7</v>
      </c>
      <c r="O443">
        <v>75.099999999999994</v>
      </c>
      <c r="Q443">
        <v>108.6</v>
      </c>
      <c r="S443">
        <v>60.8</v>
      </c>
      <c r="U443">
        <v>48.5</v>
      </c>
      <c r="W443">
        <v>430.1</v>
      </c>
      <c r="Y443">
        <v>35.6</v>
      </c>
      <c r="AA443">
        <v>25068.400000000001</v>
      </c>
      <c r="AC443">
        <v>104134.8</v>
      </c>
      <c r="AE443">
        <v>635290</v>
      </c>
      <c r="AG443">
        <v>1202.5</v>
      </c>
      <c r="AI443">
        <v>1185.7</v>
      </c>
      <c r="AK443">
        <v>904.4</v>
      </c>
      <c r="AM443">
        <v>1430.5</v>
      </c>
      <c r="AO443">
        <v>344.9</v>
      </c>
      <c r="AQ443">
        <v>79.2</v>
      </c>
      <c r="AS443">
        <v>83.8</v>
      </c>
      <c r="AU443">
        <v>21.9</v>
      </c>
      <c r="AW443">
        <v>68.2</v>
      </c>
      <c r="AY443">
        <v>145.4</v>
      </c>
      <c r="BA443">
        <v>7635.7</v>
      </c>
      <c r="BC443">
        <v>58</v>
      </c>
      <c r="BE443">
        <v>539.6</v>
      </c>
      <c r="BG443">
        <v>24287.3</v>
      </c>
      <c r="BI443">
        <v>14884.7</v>
      </c>
      <c r="BK443">
        <v>175734.9</v>
      </c>
      <c r="BM443">
        <v>12180.6</v>
      </c>
      <c r="BO443">
        <v>197032.8</v>
      </c>
      <c r="BQ443">
        <v>341.1</v>
      </c>
      <c r="BS443">
        <v>4235</v>
      </c>
      <c r="BU443">
        <v>34196.300000000003</v>
      </c>
      <c r="BW443">
        <v>2729.2</v>
      </c>
      <c r="BY443">
        <v>3499.4</v>
      </c>
      <c r="CA443">
        <v>299.7</v>
      </c>
      <c r="CC443">
        <v>21.6</v>
      </c>
      <c r="CE443">
        <v>30</v>
      </c>
      <c r="CG443">
        <v>85</v>
      </c>
      <c r="CI443">
        <v>551.4</v>
      </c>
      <c r="CK443">
        <v>6666.5</v>
      </c>
      <c r="CM443">
        <v>314.2</v>
      </c>
      <c r="CO443">
        <v>205.8</v>
      </c>
      <c r="CQ443">
        <v>1020.6</v>
      </c>
      <c r="CS443">
        <v>107161.5</v>
      </c>
      <c r="CU443">
        <v>16126.8</v>
      </c>
      <c r="CW443">
        <v>2294.6999999999998</v>
      </c>
      <c r="CY443">
        <v>511.4</v>
      </c>
      <c r="DA443">
        <v>43935.6</v>
      </c>
      <c r="DC443">
        <v>25.9</v>
      </c>
      <c r="DE443">
        <v>3263.4</v>
      </c>
      <c r="DG443">
        <v>29.5</v>
      </c>
      <c r="DI443">
        <v>222.3</v>
      </c>
      <c r="DK443">
        <v>33.799999999999997</v>
      </c>
      <c r="DM443">
        <v>2664.8</v>
      </c>
      <c r="DO443">
        <v>5461.6</v>
      </c>
      <c r="DQ443">
        <v>293.60000000000002</v>
      </c>
    </row>
    <row r="444" spans="1:121" x14ac:dyDescent="0.2">
      <c r="D444" t="s">
        <v>63</v>
      </c>
      <c r="G444">
        <v>0.10432</v>
      </c>
      <c r="H444" t="s">
        <v>75</v>
      </c>
      <c r="I444">
        <v>1.5789999999999998E-2</v>
      </c>
      <c r="J444" t="s">
        <v>75</v>
      </c>
      <c r="K444">
        <v>1.07406</v>
      </c>
      <c r="L444" t="s">
        <v>75</v>
      </c>
      <c r="M444">
        <v>6.1249999999999999E-2</v>
      </c>
      <c r="N444" t="s">
        <v>75</v>
      </c>
      <c r="O444">
        <v>4.1999999999999997E-3</v>
      </c>
      <c r="P444" t="s">
        <v>75</v>
      </c>
      <c r="Q444">
        <v>9.0450000000000003E-2</v>
      </c>
      <c r="R444" t="s">
        <v>75</v>
      </c>
      <c r="S444">
        <v>7.7999999999999999E-4</v>
      </c>
      <c r="T444" t="s">
        <v>75</v>
      </c>
      <c r="U444">
        <v>1.1209999999999999E-2</v>
      </c>
      <c r="V444" t="s">
        <v>75</v>
      </c>
      <c r="W444">
        <v>9.6269999999999994E-2</v>
      </c>
      <c r="X444" t="s">
        <v>75</v>
      </c>
      <c r="Y444">
        <v>1.2506999999999999</v>
      </c>
      <c r="Z444" t="s">
        <v>75</v>
      </c>
      <c r="AB444" t="s">
        <v>76</v>
      </c>
      <c r="AC444">
        <v>30.845780000000001</v>
      </c>
      <c r="AD444" t="s">
        <v>75</v>
      </c>
      <c r="AE444">
        <v>173.60043999999999</v>
      </c>
      <c r="AF444" t="s">
        <v>75</v>
      </c>
      <c r="AG444">
        <v>3.7339999999999998E-2</v>
      </c>
      <c r="AH444" t="s">
        <v>75</v>
      </c>
      <c r="AI444">
        <v>0.98251999999999995</v>
      </c>
      <c r="AJ444" t="s">
        <v>75</v>
      </c>
      <c r="AK444">
        <v>5.1060000000000001E-2</v>
      </c>
      <c r="AL444" t="s">
        <v>75</v>
      </c>
      <c r="AM444">
        <v>0.11819</v>
      </c>
      <c r="AN444" t="s">
        <v>75</v>
      </c>
      <c r="AO444">
        <v>3.5929999999999997E-2</v>
      </c>
      <c r="AP444" t="s">
        <v>75</v>
      </c>
      <c r="AQ444">
        <v>8.1999999999999998E-4</v>
      </c>
      <c r="AR444" t="s">
        <v>75</v>
      </c>
      <c r="AS444">
        <v>2.63E-3</v>
      </c>
      <c r="AT444" t="s">
        <v>75</v>
      </c>
      <c r="AU444">
        <v>1.6100000000000001E-3</v>
      </c>
      <c r="AV444" t="s">
        <v>75</v>
      </c>
      <c r="AW444">
        <v>8.8999999999999995E-4</v>
      </c>
      <c r="AX444" t="s">
        <v>75</v>
      </c>
      <c r="AY444">
        <v>8.9599999999999992E-3</v>
      </c>
      <c r="AZ444" t="s">
        <v>75</v>
      </c>
      <c r="BC444">
        <v>-2.0534599999999998</v>
      </c>
      <c r="BD444" t="s">
        <v>75</v>
      </c>
      <c r="BE444">
        <v>3.3140000000000003E-2</v>
      </c>
      <c r="BF444" t="s">
        <v>75</v>
      </c>
      <c r="BG444">
        <v>4.9442899999999996</v>
      </c>
      <c r="BH444" t="s">
        <v>75</v>
      </c>
      <c r="BI444">
        <v>4.8112700000000004</v>
      </c>
      <c r="BJ444" t="s">
        <v>75</v>
      </c>
      <c r="BK444">
        <v>4.9867600000000003</v>
      </c>
      <c r="BL444" t="s">
        <v>75</v>
      </c>
      <c r="BM444">
        <v>0.68820000000000003</v>
      </c>
      <c r="BN444" t="s">
        <v>75</v>
      </c>
      <c r="BO444">
        <v>259.77465000000001</v>
      </c>
      <c r="BP444" t="s">
        <v>75</v>
      </c>
      <c r="BQ444">
        <v>0.62409000000000003</v>
      </c>
      <c r="BR444" t="s">
        <v>75</v>
      </c>
      <c r="BS444">
        <v>3.1810900000000002</v>
      </c>
      <c r="BT444" t="s">
        <v>75</v>
      </c>
      <c r="BU444">
        <v>153.20044999999999</v>
      </c>
      <c r="BV444" t="s">
        <v>75</v>
      </c>
      <c r="BW444">
        <v>92.097769999999997</v>
      </c>
      <c r="BX444" t="s">
        <v>75</v>
      </c>
      <c r="BY444">
        <v>96.924229999999994</v>
      </c>
      <c r="BZ444" t="s">
        <v>75</v>
      </c>
      <c r="CA444">
        <v>15.755940000000001</v>
      </c>
      <c r="CB444" t="s">
        <v>75</v>
      </c>
      <c r="CC444">
        <v>1.8749999999999999E-2</v>
      </c>
      <c r="CD444" t="s">
        <v>75</v>
      </c>
      <c r="CE444">
        <v>2.7699999999999999E-3</v>
      </c>
      <c r="CF444" t="s">
        <v>75</v>
      </c>
      <c r="CG444">
        <v>0.12742000000000001</v>
      </c>
      <c r="CH444" t="s">
        <v>75</v>
      </c>
      <c r="CI444">
        <v>0.58487</v>
      </c>
      <c r="CJ444" t="s">
        <v>75</v>
      </c>
      <c r="CK444">
        <v>6.8817399999999997</v>
      </c>
      <c r="CL444" t="s">
        <v>75</v>
      </c>
      <c r="CM444">
        <v>0.35174</v>
      </c>
      <c r="CN444" t="s">
        <v>75</v>
      </c>
      <c r="CO444">
        <v>0.27361000000000002</v>
      </c>
      <c r="CP444" t="s">
        <v>75</v>
      </c>
      <c r="CQ444">
        <v>5.5703199999999997</v>
      </c>
      <c r="CR444" t="s">
        <v>75</v>
      </c>
      <c r="CS444">
        <v>1682.6511399999999</v>
      </c>
      <c r="CT444" t="s">
        <v>75</v>
      </c>
      <c r="CV444" t="s">
        <v>76</v>
      </c>
      <c r="CW444">
        <v>36.993749999999999</v>
      </c>
      <c r="CX444" t="s">
        <v>75</v>
      </c>
      <c r="DA444">
        <v>339.0745</v>
      </c>
      <c r="DB444" t="s">
        <v>75</v>
      </c>
      <c r="DC444">
        <v>4.6010000000000002E-2</v>
      </c>
      <c r="DD444" t="s">
        <v>75</v>
      </c>
      <c r="DE444">
        <v>76.761660000000006</v>
      </c>
      <c r="DF444" t="s">
        <v>75</v>
      </c>
      <c r="DG444">
        <v>2.52955</v>
      </c>
      <c r="DH444" t="s">
        <v>75</v>
      </c>
      <c r="DI444">
        <v>6.2067600000000001</v>
      </c>
      <c r="DJ444" t="s">
        <v>75</v>
      </c>
      <c r="DL444" t="s">
        <v>76</v>
      </c>
      <c r="DN444" t="s">
        <v>76</v>
      </c>
      <c r="DO444">
        <v>36.862819999999999</v>
      </c>
      <c r="DP444" t="s">
        <v>75</v>
      </c>
    </row>
    <row r="445" spans="1:121" x14ac:dyDescent="0.2">
      <c r="D445" t="s">
        <v>64</v>
      </c>
      <c r="G445">
        <v>2.7799999999999999E-3</v>
      </c>
      <c r="H445" t="s">
        <v>75</v>
      </c>
      <c r="I445">
        <v>2.5000000000000001E-3</v>
      </c>
      <c r="J445" t="s">
        <v>75</v>
      </c>
      <c r="K445">
        <v>2.4649999999999998E-2</v>
      </c>
      <c r="L445" t="s">
        <v>75</v>
      </c>
      <c r="M445">
        <v>2.2499999999999998E-3</v>
      </c>
      <c r="N445" t="s">
        <v>75</v>
      </c>
      <c r="O445">
        <v>6.9999999999999994E-5</v>
      </c>
      <c r="P445" t="s">
        <v>75</v>
      </c>
      <c r="Q445">
        <v>7.6000000000000004E-4</v>
      </c>
      <c r="R445" t="s">
        <v>75</v>
      </c>
      <c r="S445">
        <v>5.0000000000000002E-5</v>
      </c>
      <c r="T445" t="s">
        <v>75</v>
      </c>
      <c r="U445">
        <v>2.3000000000000001E-4</v>
      </c>
      <c r="V445" t="s">
        <v>75</v>
      </c>
      <c r="W445">
        <v>5.6999999999999998E-4</v>
      </c>
      <c r="X445" t="s">
        <v>75</v>
      </c>
      <c r="Y445">
        <v>1.3469999999999999E-2</v>
      </c>
      <c r="Z445" t="s">
        <v>75</v>
      </c>
      <c r="AC445">
        <v>0.66547000000000001</v>
      </c>
      <c r="AD445" t="s">
        <v>75</v>
      </c>
      <c r="AE445">
        <v>4.1772200000000002</v>
      </c>
      <c r="AF445" t="s">
        <v>75</v>
      </c>
      <c r="AG445">
        <v>1.5299999999999999E-3</v>
      </c>
      <c r="AH445" t="s">
        <v>75</v>
      </c>
      <c r="AI445">
        <v>1.831E-2</v>
      </c>
      <c r="AJ445" t="s">
        <v>75</v>
      </c>
      <c r="AK445">
        <v>1.07E-3</v>
      </c>
      <c r="AL445" t="s">
        <v>75</v>
      </c>
      <c r="AM445">
        <v>2.3400000000000001E-3</v>
      </c>
      <c r="AN445" t="s">
        <v>75</v>
      </c>
      <c r="AO445">
        <v>1.6299999999999999E-3</v>
      </c>
      <c r="AP445" t="s">
        <v>75</v>
      </c>
      <c r="AQ445">
        <v>3.6000000000000002E-4</v>
      </c>
      <c r="AR445" t="s">
        <v>75</v>
      </c>
      <c r="AS445">
        <v>3.6000000000000002E-4</v>
      </c>
      <c r="AT445" t="s">
        <v>75</v>
      </c>
      <c r="AU445">
        <v>1.0000000000000001E-5</v>
      </c>
      <c r="AV445" t="s">
        <v>75</v>
      </c>
      <c r="AW445">
        <v>1.6000000000000001E-4</v>
      </c>
      <c r="AX445" t="s">
        <v>75</v>
      </c>
      <c r="AY445">
        <v>6.6E-4</v>
      </c>
      <c r="AZ445" t="s">
        <v>75</v>
      </c>
      <c r="BC445">
        <v>1.1E-4</v>
      </c>
      <c r="BD445" t="s">
        <v>75</v>
      </c>
      <c r="BE445">
        <v>7.3999999999999999E-4</v>
      </c>
      <c r="BF445" t="s">
        <v>75</v>
      </c>
      <c r="BG445">
        <v>0.11945</v>
      </c>
      <c r="BH445" t="s">
        <v>75</v>
      </c>
      <c r="BI445">
        <v>0.10155</v>
      </c>
      <c r="BJ445" t="s">
        <v>75</v>
      </c>
      <c r="BK445">
        <v>0.17874000000000001</v>
      </c>
      <c r="BL445" t="s">
        <v>75</v>
      </c>
      <c r="BM445">
        <v>1.864E-2</v>
      </c>
      <c r="BN445" t="s">
        <v>75</v>
      </c>
      <c r="BO445">
        <v>4.1559600000000003</v>
      </c>
      <c r="BP445" t="s">
        <v>75</v>
      </c>
      <c r="BQ445">
        <v>9.8499999999999994E-3</v>
      </c>
      <c r="BR445" t="s">
        <v>75</v>
      </c>
      <c r="BS445">
        <v>8.0479999999999996E-2</v>
      </c>
      <c r="BT445" t="s">
        <v>75</v>
      </c>
      <c r="BU445">
        <v>0.64719000000000004</v>
      </c>
      <c r="BV445" t="s">
        <v>75</v>
      </c>
      <c r="BW445">
        <v>1.09087</v>
      </c>
      <c r="BX445" t="s">
        <v>75</v>
      </c>
      <c r="BY445">
        <v>0.93871000000000004</v>
      </c>
      <c r="BZ445" t="s">
        <v>75</v>
      </c>
      <c r="CA445">
        <v>9.1670000000000001E-2</v>
      </c>
      <c r="CB445" t="s">
        <v>75</v>
      </c>
      <c r="CC445">
        <v>4.81E-3</v>
      </c>
      <c r="CD445" t="s">
        <v>75</v>
      </c>
      <c r="CE445">
        <v>4.2999999999999999E-4</v>
      </c>
      <c r="CF445" t="s">
        <v>75</v>
      </c>
      <c r="CG445">
        <v>2.5999999999999999E-3</v>
      </c>
      <c r="CH445" t="s">
        <v>75</v>
      </c>
      <c r="CI445">
        <v>7.2700000000000004E-3</v>
      </c>
      <c r="CJ445" t="s">
        <v>75</v>
      </c>
      <c r="CK445">
        <v>5.151E-2</v>
      </c>
      <c r="CL445" t="s">
        <v>75</v>
      </c>
      <c r="CM445">
        <v>4.7400000000000003E-3</v>
      </c>
      <c r="CN445" t="s">
        <v>75</v>
      </c>
      <c r="CO445">
        <v>1.397E-2</v>
      </c>
      <c r="CP445" t="s">
        <v>75</v>
      </c>
      <c r="CQ445">
        <v>7.7420000000000003E-2</v>
      </c>
      <c r="CR445" t="s">
        <v>75</v>
      </c>
      <c r="CS445">
        <v>40.679679999999998</v>
      </c>
      <c r="CT445" t="s">
        <v>75</v>
      </c>
      <c r="CW445">
        <v>0.35732000000000003</v>
      </c>
      <c r="CX445" t="s">
        <v>75</v>
      </c>
      <c r="DA445">
        <v>9.4995700000000003</v>
      </c>
      <c r="DB445" t="s">
        <v>75</v>
      </c>
      <c r="DC445">
        <v>1.244E-2</v>
      </c>
      <c r="DD445" t="s">
        <v>75</v>
      </c>
      <c r="DE445">
        <v>2.9882200000000001</v>
      </c>
      <c r="DF445" t="s">
        <v>75</v>
      </c>
      <c r="DG445">
        <v>0.20909</v>
      </c>
      <c r="DH445" t="s">
        <v>75</v>
      </c>
      <c r="DI445">
        <v>0.45528999999999997</v>
      </c>
      <c r="DJ445" t="s">
        <v>75</v>
      </c>
      <c r="DO445">
        <v>0.69089999999999996</v>
      </c>
      <c r="DP445" t="s">
        <v>75</v>
      </c>
    </row>
    <row r="446" spans="1:121" x14ac:dyDescent="0.2">
      <c r="D446" t="s">
        <v>65</v>
      </c>
      <c r="G446" t="s">
        <v>66</v>
      </c>
      <c r="I446" t="s">
        <v>66</v>
      </c>
      <c r="K446" t="s">
        <v>66</v>
      </c>
      <c r="M446" t="s">
        <v>66</v>
      </c>
      <c r="O446" t="s">
        <v>66</v>
      </c>
      <c r="Q446" t="s">
        <v>66</v>
      </c>
      <c r="S446" t="s">
        <v>66</v>
      </c>
      <c r="U446" t="s">
        <v>66</v>
      </c>
      <c r="W446" t="s">
        <v>66</v>
      </c>
      <c r="Y446" t="s">
        <v>66</v>
      </c>
      <c r="AA446" t="s">
        <v>66</v>
      </c>
      <c r="AC446" t="s">
        <v>66</v>
      </c>
      <c r="AE446" t="s">
        <v>66</v>
      </c>
      <c r="AG446" t="s">
        <v>66</v>
      </c>
      <c r="AI446" t="s">
        <v>66</v>
      </c>
      <c r="AK446" t="s">
        <v>66</v>
      </c>
      <c r="AM446" t="s">
        <v>66</v>
      </c>
      <c r="AO446" t="s">
        <v>66</v>
      </c>
      <c r="AQ446" t="s">
        <v>66</v>
      </c>
      <c r="AS446" t="s">
        <v>66</v>
      </c>
      <c r="AU446" t="s">
        <v>66</v>
      </c>
      <c r="AW446" t="s">
        <v>66</v>
      </c>
      <c r="AY446" t="s">
        <v>66</v>
      </c>
      <c r="BA446" t="s">
        <v>66</v>
      </c>
      <c r="BC446" t="s">
        <v>66</v>
      </c>
      <c r="BE446" t="s">
        <v>66</v>
      </c>
      <c r="BG446" t="s">
        <v>66</v>
      </c>
      <c r="BI446" t="s">
        <v>66</v>
      </c>
      <c r="BK446" t="s">
        <v>66</v>
      </c>
      <c r="BM446" t="s">
        <v>66</v>
      </c>
      <c r="BO446" t="s">
        <v>66</v>
      </c>
      <c r="BQ446" t="s">
        <v>66</v>
      </c>
      <c r="BS446" t="s">
        <v>66</v>
      </c>
      <c r="BU446" t="s">
        <v>66</v>
      </c>
      <c r="BW446" t="s">
        <v>66</v>
      </c>
      <c r="BY446" t="s">
        <v>66</v>
      </c>
      <c r="CA446" t="s">
        <v>66</v>
      </c>
      <c r="CC446" t="s">
        <v>66</v>
      </c>
      <c r="CE446" t="s">
        <v>66</v>
      </c>
      <c r="CG446" t="s">
        <v>66</v>
      </c>
      <c r="CI446" t="s">
        <v>66</v>
      </c>
      <c r="CK446" t="s">
        <v>66</v>
      </c>
      <c r="CM446" t="s">
        <v>66</v>
      </c>
      <c r="CO446" t="s">
        <v>66</v>
      </c>
      <c r="CQ446" t="s">
        <v>66</v>
      </c>
      <c r="CS446" t="s">
        <v>66</v>
      </c>
      <c r="CU446" t="s">
        <v>66</v>
      </c>
      <c r="CW446" t="s">
        <v>66</v>
      </c>
      <c r="CY446" t="s">
        <v>66</v>
      </c>
      <c r="DA446" t="s">
        <v>66</v>
      </c>
      <c r="DC446" t="s">
        <v>66</v>
      </c>
      <c r="DE446" t="s">
        <v>66</v>
      </c>
      <c r="DG446" t="s">
        <v>66</v>
      </c>
      <c r="DI446" t="s">
        <v>66</v>
      </c>
      <c r="DK446" t="s">
        <v>66</v>
      </c>
      <c r="DM446" t="s">
        <v>66</v>
      </c>
      <c r="DO446" t="s">
        <v>66</v>
      </c>
      <c r="DQ446" t="s">
        <v>66</v>
      </c>
    </row>
    <row r="447" spans="1:121" x14ac:dyDescent="0.2">
      <c r="A447" t="s">
        <v>659</v>
      </c>
      <c r="D447" t="s">
        <v>60</v>
      </c>
      <c r="E447" t="s">
        <v>61</v>
      </c>
      <c r="G447">
        <v>10441</v>
      </c>
      <c r="I447">
        <v>834.7</v>
      </c>
      <c r="K447">
        <v>155623</v>
      </c>
      <c r="M447">
        <v>50522.9</v>
      </c>
      <c r="O447">
        <v>782.7</v>
      </c>
      <c r="Q447">
        <v>4253.3</v>
      </c>
      <c r="S447">
        <v>1429.1</v>
      </c>
      <c r="U447">
        <v>1130.9000000000001</v>
      </c>
      <c r="W447">
        <v>12065.7</v>
      </c>
      <c r="Y447">
        <v>18947.099999999999</v>
      </c>
      <c r="AA447">
        <v>4124017.8</v>
      </c>
      <c r="AC447">
        <v>4295859.5</v>
      </c>
      <c r="AE447">
        <v>11356408.800000001</v>
      </c>
      <c r="AG447">
        <v>14333.2</v>
      </c>
      <c r="AI447">
        <v>74592.7</v>
      </c>
      <c r="AK447">
        <v>5781.3</v>
      </c>
      <c r="AM447">
        <v>3395</v>
      </c>
      <c r="AO447">
        <v>238.6</v>
      </c>
      <c r="AQ447">
        <v>366.7</v>
      </c>
      <c r="AS447">
        <v>292.7</v>
      </c>
      <c r="AU447">
        <v>207.3</v>
      </c>
      <c r="AW447">
        <v>146.9</v>
      </c>
      <c r="AY447">
        <v>2031.8</v>
      </c>
      <c r="BA447">
        <v>682583.4</v>
      </c>
      <c r="BC447">
        <v>2206</v>
      </c>
      <c r="BE447">
        <v>6297.5</v>
      </c>
      <c r="BG447">
        <v>271465</v>
      </c>
      <c r="BI447">
        <v>232487.5</v>
      </c>
      <c r="BK447">
        <v>577856.4</v>
      </c>
      <c r="BM447">
        <v>129541.7</v>
      </c>
      <c r="BO447">
        <v>3422289.8</v>
      </c>
      <c r="BQ447">
        <v>34995.9</v>
      </c>
      <c r="BS447">
        <v>111238.6</v>
      </c>
      <c r="BU447">
        <v>1253329.2</v>
      </c>
      <c r="BW447">
        <v>177405.5</v>
      </c>
      <c r="BY447">
        <v>95933.6</v>
      </c>
      <c r="CA447">
        <v>22225.200000000001</v>
      </c>
      <c r="CC447">
        <v>179.6</v>
      </c>
      <c r="CE447">
        <v>285.2</v>
      </c>
      <c r="CG447">
        <v>11919.8</v>
      </c>
      <c r="CI447">
        <v>14881.4</v>
      </c>
      <c r="CK447">
        <v>596619.4</v>
      </c>
      <c r="CM447">
        <v>3625.8</v>
      </c>
      <c r="CO447">
        <v>3284.6</v>
      </c>
      <c r="CQ447">
        <v>38925.4</v>
      </c>
      <c r="CS447">
        <v>1024520.3</v>
      </c>
      <c r="CU447">
        <v>412532.9</v>
      </c>
      <c r="CW447">
        <v>469699.3</v>
      </c>
      <c r="CY447">
        <v>60043.3</v>
      </c>
      <c r="DA447">
        <v>1213246.8</v>
      </c>
      <c r="DC447">
        <v>26.1</v>
      </c>
      <c r="DE447">
        <v>20717.2</v>
      </c>
      <c r="DG447">
        <v>123.5</v>
      </c>
      <c r="DI447">
        <v>1670.6</v>
      </c>
      <c r="DK447">
        <v>789.6</v>
      </c>
      <c r="DM447">
        <v>107277.9</v>
      </c>
      <c r="DO447">
        <v>110276</v>
      </c>
      <c r="DQ447">
        <v>14600</v>
      </c>
    </row>
    <row r="448" spans="1:121" x14ac:dyDescent="0.2">
      <c r="D448" t="s">
        <v>62</v>
      </c>
      <c r="E448" t="s">
        <v>61</v>
      </c>
      <c r="G448">
        <v>342.5</v>
      </c>
      <c r="I448">
        <v>93.1</v>
      </c>
      <c r="K448">
        <v>1670.5</v>
      </c>
      <c r="M448">
        <v>110.8</v>
      </c>
      <c r="O448">
        <v>80.3</v>
      </c>
      <c r="Q448">
        <v>134.69999999999999</v>
      </c>
      <c r="S448">
        <v>93.3</v>
      </c>
      <c r="U448">
        <v>65.900000000000006</v>
      </c>
      <c r="W448">
        <v>277</v>
      </c>
      <c r="Y448">
        <v>697.9</v>
      </c>
      <c r="AA448">
        <v>15698</v>
      </c>
      <c r="AC448">
        <v>40328.1</v>
      </c>
      <c r="AE448">
        <v>94214.9</v>
      </c>
      <c r="AG448">
        <v>302.7</v>
      </c>
      <c r="AI448">
        <v>428.4</v>
      </c>
      <c r="AK448">
        <v>185</v>
      </c>
      <c r="AM448">
        <v>52.4</v>
      </c>
      <c r="AO448">
        <v>15.7</v>
      </c>
      <c r="AQ448">
        <v>102.8</v>
      </c>
      <c r="AS448">
        <v>14.8</v>
      </c>
      <c r="AU448">
        <v>17.2</v>
      </c>
      <c r="AW448">
        <v>6.3</v>
      </c>
      <c r="AY448">
        <v>53.9</v>
      </c>
      <c r="BA448">
        <v>10296.299999999999</v>
      </c>
      <c r="BC448">
        <v>40.700000000000003</v>
      </c>
      <c r="BE448">
        <v>209.5</v>
      </c>
      <c r="BG448">
        <v>7977.6</v>
      </c>
      <c r="BI448">
        <v>2640.4</v>
      </c>
      <c r="BK448">
        <v>5785.2</v>
      </c>
      <c r="BM448">
        <v>1226.5999999999999</v>
      </c>
      <c r="BO448">
        <v>11902.3</v>
      </c>
      <c r="BQ448">
        <v>346.9</v>
      </c>
      <c r="BS448">
        <v>456.4</v>
      </c>
      <c r="BU448">
        <v>5656.1</v>
      </c>
      <c r="BW448">
        <v>1271.9000000000001</v>
      </c>
      <c r="BY448">
        <v>360.2</v>
      </c>
      <c r="CA448">
        <v>576</v>
      </c>
      <c r="CC448">
        <v>17.899999999999999</v>
      </c>
      <c r="CE448">
        <v>68.599999999999994</v>
      </c>
      <c r="CG448">
        <v>227.2</v>
      </c>
      <c r="CI448">
        <v>187.5</v>
      </c>
      <c r="CK448">
        <v>11798.6</v>
      </c>
      <c r="CM448">
        <v>137.30000000000001</v>
      </c>
      <c r="CO448">
        <v>112</v>
      </c>
      <c r="CQ448">
        <v>332.6</v>
      </c>
      <c r="CS448">
        <v>19755.7</v>
      </c>
      <c r="CU448">
        <v>6162.2</v>
      </c>
      <c r="CW448">
        <v>8697.2999999999993</v>
      </c>
      <c r="CY448">
        <v>1227.5</v>
      </c>
      <c r="DA448">
        <v>17310.7</v>
      </c>
      <c r="DC448">
        <v>1</v>
      </c>
      <c r="DE448">
        <v>541.9</v>
      </c>
      <c r="DG448">
        <v>41.5</v>
      </c>
      <c r="DI448">
        <v>28.3</v>
      </c>
      <c r="DK448">
        <v>40</v>
      </c>
      <c r="DM448">
        <v>740.4</v>
      </c>
      <c r="DO448">
        <v>2076.8000000000002</v>
      </c>
      <c r="DQ448">
        <v>192.9</v>
      </c>
    </row>
    <row r="449" spans="1:121" x14ac:dyDescent="0.2">
      <c r="D449" t="s">
        <v>63</v>
      </c>
      <c r="G449">
        <v>4.7989999999999998E-2</v>
      </c>
      <c r="H449" t="s">
        <v>75</v>
      </c>
      <c r="I449">
        <v>1.635E-2</v>
      </c>
      <c r="J449" t="s">
        <v>75</v>
      </c>
      <c r="K449">
        <v>0.19312000000000001</v>
      </c>
      <c r="L449" t="s">
        <v>75</v>
      </c>
      <c r="M449">
        <v>1.677E-2</v>
      </c>
      <c r="N449" t="s">
        <v>75</v>
      </c>
      <c r="O449">
        <v>3.5799999999999998E-3</v>
      </c>
      <c r="P449" t="s">
        <v>75</v>
      </c>
      <c r="Q449">
        <v>4.827E-2</v>
      </c>
      <c r="R449" t="s">
        <v>75</v>
      </c>
      <c r="S449">
        <v>5.5000000000000003E-4</v>
      </c>
      <c r="T449" t="s">
        <v>75</v>
      </c>
      <c r="U449">
        <v>1.0290000000000001E-2</v>
      </c>
      <c r="V449" t="s">
        <v>75</v>
      </c>
      <c r="W449">
        <v>2.896E-2</v>
      </c>
      <c r="X449" t="s">
        <v>75</v>
      </c>
      <c r="Y449">
        <v>0.27943000000000001</v>
      </c>
      <c r="Z449" t="s">
        <v>75</v>
      </c>
      <c r="AB449" t="s">
        <v>76</v>
      </c>
      <c r="AC449">
        <v>15.221410000000001</v>
      </c>
      <c r="AD449" t="s">
        <v>75</v>
      </c>
      <c r="AE449">
        <v>42.287959999999998</v>
      </c>
      <c r="AF449" t="s">
        <v>75</v>
      </c>
      <c r="AG449">
        <v>-5.1799999999999997E-3</v>
      </c>
      <c r="AH449" t="s">
        <v>75</v>
      </c>
      <c r="AI449">
        <v>0.46828999999999998</v>
      </c>
      <c r="AJ449" t="s">
        <v>75</v>
      </c>
      <c r="AK449">
        <v>1.8E-3</v>
      </c>
      <c r="AL449" t="s">
        <v>75</v>
      </c>
      <c r="AM449">
        <v>-3.15E-3</v>
      </c>
      <c r="AN449" t="s">
        <v>75</v>
      </c>
      <c r="AO449">
        <v>2.2899999999999999E-3</v>
      </c>
      <c r="AP449" t="s">
        <v>75</v>
      </c>
      <c r="AQ449">
        <v>5.9999999999999995E-4</v>
      </c>
      <c r="AR449" t="s">
        <v>75</v>
      </c>
      <c r="AS449">
        <v>2.5999999999999998E-4</v>
      </c>
      <c r="AT449" t="s">
        <v>75</v>
      </c>
      <c r="AU449">
        <v>1.49E-3</v>
      </c>
      <c r="AV449" t="s">
        <v>75</v>
      </c>
      <c r="AW449">
        <v>-4.4999999999999999E-4</v>
      </c>
      <c r="AX449" t="s">
        <v>75</v>
      </c>
      <c r="AY449">
        <v>-3.8500000000000001E-3</v>
      </c>
      <c r="AZ449" t="s">
        <v>75</v>
      </c>
      <c r="BC449">
        <v>-2.05335</v>
      </c>
      <c r="BD449" t="s">
        <v>75</v>
      </c>
      <c r="BE449">
        <v>8.5500000000000003E-3</v>
      </c>
      <c r="BF449" t="s">
        <v>75</v>
      </c>
      <c r="BG449">
        <v>0.73646</v>
      </c>
      <c r="BH449" t="s">
        <v>75</v>
      </c>
      <c r="BI449">
        <v>0.74717</v>
      </c>
      <c r="BJ449" t="s">
        <v>75</v>
      </c>
      <c r="BK449">
        <v>0.74283999999999994</v>
      </c>
      <c r="BL449" t="s">
        <v>75</v>
      </c>
      <c r="BM449">
        <v>0.11093</v>
      </c>
      <c r="BN449" t="s">
        <v>75</v>
      </c>
      <c r="BO449">
        <v>73.317480000000003</v>
      </c>
      <c r="BP449" t="s">
        <v>75</v>
      </c>
      <c r="BQ449">
        <v>0.75675999999999999</v>
      </c>
      <c r="BR449" t="s">
        <v>75</v>
      </c>
      <c r="BS449">
        <v>2.0165299999999999</v>
      </c>
      <c r="BT449" t="s">
        <v>75</v>
      </c>
      <c r="BU449">
        <v>31.015219999999999</v>
      </c>
      <c r="BV449" t="s">
        <v>75</v>
      </c>
      <c r="BW449">
        <v>74.540930000000003</v>
      </c>
      <c r="BX449" t="s">
        <v>75</v>
      </c>
      <c r="BY449">
        <v>18.639790000000001</v>
      </c>
      <c r="BZ449" t="s">
        <v>75</v>
      </c>
      <c r="CA449">
        <v>8.2239299999999993</v>
      </c>
      <c r="CB449" t="s">
        <v>75</v>
      </c>
      <c r="CC449">
        <v>2.3779999999999999E-2</v>
      </c>
      <c r="CD449" t="s">
        <v>75</v>
      </c>
      <c r="CE449">
        <v>2.5699999999999998E-3</v>
      </c>
      <c r="CF449" t="s">
        <v>75</v>
      </c>
      <c r="CG449">
        <v>0.18447</v>
      </c>
      <c r="CH449" t="s">
        <v>75</v>
      </c>
      <c r="CI449">
        <v>0.16411999999999999</v>
      </c>
      <c r="CJ449" t="s">
        <v>75</v>
      </c>
      <c r="CK449">
        <v>8.0626499999999997</v>
      </c>
      <c r="CL449" t="s">
        <v>75</v>
      </c>
      <c r="CM449">
        <v>4.4170000000000001E-2</v>
      </c>
      <c r="CN449" t="s">
        <v>75</v>
      </c>
      <c r="CO449">
        <v>0.19470000000000001</v>
      </c>
      <c r="CP449" t="s">
        <v>75</v>
      </c>
      <c r="CQ449">
        <v>1.1420699999999999</v>
      </c>
      <c r="CR449" t="s">
        <v>75</v>
      </c>
      <c r="CS449">
        <v>266.16636</v>
      </c>
      <c r="CT449" t="s">
        <v>75</v>
      </c>
      <c r="CV449" t="s">
        <v>76</v>
      </c>
      <c r="CW449">
        <v>17.298220000000001</v>
      </c>
      <c r="CX449" t="s">
        <v>75</v>
      </c>
      <c r="DA449">
        <v>80.53586</v>
      </c>
      <c r="DB449" t="s">
        <v>75</v>
      </c>
      <c r="DC449">
        <v>1.175E-2</v>
      </c>
      <c r="DD449" t="s">
        <v>75</v>
      </c>
      <c r="DE449">
        <v>10.450530000000001</v>
      </c>
      <c r="DF449" t="s">
        <v>75</v>
      </c>
      <c r="DG449">
        <v>0.66374</v>
      </c>
      <c r="DH449" t="s">
        <v>75</v>
      </c>
      <c r="DI449">
        <v>2.83127</v>
      </c>
      <c r="DJ449" t="s">
        <v>75</v>
      </c>
      <c r="DL449" t="s">
        <v>76</v>
      </c>
      <c r="DN449" t="s">
        <v>76</v>
      </c>
      <c r="DO449">
        <v>18.20843</v>
      </c>
      <c r="DP449" t="s">
        <v>75</v>
      </c>
    </row>
    <row r="450" spans="1:121" x14ac:dyDescent="0.2">
      <c r="D450" t="s">
        <v>64</v>
      </c>
      <c r="G450">
        <v>1.57E-3</v>
      </c>
      <c r="H450" t="s">
        <v>75</v>
      </c>
      <c r="I450">
        <v>3.6900000000000001E-3</v>
      </c>
      <c r="J450" t="s">
        <v>75</v>
      </c>
      <c r="K450">
        <v>3.8899999999999998E-3</v>
      </c>
      <c r="L450" t="s">
        <v>75</v>
      </c>
      <c r="M450">
        <v>8.8000000000000003E-4</v>
      </c>
      <c r="N450" t="s">
        <v>75</v>
      </c>
      <c r="O450">
        <v>6.9999999999999994E-5</v>
      </c>
      <c r="P450" t="s">
        <v>75</v>
      </c>
      <c r="Q450">
        <v>4.8000000000000001E-4</v>
      </c>
      <c r="R450" t="s">
        <v>75</v>
      </c>
      <c r="S450">
        <v>9.0000000000000006E-5</v>
      </c>
      <c r="T450" t="s">
        <v>75</v>
      </c>
      <c r="U450">
        <v>2.5999999999999998E-4</v>
      </c>
      <c r="V450" t="s">
        <v>75</v>
      </c>
      <c r="W450">
        <v>2.2000000000000001E-4</v>
      </c>
      <c r="X450" t="s">
        <v>75</v>
      </c>
      <c r="Y450">
        <v>1.014E-2</v>
      </c>
      <c r="Z450" t="s">
        <v>75</v>
      </c>
      <c r="AC450">
        <v>0.26236999999999999</v>
      </c>
      <c r="AD450" t="s">
        <v>75</v>
      </c>
      <c r="AE450">
        <v>0.80025000000000002</v>
      </c>
      <c r="AF450" t="s">
        <v>75</v>
      </c>
      <c r="AG450">
        <v>2.5000000000000001E-4</v>
      </c>
      <c r="AH450" t="s">
        <v>75</v>
      </c>
      <c r="AI450">
        <v>5.4799999999999996E-3</v>
      </c>
      <c r="AJ450" t="s">
        <v>75</v>
      </c>
      <c r="AK450">
        <v>1.9000000000000001E-4</v>
      </c>
      <c r="AL450" t="s">
        <v>75</v>
      </c>
      <c r="AM450">
        <v>6.9999999999999994E-5</v>
      </c>
      <c r="AN450" t="s">
        <v>75</v>
      </c>
      <c r="AO450">
        <v>4.0000000000000003E-5</v>
      </c>
      <c r="AP450" t="s">
        <v>75</v>
      </c>
      <c r="AQ450">
        <v>4.2000000000000002E-4</v>
      </c>
      <c r="AR450" t="s">
        <v>75</v>
      </c>
      <c r="AS450">
        <v>6.0000000000000002E-5</v>
      </c>
      <c r="AT450" t="s">
        <v>75</v>
      </c>
      <c r="AU450">
        <v>1.0000000000000001E-5</v>
      </c>
      <c r="AV450" t="s">
        <v>75</v>
      </c>
      <c r="AW450">
        <v>2.0000000000000002E-5</v>
      </c>
      <c r="AX450" t="s">
        <v>75</v>
      </c>
      <c r="AY450">
        <v>2.5999999999999998E-4</v>
      </c>
      <c r="AZ450" t="s">
        <v>75</v>
      </c>
      <c r="BC450">
        <v>3.0000000000000001E-5</v>
      </c>
      <c r="BD450" t="s">
        <v>75</v>
      </c>
      <c r="BE450">
        <v>2.9E-4</v>
      </c>
      <c r="BF450" t="s">
        <v>75</v>
      </c>
      <c r="BG450">
        <v>2.5569999999999999E-2</v>
      </c>
      <c r="BH450" t="s">
        <v>75</v>
      </c>
      <c r="BI450">
        <v>1.397E-2</v>
      </c>
      <c r="BJ450" t="s">
        <v>75</v>
      </c>
      <c r="BK450">
        <v>1.762E-2</v>
      </c>
      <c r="BL450" t="s">
        <v>75</v>
      </c>
      <c r="BM450">
        <v>9.7000000000000005E-4</v>
      </c>
      <c r="BN450" t="s">
        <v>75</v>
      </c>
      <c r="BO450">
        <v>1.46882</v>
      </c>
      <c r="BP450" t="s">
        <v>75</v>
      </c>
      <c r="BQ450">
        <v>2.349E-2</v>
      </c>
      <c r="BR450" t="s">
        <v>75</v>
      </c>
      <c r="BS450">
        <v>5.0270000000000002E-2</v>
      </c>
      <c r="BT450" t="s">
        <v>75</v>
      </c>
      <c r="BU450">
        <v>0.96655000000000002</v>
      </c>
      <c r="BV450" t="s">
        <v>75</v>
      </c>
      <c r="BW450">
        <v>1.1221300000000001</v>
      </c>
      <c r="BX450" t="s">
        <v>75</v>
      </c>
      <c r="BY450">
        <v>0.61868000000000001</v>
      </c>
      <c r="BZ450" t="s">
        <v>75</v>
      </c>
      <c r="CA450">
        <v>0.46022999999999997</v>
      </c>
      <c r="CB450" t="s">
        <v>75</v>
      </c>
      <c r="CC450">
        <v>3.5100000000000001E-3</v>
      </c>
      <c r="CD450" t="s">
        <v>75</v>
      </c>
      <c r="CE450">
        <v>9.7000000000000005E-4</v>
      </c>
      <c r="CF450" t="s">
        <v>75</v>
      </c>
      <c r="CG450">
        <v>7.0099999999999997E-3</v>
      </c>
      <c r="CH450" t="s">
        <v>75</v>
      </c>
      <c r="CI450">
        <v>3.0000000000000001E-3</v>
      </c>
      <c r="CJ450" t="s">
        <v>75</v>
      </c>
      <c r="CK450">
        <v>0.30503999999999998</v>
      </c>
      <c r="CL450" t="s">
        <v>75</v>
      </c>
      <c r="CM450">
        <v>2.47E-3</v>
      </c>
      <c r="CN450" t="s">
        <v>75</v>
      </c>
      <c r="CO450">
        <v>2.6700000000000001E-3</v>
      </c>
      <c r="CP450" t="s">
        <v>75</v>
      </c>
      <c r="CQ450">
        <v>1.678E-2</v>
      </c>
      <c r="CR450" t="s">
        <v>75</v>
      </c>
      <c r="CS450">
        <v>9.8561300000000003</v>
      </c>
      <c r="CT450" t="s">
        <v>75</v>
      </c>
      <c r="CW450">
        <v>0.67420000000000002</v>
      </c>
      <c r="CX450" t="s">
        <v>75</v>
      </c>
      <c r="DA450">
        <v>0.23988000000000001</v>
      </c>
      <c r="DB450" t="s">
        <v>75</v>
      </c>
      <c r="DC450">
        <v>4.6999999999999999E-4</v>
      </c>
      <c r="DD450" t="s">
        <v>75</v>
      </c>
      <c r="DE450">
        <v>0.16092000000000001</v>
      </c>
      <c r="DF450" t="s">
        <v>75</v>
      </c>
      <c r="DG450">
        <v>0.24542</v>
      </c>
      <c r="DH450" t="s">
        <v>75</v>
      </c>
      <c r="DI450">
        <v>9.8290000000000002E-2</v>
      </c>
      <c r="DJ450" t="s">
        <v>75</v>
      </c>
      <c r="DO450">
        <v>0.11758</v>
      </c>
      <c r="DP450" t="s">
        <v>75</v>
      </c>
    </row>
    <row r="451" spans="1:121" x14ac:dyDescent="0.2">
      <c r="D451" t="s">
        <v>65</v>
      </c>
      <c r="G451" t="s">
        <v>66</v>
      </c>
      <c r="I451" t="s">
        <v>66</v>
      </c>
      <c r="K451" t="s">
        <v>66</v>
      </c>
      <c r="M451" t="s">
        <v>66</v>
      </c>
      <c r="O451" t="s">
        <v>66</v>
      </c>
      <c r="Q451" t="s">
        <v>66</v>
      </c>
      <c r="S451" t="s">
        <v>66</v>
      </c>
      <c r="U451" t="s">
        <v>66</v>
      </c>
      <c r="W451" t="s">
        <v>66</v>
      </c>
      <c r="Y451" t="s">
        <v>66</v>
      </c>
      <c r="AA451" t="s">
        <v>66</v>
      </c>
      <c r="AC451" t="s">
        <v>66</v>
      </c>
      <c r="AE451" t="s">
        <v>66</v>
      </c>
      <c r="AG451" t="s">
        <v>66</v>
      </c>
      <c r="AI451" t="s">
        <v>66</v>
      </c>
      <c r="AK451" t="s">
        <v>66</v>
      </c>
      <c r="AM451" t="s">
        <v>66</v>
      </c>
      <c r="AO451" t="s">
        <v>66</v>
      </c>
      <c r="AQ451" t="s">
        <v>66</v>
      </c>
      <c r="AS451" t="s">
        <v>66</v>
      </c>
      <c r="AU451" t="s">
        <v>66</v>
      </c>
      <c r="AW451" t="s">
        <v>66</v>
      </c>
      <c r="AY451" t="s">
        <v>66</v>
      </c>
      <c r="BA451" t="s">
        <v>66</v>
      </c>
      <c r="BC451" t="s">
        <v>66</v>
      </c>
      <c r="BE451" t="s">
        <v>66</v>
      </c>
      <c r="BG451" t="s">
        <v>66</v>
      </c>
      <c r="BI451" t="s">
        <v>66</v>
      </c>
      <c r="BK451" t="s">
        <v>66</v>
      </c>
      <c r="BM451" t="s">
        <v>66</v>
      </c>
      <c r="BO451" t="s">
        <v>66</v>
      </c>
      <c r="BQ451" t="s">
        <v>66</v>
      </c>
      <c r="BS451" t="s">
        <v>66</v>
      </c>
      <c r="BU451" t="s">
        <v>66</v>
      </c>
      <c r="BW451" t="s">
        <v>66</v>
      </c>
      <c r="BY451" t="s">
        <v>66</v>
      </c>
      <c r="CA451" t="s">
        <v>66</v>
      </c>
      <c r="CC451" t="s">
        <v>66</v>
      </c>
      <c r="CE451" t="s">
        <v>66</v>
      </c>
      <c r="CG451" t="s">
        <v>66</v>
      </c>
      <c r="CI451" t="s">
        <v>66</v>
      </c>
      <c r="CK451" t="s">
        <v>66</v>
      </c>
      <c r="CM451" t="s">
        <v>66</v>
      </c>
      <c r="CO451" t="s">
        <v>66</v>
      </c>
      <c r="CQ451" t="s">
        <v>66</v>
      </c>
      <c r="CS451" t="s">
        <v>66</v>
      </c>
      <c r="CU451" t="s">
        <v>66</v>
      </c>
      <c r="CW451" t="s">
        <v>66</v>
      </c>
      <c r="CY451" t="s">
        <v>66</v>
      </c>
      <c r="DA451" t="s">
        <v>66</v>
      </c>
      <c r="DC451" t="s">
        <v>66</v>
      </c>
      <c r="DE451" t="s">
        <v>66</v>
      </c>
      <c r="DG451" t="s">
        <v>66</v>
      </c>
      <c r="DI451" t="s">
        <v>66</v>
      </c>
      <c r="DK451" t="s">
        <v>66</v>
      </c>
      <c r="DM451" t="s">
        <v>66</v>
      </c>
      <c r="DO451" t="s">
        <v>66</v>
      </c>
      <c r="DQ451" t="s">
        <v>66</v>
      </c>
    </row>
    <row r="452" spans="1:121" x14ac:dyDescent="0.2">
      <c r="A452" t="s">
        <v>660</v>
      </c>
      <c r="D452" t="s">
        <v>60</v>
      </c>
      <c r="E452" t="s">
        <v>61</v>
      </c>
      <c r="G452">
        <v>42030.5</v>
      </c>
      <c r="I452">
        <v>778.1</v>
      </c>
      <c r="K452">
        <v>3613122.9</v>
      </c>
      <c r="M452">
        <v>133243.9</v>
      </c>
      <c r="O452">
        <v>1087.0999999999999</v>
      </c>
      <c r="Q452">
        <v>36767.9</v>
      </c>
      <c r="S452">
        <v>2154.9</v>
      </c>
      <c r="U452">
        <v>1339.4</v>
      </c>
      <c r="W452">
        <v>148898.1</v>
      </c>
      <c r="Y452">
        <v>155291.79999999999</v>
      </c>
      <c r="AA452">
        <v>10221861.9</v>
      </c>
      <c r="AC452">
        <v>12978179.699999999</v>
      </c>
      <c r="AE452">
        <v>71960604.400000006</v>
      </c>
      <c r="AG452">
        <v>253770.8</v>
      </c>
      <c r="AI452">
        <v>1070864.7</v>
      </c>
      <c r="AK452">
        <v>28041.4</v>
      </c>
      <c r="AM452">
        <v>3859</v>
      </c>
      <c r="AO452">
        <v>361.5</v>
      </c>
      <c r="AQ452">
        <v>407.3</v>
      </c>
      <c r="AS452">
        <v>279.2</v>
      </c>
      <c r="AU452">
        <v>265.60000000000002</v>
      </c>
      <c r="AW452">
        <v>254.2</v>
      </c>
      <c r="AY452">
        <v>13801.9</v>
      </c>
      <c r="BA452">
        <v>683161.1</v>
      </c>
      <c r="BC452">
        <v>2140.3000000000002</v>
      </c>
      <c r="BE452">
        <v>48662.5</v>
      </c>
      <c r="BG452">
        <v>4980963</v>
      </c>
      <c r="BI452">
        <v>4173326.2</v>
      </c>
      <c r="BK452">
        <v>10088278.699999999</v>
      </c>
      <c r="BM452">
        <v>2148563</v>
      </c>
      <c r="BO452">
        <v>34384512.5</v>
      </c>
      <c r="BQ452">
        <v>61414.9</v>
      </c>
      <c r="BS452">
        <v>154492.6</v>
      </c>
      <c r="BU452">
        <v>7046096.4000000004</v>
      </c>
      <c r="BW452">
        <v>376835.4</v>
      </c>
      <c r="BY452">
        <v>2279400</v>
      </c>
      <c r="CA452">
        <v>57192.7</v>
      </c>
      <c r="CC452">
        <v>343.6</v>
      </c>
      <c r="CE452">
        <v>600.1</v>
      </c>
      <c r="CG452">
        <v>21900.1</v>
      </c>
      <c r="CI452">
        <v>113951.3</v>
      </c>
      <c r="CK452">
        <v>762650.8</v>
      </c>
      <c r="CM452">
        <v>30952.2</v>
      </c>
      <c r="CO452">
        <v>18707.099999999999</v>
      </c>
      <c r="CQ452">
        <v>309319.09999999998</v>
      </c>
      <c r="CS452">
        <v>14538674.300000001</v>
      </c>
      <c r="CU452">
        <v>1057238.7</v>
      </c>
      <c r="CW452">
        <v>1493475.9</v>
      </c>
      <c r="CY452">
        <v>60312.4</v>
      </c>
      <c r="DA452">
        <v>20294036.899999999</v>
      </c>
      <c r="DC452">
        <v>518.1</v>
      </c>
      <c r="DE452">
        <v>334723.7</v>
      </c>
      <c r="DG452">
        <v>510</v>
      </c>
      <c r="DI452">
        <v>3466.5</v>
      </c>
      <c r="DK452">
        <v>802.5</v>
      </c>
      <c r="DM452">
        <v>264861.40000000002</v>
      </c>
      <c r="DO452">
        <v>335550.2</v>
      </c>
      <c r="DQ452">
        <v>14997.6</v>
      </c>
    </row>
    <row r="453" spans="1:121" x14ac:dyDescent="0.2">
      <c r="D453" t="s">
        <v>62</v>
      </c>
      <c r="E453" t="s">
        <v>61</v>
      </c>
      <c r="G453">
        <v>349.3</v>
      </c>
      <c r="I453">
        <v>108.3</v>
      </c>
      <c r="K453">
        <v>40822.6</v>
      </c>
      <c r="M453">
        <v>565.4</v>
      </c>
      <c r="O453">
        <v>28.1</v>
      </c>
      <c r="Q453">
        <v>389.5</v>
      </c>
      <c r="S453">
        <v>60.4</v>
      </c>
      <c r="U453">
        <v>167.7</v>
      </c>
      <c r="W453">
        <v>856.4</v>
      </c>
      <c r="Y453">
        <v>2452.5</v>
      </c>
      <c r="AA453">
        <v>217319.8</v>
      </c>
      <c r="AC453">
        <v>280018.90000000002</v>
      </c>
      <c r="AE453">
        <v>1219048.5</v>
      </c>
      <c r="AG453">
        <v>3074.5</v>
      </c>
      <c r="AI453">
        <v>15417.8</v>
      </c>
      <c r="AK453">
        <v>491.4</v>
      </c>
      <c r="AM453">
        <v>211.7</v>
      </c>
      <c r="AO453">
        <v>33.4</v>
      </c>
      <c r="AQ453">
        <v>53.9</v>
      </c>
      <c r="AS453">
        <v>21.9</v>
      </c>
      <c r="AU453">
        <v>37.9</v>
      </c>
      <c r="AW453">
        <v>29</v>
      </c>
      <c r="AY453">
        <v>90.8</v>
      </c>
      <c r="BA453">
        <v>9166.9</v>
      </c>
      <c r="BC453">
        <v>156.6</v>
      </c>
      <c r="BE453">
        <v>790.6</v>
      </c>
      <c r="BG453">
        <v>73104.399999999994</v>
      </c>
      <c r="BI453">
        <v>92627.9</v>
      </c>
      <c r="BK453">
        <v>179148.2</v>
      </c>
      <c r="BM453">
        <v>10922.8</v>
      </c>
      <c r="BO453">
        <v>372161.8</v>
      </c>
      <c r="BQ453">
        <v>1794.4</v>
      </c>
      <c r="BS453">
        <v>7265.6</v>
      </c>
      <c r="BU453">
        <v>112434.7</v>
      </c>
      <c r="BW453">
        <v>15027</v>
      </c>
      <c r="BY453">
        <v>44046.6</v>
      </c>
      <c r="CA453">
        <v>1367.6</v>
      </c>
      <c r="CC453">
        <v>46.3</v>
      </c>
      <c r="CE453">
        <v>35.5</v>
      </c>
      <c r="CG453">
        <v>150.5</v>
      </c>
      <c r="CI453">
        <v>538.6</v>
      </c>
      <c r="CK453">
        <v>5278.6</v>
      </c>
      <c r="CM453">
        <v>336.9</v>
      </c>
      <c r="CO453">
        <v>310.39999999999998</v>
      </c>
      <c r="CQ453">
        <v>1607.3</v>
      </c>
      <c r="CS453">
        <v>131182.9</v>
      </c>
      <c r="CU453">
        <v>8911.9</v>
      </c>
      <c r="CW453">
        <v>11054</v>
      </c>
      <c r="CY453">
        <v>318.7</v>
      </c>
      <c r="DA453">
        <v>165215.29999999999</v>
      </c>
      <c r="DC453">
        <v>22.7</v>
      </c>
      <c r="DE453">
        <v>3633.4</v>
      </c>
      <c r="DG453">
        <v>88.1</v>
      </c>
      <c r="DI453">
        <v>70.2</v>
      </c>
      <c r="DK453">
        <v>14.4</v>
      </c>
      <c r="DM453">
        <v>2197.5</v>
      </c>
      <c r="DO453">
        <v>2076.3000000000002</v>
      </c>
      <c r="DQ453">
        <v>82.7</v>
      </c>
    </row>
    <row r="454" spans="1:121" x14ac:dyDescent="0.2">
      <c r="D454" t="s">
        <v>63</v>
      </c>
      <c r="G454">
        <v>0.29698999999999998</v>
      </c>
      <c r="H454" t="s">
        <v>75</v>
      </c>
      <c r="I454">
        <v>1.43E-2</v>
      </c>
      <c r="J454" t="s">
        <v>75</v>
      </c>
      <c r="K454">
        <v>4.5573300000000003</v>
      </c>
      <c r="L454" t="s">
        <v>75</v>
      </c>
      <c r="M454">
        <v>0.10013</v>
      </c>
      <c r="N454" t="s">
        <v>75</v>
      </c>
      <c r="O454">
        <v>3.8300000000000001E-3</v>
      </c>
      <c r="P454" t="s">
        <v>75</v>
      </c>
      <c r="Q454">
        <v>0.25657999999999997</v>
      </c>
      <c r="R454" t="s">
        <v>75</v>
      </c>
      <c r="S454">
        <v>1.1800000000000001E-3</v>
      </c>
      <c r="T454" t="s">
        <v>75</v>
      </c>
      <c r="U454">
        <v>1.115E-2</v>
      </c>
      <c r="V454" t="s">
        <v>75</v>
      </c>
      <c r="W454">
        <v>0.31697999999999998</v>
      </c>
      <c r="X454" t="s">
        <v>75</v>
      </c>
      <c r="Y454">
        <v>2.28844</v>
      </c>
      <c r="Z454" t="s">
        <v>75</v>
      </c>
      <c r="AB454" t="s">
        <v>76</v>
      </c>
      <c r="AC454">
        <v>45.869239999999998</v>
      </c>
      <c r="AD454" t="s">
        <v>75</v>
      </c>
      <c r="AE454">
        <v>267.55043999999998</v>
      </c>
      <c r="AF454" t="s">
        <v>75</v>
      </c>
      <c r="AG454">
        <v>0.18138000000000001</v>
      </c>
      <c r="AH454" t="s">
        <v>75</v>
      </c>
      <c r="AI454">
        <v>6.7180099999999996</v>
      </c>
      <c r="AJ454" t="s">
        <v>75</v>
      </c>
      <c r="AK454">
        <v>1.695E-2</v>
      </c>
      <c r="AL454" t="s">
        <v>75</v>
      </c>
      <c r="AM454">
        <v>-2.81E-3</v>
      </c>
      <c r="AN454" t="s">
        <v>75</v>
      </c>
      <c r="AO454">
        <v>2.7399999999999998E-3</v>
      </c>
      <c r="AP454" t="s">
        <v>75</v>
      </c>
      <c r="AQ454">
        <v>7.7999999999999999E-4</v>
      </c>
      <c r="AR454" t="s">
        <v>75</v>
      </c>
      <c r="AS454">
        <v>1.9000000000000001E-4</v>
      </c>
      <c r="AT454" t="s">
        <v>75</v>
      </c>
      <c r="AU454">
        <v>1.5200000000000001E-3</v>
      </c>
      <c r="AV454" t="s">
        <v>75</v>
      </c>
      <c r="AW454">
        <v>-1.9000000000000001E-4</v>
      </c>
      <c r="AX454" t="s">
        <v>75</v>
      </c>
      <c r="AY454">
        <v>3.3829999999999999E-2</v>
      </c>
      <c r="AZ454" t="s">
        <v>75</v>
      </c>
      <c r="BC454">
        <v>-2.05355</v>
      </c>
      <c r="BD454" t="s">
        <v>75</v>
      </c>
      <c r="BE454">
        <v>4.8680000000000001E-2</v>
      </c>
      <c r="BF454" t="s">
        <v>75</v>
      </c>
      <c r="BG454">
        <v>14.175269999999999</v>
      </c>
      <c r="BH454" t="s">
        <v>75</v>
      </c>
      <c r="BI454">
        <v>13.676019999999999</v>
      </c>
      <c r="BJ454" t="s">
        <v>75</v>
      </c>
      <c r="BK454">
        <v>14.008749999999999</v>
      </c>
      <c r="BL454" t="s">
        <v>75</v>
      </c>
      <c r="BM454">
        <v>1.9940899999999999</v>
      </c>
      <c r="BN454" t="s">
        <v>75</v>
      </c>
      <c r="BO454">
        <v>748.73545999999999</v>
      </c>
      <c r="BP454" t="s">
        <v>75</v>
      </c>
      <c r="BQ454">
        <v>1.6349899999999999</v>
      </c>
      <c r="BR454" t="s">
        <v>75</v>
      </c>
      <c r="BS454">
        <v>2.9627500000000002</v>
      </c>
      <c r="BT454" t="s">
        <v>75</v>
      </c>
      <c r="BU454">
        <v>267.61277999999999</v>
      </c>
      <c r="BV454" t="s">
        <v>75</v>
      </c>
      <c r="BW454">
        <v>157.85980000000001</v>
      </c>
      <c r="BX454" t="s">
        <v>75</v>
      </c>
      <c r="BY454">
        <v>624.86557000000005</v>
      </c>
      <c r="BZ454" t="s">
        <v>75</v>
      </c>
      <c r="CA454">
        <v>26.68563</v>
      </c>
      <c r="CB454" t="s">
        <v>75</v>
      </c>
      <c r="CC454">
        <v>5.8229999999999997E-2</v>
      </c>
      <c r="CD454" t="s">
        <v>75</v>
      </c>
      <c r="CE454">
        <v>7.1900000000000002E-3</v>
      </c>
      <c r="CF454" t="s">
        <v>75</v>
      </c>
      <c r="CG454">
        <v>0.35164000000000001</v>
      </c>
      <c r="CH454" t="s">
        <v>75</v>
      </c>
      <c r="CI454">
        <v>1.44103</v>
      </c>
      <c r="CJ454" t="s">
        <v>75</v>
      </c>
      <c r="CK454">
        <v>10.345459999999999</v>
      </c>
      <c r="CL454" t="s">
        <v>75</v>
      </c>
      <c r="CM454">
        <v>0.42758000000000002</v>
      </c>
      <c r="CN454" t="s">
        <v>75</v>
      </c>
      <c r="CO454">
        <v>1.0561199999999999</v>
      </c>
      <c r="CP454" t="s">
        <v>75</v>
      </c>
      <c r="CQ454">
        <v>9.2225599999999996</v>
      </c>
      <c r="CR454" t="s">
        <v>75</v>
      </c>
      <c r="CS454">
        <v>3759.7546000000002</v>
      </c>
      <c r="CT454" t="s">
        <v>75</v>
      </c>
      <c r="CV454" t="s">
        <v>76</v>
      </c>
      <c r="CW454">
        <v>54.784439999999996</v>
      </c>
      <c r="CX454" t="s">
        <v>75</v>
      </c>
      <c r="DA454">
        <v>1314.96136</v>
      </c>
      <c r="DB454" t="s">
        <v>75</v>
      </c>
      <c r="DC454">
        <v>0.24657000000000001</v>
      </c>
      <c r="DD454" t="s">
        <v>75</v>
      </c>
      <c r="DE454">
        <v>164.66354000000001</v>
      </c>
      <c r="DF454" t="s">
        <v>75</v>
      </c>
      <c r="DG454">
        <v>2.8555600000000001</v>
      </c>
      <c r="DH454" t="s">
        <v>75</v>
      </c>
      <c r="DI454">
        <v>6.1836099999999998</v>
      </c>
      <c r="DJ454" t="s">
        <v>75</v>
      </c>
      <c r="DL454" t="s">
        <v>76</v>
      </c>
      <c r="DN454" t="s">
        <v>76</v>
      </c>
      <c r="DO454">
        <v>53.955440000000003</v>
      </c>
      <c r="DP454" t="s">
        <v>75</v>
      </c>
    </row>
    <row r="455" spans="1:121" x14ac:dyDescent="0.2">
      <c r="D455" t="s">
        <v>64</v>
      </c>
      <c r="G455">
        <v>5.4400000000000004E-3</v>
      </c>
      <c r="H455" t="s">
        <v>75</v>
      </c>
      <c r="I455">
        <v>3.5100000000000001E-3</v>
      </c>
      <c r="J455" t="s">
        <v>75</v>
      </c>
      <c r="K455">
        <v>9.5469999999999999E-2</v>
      </c>
      <c r="L455" t="s">
        <v>75</v>
      </c>
      <c r="M455">
        <v>2.0999999999999999E-3</v>
      </c>
      <c r="N455" t="s">
        <v>75</v>
      </c>
      <c r="O455">
        <v>1.0000000000000001E-5</v>
      </c>
      <c r="P455" t="s">
        <v>75</v>
      </c>
      <c r="Q455">
        <v>6.7000000000000002E-4</v>
      </c>
      <c r="R455" t="s">
        <v>75</v>
      </c>
      <c r="S455">
        <v>4.0000000000000003E-5</v>
      </c>
      <c r="T455" t="s">
        <v>75</v>
      </c>
      <c r="U455">
        <v>7.3999999999999999E-4</v>
      </c>
      <c r="V455" t="s">
        <v>75</v>
      </c>
      <c r="W455">
        <v>4.9100000000000003E-3</v>
      </c>
      <c r="X455" t="s">
        <v>75</v>
      </c>
      <c r="Y455">
        <v>4.9950000000000001E-2</v>
      </c>
      <c r="Z455" t="s">
        <v>75</v>
      </c>
      <c r="AC455">
        <v>1.5720700000000001</v>
      </c>
      <c r="AD455" t="s">
        <v>75</v>
      </c>
      <c r="AE455">
        <v>8.0659299999999998</v>
      </c>
      <c r="AF455" t="s">
        <v>75</v>
      </c>
      <c r="AG455">
        <v>4.7800000000000004E-3</v>
      </c>
      <c r="AH455" t="s">
        <v>75</v>
      </c>
      <c r="AI455">
        <v>0.18532999999999999</v>
      </c>
      <c r="AJ455" t="s">
        <v>75</v>
      </c>
      <c r="AK455">
        <v>4.6999999999999999E-4</v>
      </c>
      <c r="AL455" t="s">
        <v>75</v>
      </c>
      <c r="AM455">
        <v>1.8000000000000001E-4</v>
      </c>
      <c r="AN455" t="s">
        <v>75</v>
      </c>
      <c r="AO455">
        <v>1.2E-4</v>
      </c>
      <c r="AP455" t="s">
        <v>75</v>
      </c>
      <c r="AQ455">
        <v>2.4000000000000001E-4</v>
      </c>
      <c r="AR455" t="s">
        <v>75</v>
      </c>
      <c r="AS455">
        <v>8.0000000000000007E-5</v>
      </c>
      <c r="AT455" t="s">
        <v>75</v>
      </c>
      <c r="AU455">
        <v>2.0000000000000002E-5</v>
      </c>
      <c r="AV455" t="s">
        <v>75</v>
      </c>
      <c r="AW455">
        <v>6.0000000000000002E-5</v>
      </c>
      <c r="AX455" t="s">
        <v>75</v>
      </c>
      <c r="AY455">
        <v>3.6999999999999999E-4</v>
      </c>
      <c r="AZ455" t="s">
        <v>75</v>
      </c>
      <c r="BC455">
        <v>5.0000000000000001E-4</v>
      </c>
      <c r="BD455" t="s">
        <v>75</v>
      </c>
      <c r="BE455">
        <v>1.0499999999999999E-3</v>
      </c>
      <c r="BF455" t="s">
        <v>75</v>
      </c>
      <c r="BG455">
        <v>0.38904</v>
      </c>
      <c r="BH455" t="s">
        <v>75</v>
      </c>
      <c r="BI455">
        <v>0.47311999999999999</v>
      </c>
      <c r="BJ455" t="s">
        <v>75</v>
      </c>
      <c r="BK455">
        <v>0.42321999999999999</v>
      </c>
      <c r="BL455" t="s">
        <v>75</v>
      </c>
      <c r="BM455">
        <v>3.3410000000000002E-2</v>
      </c>
      <c r="BN455" t="s">
        <v>75</v>
      </c>
      <c r="BO455">
        <v>7.7944899999999997</v>
      </c>
      <c r="BP455" t="s">
        <v>75</v>
      </c>
      <c r="BQ455">
        <v>5.2560000000000003E-2</v>
      </c>
      <c r="BR455" t="s">
        <v>75</v>
      </c>
      <c r="BS455">
        <v>0.14419000000000001</v>
      </c>
      <c r="BT455" t="s">
        <v>75</v>
      </c>
      <c r="BU455">
        <v>3.3210600000000001</v>
      </c>
      <c r="BV455" t="s">
        <v>75</v>
      </c>
      <c r="BW455">
        <v>5.4803600000000001</v>
      </c>
      <c r="BX455" t="s">
        <v>75</v>
      </c>
      <c r="BY455">
        <v>8.9222000000000001</v>
      </c>
      <c r="BZ455" t="s">
        <v>75</v>
      </c>
      <c r="CA455">
        <v>0.57245000000000001</v>
      </c>
      <c r="CB455" t="s">
        <v>75</v>
      </c>
      <c r="CC455">
        <v>0.01</v>
      </c>
      <c r="CD455" t="s">
        <v>75</v>
      </c>
      <c r="CE455">
        <v>4.8999999999999998E-4</v>
      </c>
      <c r="CF455" t="s">
        <v>75</v>
      </c>
      <c r="CG455">
        <v>6.0999999999999997E-4</v>
      </c>
      <c r="CH455" t="s">
        <v>75</v>
      </c>
      <c r="CI455">
        <v>1.14E-3</v>
      </c>
      <c r="CJ455" t="s">
        <v>75</v>
      </c>
      <c r="CK455">
        <v>5.8259999999999999E-2</v>
      </c>
      <c r="CL455" t="s">
        <v>75</v>
      </c>
      <c r="CM455">
        <v>6.8599999999999998E-3</v>
      </c>
      <c r="CN455" t="s">
        <v>75</v>
      </c>
      <c r="CO455">
        <v>2.009E-2</v>
      </c>
      <c r="CP455" t="s">
        <v>75</v>
      </c>
      <c r="CQ455">
        <v>6.7680000000000004E-2</v>
      </c>
      <c r="CR455" t="s">
        <v>75</v>
      </c>
      <c r="CS455">
        <v>26.741530000000001</v>
      </c>
      <c r="CT455" t="s">
        <v>75</v>
      </c>
      <c r="CW455">
        <v>0.47704999999999997</v>
      </c>
      <c r="CX455" t="s">
        <v>75</v>
      </c>
      <c r="DA455">
        <v>17.898319999999998</v>
      </c>
      <c r="DB455" t="s">
        <v>75</v>
      </c>
      <c r="DC455">
        <v>1.0670000000000001E-2</v>
      </c>
      <c r="DD455" t="s">
        <v>75</v>
      </c>
      <c r="DE455">
        <v>2.6078600000000001</v>
      </c>
      <c r="DF455" t="s">
        <v>75</v>
      </c>
      <c r="DG455">
        <v>0.50895999999999997</v>
      </c>
      <c r="DH455" t="s">
        <v>75</v>
      </c>
      <c r="DI455">
        <v>0.11888</v>
      </c>
      <c r="DJ455" t="s">
        <v>75</v>
      </c>
      <c r="DO455">
        <v>0.41221000000000002</v>
      </c>
      <c r="DP455" t="s">
        <v>75</v>
      </c>
    </row>
    <row r="456" spans="1:121" x14ac:dyDescent="0.2">
      <c r="D456" t="s">
        <v>65</v>
      </c>
      <c r="G456" t="s">
        <v>66</v>
      </c>
      <c r="I456" t="s">
        <v>66</v>
      </c>
      <c r="K456" t="s">
        <v>66</v>
      </c>
      <c r="M456" t="s">
        <v>66</v>
      </c>
      <c r="O456" t="s">
        <v>66</v>
      </c>
      <c r="Q456" t="s">
        <v>66</v>
      </c>
      <c r="S456" t="s">
        <v>66</v>
      </c>
      <c r="U456" t="s">
        <v>66</v>
      </c>
      <c r="W456" t="s">
        <v>66</v>
      </c>
      <c r="Y456" t="s">
        <v>66</v>
      </c>
      <c r="AA456" t="s">
        <v>66</v>
      </c>
      <c r="AC456" t="s">
        <v>66</v>
      </c>
      <c r="AE456" t="s">
        <v>66</v>
      </c>
      <c r="AG456" t="s">
        <v>66</v>
      </c>
      <c r="AI456" t="s">
        <v>66</v>
      </c>
      <c r="AK456" t="s">
        <v>66</v>
      </c>
      <c r="AM456" t="s">
        <v>66</v>
      </c>
      <c r="AO456" t="s">
        <v>66</v>
      </c>
      <c r="AQ456" t="s">
        <v>66</v>
      </c>
      <c r="AS456" t="s">
        <v>66</v>
      </c>
      <c r="AU456" t="s">
        <v>66</v>
      </c>
      <c r="AW456" t="s">
        <v>66</v>
      </c>
      <c r="AY456" t="s">
        <v>66</v>
      </c>
      <c r="BA456" t="s">
        <v>66</v>
      </c>
      <c r="BC456" t="s">
        <v>66</v>
      </c>
      <c r="BE456" t="s">
        <v>66</v>
      </c>
      <c r="BG456" t="s">
        <v>66</v>
      </c>
      <c r="BI456" t="s">
        <v>66</v>
      </c>
      <c r="BK456" t="s">
        <v>66</v>
      </c>
      <c r="BM456" t="s">
        <v>66</v>
      </c>
      <c r="BO456" t="s">
        <v>66</v>
      </c>
      <c r="BQ456" t="s">
        <v>66</v>
      </c>
      <c r="BS456" t="s">
        <v>66</v>
      </c>
      <c r="BU456" t="s">
        <v>66</v>
      </c>
      <c r="BW456" t="s">
        <v>66</v>
      </c>
      <c r="BY456" t="s">
        <v>66</v>
      </c>
      <c r="CA456" t="s">
        <v>66</v>
      </c>
      <c r="CC456" t="s">
        <v>66</v>
      </c>
      <c r="CE456" t="s">
        <v>66</v>
      </c>
      <c r="CG456" t="s">
        <v>66</v>
      </c>
      <c r="CI456" t="s">
        <v>66</v>
      </c>
      <c r="CK456" t="s">
        <v>66</v>
      </c>
      <c r="CM456" t="s">
        <v>66</v>
      </c>
      <c r="CO456" t="s">
        <v>66</v>
      </c>
      <c r="CQ456" t="s">
        <v>66</v>
      </c>
      <c r="CS456" t="s">
        <v>66</v>
      </c>
      <c r="CU456" t="s">
        <v>66</v>
      </c>
      <c r="CW456" t="s">
        <v>66</v>
      </c>
      <c r="CY456" t="s">
        <v>66</v>
      </c>
      <c r="DA456" t="s">
        <v>66</v>
      </c>
      <c r="DC456" t="s">
        <v>66</v>
      </c>
      <c r="DE456" t="s">
        <v>66</v>
      </c>
      <c r="DG456" t="s">
        <v>66</v>
      </c>
      <c r="DI456" t="s">
        <v>66</v>
      </c>
      <c r="DK456" t="s">
        <v>66</v>
      </c>
      <c r="DM456" t="s">
        <v>66</v>
      </c>
      <c r="DO456" t="s">
        <v>66</v>
      </c>
      <c r="DQ456" t="s">
        <v>66</v>
      </c>
    </row>
    <row r="457" spans="1:121" x14ac:dyDescent="0.2">
      <c r="A457" t="s">
        <v>661</v>
      </c>
      <c r="D457" t="s">
        <v>60</v>
      </c>
      <c r="E457" t="s">
        <v>61</v>
      </c>
      <c r="G457">
        <v>9856.7999999999993</v>
      </c>
      <c r="I457">
        <v>749</v>
      </c>
      <c r="K457">
        <v>106703.4</v>
      </c>
      <c r="M457">
        <v>75213.7</v>
      </c>
      <c r="O457">
        <v>828.5</v>
      </c>
      <c r="Q457">
        <v>2780.6</v>
      </c>
      <c r="S457">
        <v>1468.8</v>
      </c>
      <c r="U457">
        <v>1117.4000000000001</v>
      </c>
      <c r="W457">
        <v>29306.1</v>
      </c>
      <c r="Y457">
        <v>6087.9</v>
      </c>
      <c r="AA457">
        <v>3444084.3</v>
      </c>
      <c r="AC457">
        <v>1471887.5</v>
      </c>
      <c r="AE457">
        <v>3042215.3</v>
      </c>
      <c r="AG457">
        <v>8799</v>
      </c>
      <c r="AI457">
        <v>295051.09999999998</v>
      </c>
      <c r="AK457">
        <v>3043.5</v>
      </c>
      <c r="AM457">
        <v>4133.3</v>
      </c>
      <c r="AO457">
        <v>364.6</v>
      </c>
      <c r="AQ457">
        <v>442.8</v>
      </c>
      <c r="AS457">
        <v>275</v>
      </c>
      <c r="AU457">
        <v>226</v>
      </c>
      <c r="AW457">
        <v>156.30000000000001</v>
      </c>
      <c r="AY457">
        <v>2416.6</v>
      </c>
      <c r="BA457">
        <v>682278.8</v>
      </c>
      <c r="BC457">
        <v>2094.4</v>
      </c>
      <c r="BE457">
        <v>3319.8</v>
      </c>
      <c r="BG457">
        <v>165792.70000000001</v>
      </c>
      <c r="BI457">
        <v>140153.29999999999</v>
      </c>
      <c r="BK457">
        <v>342924.9</v>
      </c>
      <c r="BM457">
        <v>63851.8</v>
      </c>
      <c r="BO457">
        <v>1320290.7</v>
      </c>
      <c r="BQ457">
        <v>37936.400000000001</v>
      </c>
      <c r="BS457">
        <v>270855.59999999998</v>
      </c>
      <c r="BU457">
        <v>781540.4</v>
      </c>
      <c r="BW457">
        <v>25810.799999999999</v>
      </c>
      <c r="BY457">
        <v>75667.199999999997</v>
      </c>
      <c r="CA457">
        <v>33632.699999999997</v>
      </c>
      <c r="CC457">
        <v>139.80000000000001</v>
      </c>
      <c r="CE457">
        <v>275</v>
      </c>
      <c r="CG457">
        <v>7805.3</v>
      </c>
      <c r="CI457">
        <v>29574.6</v>
      </c>
      <c r="CK457">
        <v>557898.4</v>
      </c>
      <c r="CM457">
        <v>2005.3</v>
      </c>
      <c r="CO457">
        <v>7492.8</v>
      </c>
      <c r="CQ457">
        <v>22005.8</v>
      </c>
      <c r="CS457">
        <v>537781</v>
      </c>
      <c r="CU457">
        <v>297227.40000000002</v>
      </c>
      <c r="CW457">
        <v>146216</v>
      </c>
      <c r="CY457">
        <v>60109.5</v>
      </c>
      <c r="DA457">
        <v>609490.5</v>
      </c>
      <c r="DC457">
        <v>16.8</v>
      </c>
      <c r="DE457">
        <v>7462.5</v>
      </c>
      <c r="DG457">
        <v>454.6</v>
      </c>
      <c r="DI457">
        <v>3761.4</v>
      </c>
      <c r="DK457">
        <v>803.5</v>
      </c>
      <c r="DM457">
        <v>74573</v>
      </c>
      <c r="DO457">
        <v>34430.800000000003</v>
      </c>
      <c r="DQ457">
        <v>14744.9</v>
      </c>
    </row>
    <row r="458" spans="1:121" x14ac:dyDescent="0.2">
      <c r="D458" t="s">
        <v>62</v>
      </c>
      <c r="E458" t="s">
        <v>61</v>
      </c>
      <c r="G458">
        <v>280.3</v>
      </c>
      <c r="I458">
        <v>80.2</v>
      </c>
      <c r="K458">
        <v>732.7</v>
      </c>
      <c r="M458">
        <v>683.5</v>
      </c>
      <c r="O458">
        <v>109</v>
      </c>
      <c r="Q458">
        <v>176.2</v>
      </c>
      <c r="S458">
        <v>138.80000000000001</v>
      </c>
      <c r="U458">
        <v>56.3</v>
      </c>
      <c r="W458">
        <v>415.1</v>
      </c>
      <c r="Y458">
        <v>62.6</v>
      </c>
      <c r="AA458">
        <v>22170.2</v>
      </c>
      <c r="AC458">
        <v>10002.700000000001</v>
      </c>
      <c r="AE458">
        <v>8470.1</v>
      </c>
      <c r="AG458">
        <v>274</v>
      </c>
      <c r="AI458">
        <v>1482.6</v>
      </c>
      <c r="AK458">
        <v>221.7</v>
      </c>
      <c r="AM458">
        <v>186.3</v>
      </c>
      <c r="AO458">
        <v>55.1</v>
      </c>
      <c r="AQ458">
        <v>34.5</v>
      </c>
      <c r="AS458">
        <v>63.8</v>
      </c>
      <c r="AU458">
        <v>24.3</v>
      </c>
      <c r="AW458">
        <v>14.3</v>
      </c>
      <c r="AY458">
        <v>57</v>
      </c>
      <c r="BA458">
        <v>5228.3999999999996</v>
      </c>
      <c r="BC458">
        <v>44.4</v>
      </c>
      <c r="BE458">
        <v>169.4</v>
      </c>
      <c r="BG458">
        <v>1157.3</v>
      </c>
      <c r="BI458">
        <v>1270.8</v>
      </c>
      <c r="BK458">
        <v>3252.2</v>
      </c>
      <c r="BM458">
        <v>717.3</v>
      </c>
      <c r="BO458">
        <v>8362.1</v>
      </c>
      <c r="BQ458">
        <v>598.6</v>
      </c>
      <c r="BS458">
        <v>5162.3999999999996</v>
      </c>
      <c r="BU458">
        <v>3320.9</v>
      </c>
      <c r="BW458">
        <v>31.6</v>
      </c>
      <c r="BY458">
        <v>751.9</v>
      </c>
      <c r="CA458">
        <v>142.4</v>
      </c>
      <c r="CC458">
        <v>15.3</v>
      </c>
      <c r="CE458">
        <v>37.4</v>
      </c>
      <c r="CG458">
        <v>110.9</v>
      </c>
      <c r="CI458">
        <v>483.3</v>
      </c>
      <c r="CK458">
        <v>9388.7000000000007</v>
      </c>
      <c r="CM458">
        <v>15.8</v>
      </c>
      <c r="CO458">
        <v>337.6</v>
      </c>
      <c r="CQ458">
        <v>253.7</v>
      </c>
      <c r="CS458">
        <v>9350.2000000000007</v>
      </c>
      <c r="CU458">
        <v>3812.5</v>
      </c>
      <c r="CW458">
        <v>690.9</v>
      </c>
      <c r="CY458">
        <v>832.7</v>
      </c>
      <c r="DA458">
        <v>7921.1</v>
      </c>
      <c r="DC458">
        <v>7.5</v>
      </c>
      <c r="DE458">
        <v>126.2</v>
      </c>
      <c r="DG458">
        <v>125.5</v>
      </c>
      <c r="DI458">
        <v>258.2</v>
      </c>
      <c r="DK458">
        <v>53.5</v>
      </c>
      <c r="DM458">
        <v>968.9</v>
      </c>
      <c r="DO458">
        <v>221.6</v>
      </c>
      <c r="DQ458">
        <v>302</v>
      </c>
    </row>
    <row r="459" spans="1:121" x14ac:dyDescent="0.2">
      <c r="D459" t="s">
        <v>63</v>
      </c>
      <c r="G459">
        <v>4.342E-2</v>
      </c>
      <c r="H459" t="s">
        <v>75</v>
      </c>
      <c r="I459">
        <v>1.3339999999999999E-2</v>
      </c>
      <c r="J459" t="s">
        <v>75</v>
      </c>
      <c r="K459">
        <v>0.13136999999999999</v>
      </c>
      <c r="L459" t="s">
        <v>75</v>
      </c>
      <c r="M459">
        <v>4.172E-2</v>
      </c>
      <c r="N459" t="s">
        <v>75</v>
      </c>
      <c r="O459">
        <v>3.62E-3</v>
      </c>
      <c r="P459" t="s">
        <v>75</v>
      </c>
      <c r="Q459">
        <v>3.8850000000000003E-2</v>
      </c>
      <c r="R459" t="s">
        <v>75</v>
      </c>
      <c r="S459">
        <v>5.8E-4</v>
      </c>
      <c r="T459" t="s">
        <v>75</v>
      </c>
      <c r="U459">
        <v>1.0240000000000001E-2</v>
      </c>
      <c r="V459" t="s">
        <v>75</v>
      </c>
      <c r="W459">
        <v>6.5320000000000003E-2</v>
      </c>
      <c r="X459" t="s">
        <v>75</v>
      </c>
      <c r="Y459">
        <v>8.9829999999999993E-2</v>
      </c>
      <c r="Z459" t="s">
        <v>75</v>
      </c>
      <c r="AB459" t="s">
        <v>76</v>
      </c>
      <c r="AC459">
        <v>5.24437</v>
      </c>
      <c r="AD459" t="s">
        <v>75</v>
      </c>
      <c r="AE459">
        <v>11.36073</v>
      </c>
      <c r="AF459" t="s">
        <v>75</v>
      </c>
      <c r="AG459">
        <v>-9.4900000000000002E-3</v>
      </c>
      <c r="AH459" t="s">
        <v>75</v>
      </c>
      <c r="AI459">
        <v>1.85297</v>
      </c>
      <c r="AJ459" t="s">
        <v>75</v>
      </c>
      <c r="AK459">
        <v>-6.9999999999999994E-5</v>
      </c>
      <c r="AL459" t="s">
        <v>75</v>
      </c>
      <c r="AM459">
        <v>-2.5999999999999999E-3</v>
      </c>
      <c r="AN459" t="s">
        <v>75</v>
      </c>
      <c r="AO459">
        <v>2.7499999999999998E-3</v>
      </c>
      <c r="AP459" t="s">
        <v>75</v>
      </c>
      <c r="AQ459">
        <v>9.3000000000000005E-4</v>
      </c>
      <c r="AR459" t="s">
        <v>75</v>
      </c>
      <c r="AS459">
        <v>1.8000000000000001E-4</v>
      </c>
      <c r="AT459" t="s">
        <v>75</v>
      </c>
      <c r="AU459">
        <v>1.5E-3</v>
      </c>
      <c r="AV459" t="s">
        <v>75</v>
      </c>
      <c r="AW459">
        <v>-4.2000000000000002E-4</v>
      </c>
      <c r="AX459" t="s">
        <v>75</v>
      </c>
      <c r="AY459">
        <v>-2.6199999999999999E-3</v>
      </c>
      <c r="AZ459" t="s">
        <v>75</v>
      </c>
      <c r="BC459">
        <v>-2.0536799999999999</v>
      </c>
      <c r="BD459" t="s">
        <v>75</v>
      </c>
      <c r="BE459">
        <v>5.7200000000000003E-3</v>
      </c>
      <c r="BF459" t="s">
        <v>75</v>
      </c>
      <c r="BG459">
        <v>0.43481999999999998</v>
      </c>
      <c r="BH459" t="s">
        <v>75</v>
      </c>
      <c r="BI459">
        <v>0.44416</v>
      </c>
      <c r="BJ459" t="s">
        <v>75</v>
      </c>
      <c r="BK459">
        <v>0.42649999999999999</v>
      </c>
      <c r="BL459" t="s">
        <v>75</v>
      </c>
      <c r="BM459">
        <v>4.9630000000000001E-2</v>
      </c>
      <c r="BN459" t="s">
        <v>75</v>
      </c>
      <c r="BO459">
        <v>27.18619</v>
      </c>
      <c r="BP459" t="s">
        <v>75</v>
      </c>
      <c r="BQ459">
        <v>0.85394999999999999</v>
      </c>
      <c r="BR459" t="s">
        <v>75</v>
      </c>
      <c r="BS459">
        <v>5.56236</v>
      </c>
      <c r="BT459" t="s">
        <v>75</v>
      </c>
      <c r="BU459">
        <v>11.595739999999999</v>
      </c>
      <c r="BV459" t="s">
        <v>75</v>
      </c>
      <c r="BW459">
        <v>10.61721</v>
      </c>
      <c r="BX459" t="s">
        <v>75</v>
      </c>
      <c r="BY459">
        <v>12.957940000000001</v>
      </c>
      <c r="BZ459" t="s">
        <v>75</v>
      </c>
      <c r="CA459">
        <v>14.271000000000001</v>
      </c>
      <c r="CB459" t="s">
        <v>75</v>
      </c>
      <c r="CC459">
        <v>1.5350000000000001E-2</v>
      </c>
      <c r="CD459" t="s">
        <v>75</v>
      </c>
      <c r="CE459">
        <v>2.4199999999999998E-3</v>
      </c>
      <c r="CF459" t="s">
        <v>75</v>
      </c>
      <c r="CG459">
        <v>0.11461</v>
      </c>
      <c r="CH459" t="s">
        <v>75</v>
      </c>
      <c r="CI459">
        <v>0.35413</v>
      </c>
      <c r="CJ459" t="s">
        <v>75</v>
      </c>
      <c r="CK459">
        <v>7.5074100000000001</v>
      </c>
      <c r="CL459" t="s">
        <v>75</v>
      </c>
      <c r="CM459">
        <v>2.1270000000000001E-2</v>
      </c>
      <c r="CN459" t="s">
        <v>75</v>
      </c>
      <c r="CO459">
        <v>0.43073</v>
      </c>
      <c r="CP459" t="s">
        <v>75</v>
      </c>
      <c r="CQ459">
        <v>0.63290999999999997</v>
      </c>
      <c r="CR459" t="s">
        <v>75</v>
      </c>
      <c r="CS459">
        <v>139.47873000000001</v>
      </c>
      <c r="CT459" t="s">
        <v>75</v>
      </c>
      <c r="CV459" t="s">
        <v>76</v>
      </c>
      <c r="CW459">
        <v>5.35886</v>
      </c>
      <c r="CX459" t="s">
        <v>75</v>
      </c>
      <c r="DA459">
        <v>39.964669999999998</v>
      </c>
      <c r="DB459" t="s">
        <v>75</v>
      </c>
      <c r="DC459">
        <v>7.1199999999999996E-3</v>
      </c>
      <c r="DD459" t="s">
        <v>75</v>
      </c>
      <c r="DE459">
        <v>3.7161400000000002</v>
      </c>
      <c r="DF459" t="s">
        <v>75</v>
      </c>
      <c r="DG459">
        <v>2.5735199999999998</v>
      </c>
      <c r="DH459" t="s">
        <v>75</v>
      </c>
      <c r="DI459">
        <v>6.8690699999999998</v>
      </c>
      <c r="DJ459" t="s">
        <v>75</v>
      </c>
      <c r="DL459" t="s">
        <v>76</v>
      </c>
      <c r="DN459" t="s">
        <v>76</v>
      </c>
      <c r="DO459">
        <v>5.6257400000000004</v>
      </c>
      <c r="DP459" t="s">
        <v>75</v>
      </c>
    </row>
    <row r="460" spans="1:121" x14ac:dyDescent="0.2">
      <c r="D460" t="s">
        <v>64</v>
      </c>
      <c r="G460">
        <v>1.6999999999999999E-3</v>
      </c>
      <c r="H460" t="s">
        <v>75</v>
      </c>
      <c r="I460">
        <v>2.5999999999999999E-3</v>
      </c>
      <c r="J460" t="s">
        <v>75</v>
      </c>
      <c r="K460">
        <v>1.7799999999999999E-3</v>
      </c>
      <c r="L460" t="s">
        <v>75</v>
      </c>
      <c r="M460">
        <v>1.16E-3</v>
      </c>
      <c r="N460" t="s">
        <v>75</v>
      </c>
      <c r="O460">
        <v>9.0000000000000006E-5</v>
      </c>
      <c r="P460" t="s">
        <v>75</v>
      </c>
      <c r="Q460">
        <v>1.2600000000000001E-3</v>
      </c>
      <c r="R460" t="s">
        <v>75</v>
      </c>
      <c r="S460">
        <v>1.1E-4</v>
      </c>
      <c r="T460" t="s">
        <v>75</v>
      </c>
      <c r="U460">
        <v>2.4000000000000001E-4</v>
      </c>
      <c r="V460" t="s">
        <v>75</v>
      </c>
      <c r="W460">
        <v>1.34E-3</v>
      </c>
      <c r="X460" t="s">
        <v>75</v>
      </c>
      <c r="Y460">
        <v>1.5900000000000001E-3</v>
      </c>
      <c r="Z460" t="s">
        <v>75</v>
      </c>
      <c r="AC460">
        <v>3.4130000000000001E-2</v>
      </c>
      <c r="AD460" t="s">
        <v>75</v>
      </c>
      <c r="AE460">
        <v>0.1179</v>
      </c>
      <c r="AF460" t="s">
        <v>75</v>
      </c>
      <c r="AG460">
        <v>2.5000000000000001E-4</v>
      </c>
      <c r="AH460" t="s">
        <v>75</v>
      </c>
      <c r="AI460">
        <v>1.2409999999999999E-2</v>
      </c>
      <c r="AJ460" t="s">
        <v>75</v>
      </c>
      <c r="AK460">
        <v>1.6000000000000001E-4</v>
      </c>
      <c r="AL460" t="s">
        <v>75</v>
      </c>
      <c r="AM460">
        <v>1.2E-4</v>
      </c>
      <c r="AN460" t="s">
        <v>75</v>
      </c>
      <c r="AO460">
        <v>2.0000000000000001E-4</v>
      </c>
      <c r="AP460" t="s">
        <v>75</v>
      </c>
      <c r="AQ460">
        <v>1.3999999999999999E-4</v>
      </c>
      <c r="AR460" t="s">
        <v>75</v>
      </c>
      <c r="AS460">
        <v>2.9E-4</v>
      </c>
      <c r="AT460" t="s">
        <v>75</v>
      </c>
      <c r="AU460">
        <v>2.0000000000000002E-5</v>
      </c>
      <c r="AV460" t="s">
        <v>75</v>
      </c>
      <c r="AW460">
        <v>4.0000000000000003E-5</v>
      </c>
      <c r="AX460" t="s">
        <v>75</v>
      </c>
      <c r="AY460">
        <v>1.6000000000000001E-4</v>
      </c>
      <c r="AZ460" t="s">
        <v>75</v>
      </c>
      <c r="BC460">
        <v>8.0000000000000007E-5</v>
      </c>
      <c r="BD460" t="s">
        <v>75</v>
      </c>
      <c r="BE460">
        <v>1.3999999999999999E-4</v>
      </c>
      <c r="BF460" t="s">
        <v>75</v>
      </c>
      <c r="BG460">
        <v>2.7399999999999998E-3</v>
      </c>
      <c r="BH460" t="s">
        <v>75</v>
      </c>
      <c r="BI460">
        <v>1.97E-3</v>
      </c>
      <c r="BJ460" t="s">
        <v>75</v>
      </c>
      <c r="BK460">
        <v>3.9300000000000003E-3</v>
      </c>
      <c r="BL460" t="s">
        <v>75</v>
      </c>
      <c r="BM460">
        <v>8.0000000000000004E-4</v>
      </c>
      <c r="BN460" t="s">
        <v>75</v>
      </c>
      <c r="BO460">
        <v>0.39108999999999999</v>
      </c>
      <c r="BP460" t="s">
        <v>75</v>
      </c>
      <c r="BQ460">
        <v>1.8159999999999999E-2</v>
      </c>
      <c r="BR460" t="s">
        <v>75</v>
      </c>
      <c r="BS460">
        <v>0.12934999999999999</v>
      </c>
      <c r="BT460" t="s">
        <v>75</v>
      </c>
      <c r="BU460">
        <v>0.57084000000000001</v>
      </c>
      <c r="BV460" t="s">
        <v>75</v>
      </c>
      <c r="BW460">
        <v>0.1512</v>
      </c>
      <c r="BX460" t="s">
        <v>75</v>
      </c>
      <c r="BY460">
        <v>0.40526000000000001</v>
      </c>
      <c r="BZ460" t="s">
        <v>75</v>
      </c>
      <c r="CA460">
        <v>0.27604000000000001</v>
      </c>
      <c r="CB460" t="s">
        <v>75</v>
      </c>
      <c r="CC460">
        <v>3.5899999999999999E-3</v>
      </c>
      <c r="CD460" t="s">
        <v>75</v>
      </c>
      <c r="CE460">
        <v>5.1000000000000004E-4</v>
      </c>
      <c r="CF460" t="s">
        <v>75</v>
      </c>
      <c r="CG460">
        <v>2.3999999999999998E-3</v>
      </c>
      <c r="CH460" t="s">
        <v>75</v>
      </c>
      <c r="CI460">
        <v>1.145E-2</v>
      </c>
      <c r="CJ460" t="s">
        <v>75</v>
      </c>
      <c r="CK460">
        <v>0.20735999999999999</v>
      </c>
      <c r="CL460" t="s">
        <v>75</v>
      </c>
      <c r="CM460">
        <v>5.9000000000000003E-4</v>
      </c>
      <c r="CN460" t="s">
        <v>75</v>
      </c>
      <c r="CO460">
        <v>2.2679999999999999E-2</v>
      </c>
      <c r="CP460" t="s">
        <v>75</v>
      </c>
      <c r="CQ460">
        <v>1.65E-3</v>
      </c>
      <c r="CR460" t="s">
        <v>75</v>
      </c>
      <c r="CS460">
        <v>3.9533999999999998</v>
      </c>
      <c r="CT460" t="s">
        <v>75</v>
      </c>
      <c r="CW460">
        <v>4.999E-2</v>
      </c>
      <c r="CX460" t="s">
        <v>75</v>
      </c>
      <c r="DA460">
        <v>1.3418699999999999</v>
      </c>
      <c r="DB460" t="s">
        <v>75</v>
      </c>
      <c r="DC460">
        <v>3.8E-3</v>
      </c>
      <c r="DD460" t="s">
        <v>75</v>
      </c>
      <c r="DE460">
        <v>1.728E-2</v>
      </c>
      <c r="DF460" t="s">
        <v>75</v>
      </c>
      <c r="DG460">
        <v>0.67427999999999999</v>
      </c>
      <c r="DH460" t="s">
        <v>75</v>
      </c>
      <c r="DI460">
        <v>0.42413000000000001</v>
      </c>
      <c r="DJ460" t="s">
        <v>75</v>
      </c>
      <c r="DO460">
        <v>0.14229</v>
      </c>
      <c r="DP460" t="s">
        <v>75</v>
      </c>
    </row>
    <row r="461" spans="1:121" x14ac:dyDescent="0.2">
      <c r="D461" t="s">
        <v>65</v>
      </c>
      <c r="G461" t="s">
        <v>66</v>
      </c>
      <c r="I461" t="s">
        <v>66</v>
      </c>
      <c r="K461" t="s">
        <v>66</v>
      </c>
      <c r="M461" t="s">
        <v>66</v>
      </c>
      <c r="O461" t="s">
        <v>66</v>
      </c>
      <c r="Q461" t="s">
        <v>66</v>
      </c>
      <c r="S461" t="s">
        <v>66</v>
      </c>
      <c r="U461" t="s">
        <v>66</v>
      </c>
      <c r="W461" t="s">
        <v>66</v>
      </c>
      <c r="Y461" t="s">
        <v>66</v>
      </c>
      <c r="AA461" t="s">
        <v>66</v>
      </c>
      <c r="AC461" t="s">
        <v>66</v>
      </c>
      <c r="AE461" t="s">
        <v>66</v>
      </c>
      <c r="AG461" t="s">
        <v>66</v>
      </c>
      <c r="AI461" t="s">
        <v>66</v>
      </c>
      <c r="AK461" t="s">
        <v>66</v>
      </c>
      <c r="AM461" t="s">
        <v>66</v>
      </c>
      <c r="AO461" t="s">
        <v>66</v>
      </c>
      <c r="AQ461" t="s">
        <v>66</v>
      </c>
      <c r="AS461" t="s">
        <v>66</v>
      </c>
      <c r="AU461" t="s">
        <v>66</v>
      </c>
      <c r="AW461" t="s">
        <v>66</v>
      </c>
      <c r="AY461" t="s">
        <v>66</v>
      </c>
      <c r="BA461" t="s">
        <v>66</v>
      </c>
      <c r="BC461" t="s">
        <v>66</v>
      </c>
      <c r="BE461" t="s">
        <v>66</v>
      </c>
      <c r="BG461" t="s">
        <v>66</v>
      </c>
      <c r="BI461" t="s">
        <v>66</v>
      </c>
      <c r="BK461" t="s">
        <v>66</v>
      </c>
      <c r="BM461" t="s">
        <v>66</v>
      </c>
      <c r="BO461" t="s">
        <v>66</v>
      </c>
      <c r="BQ461" t="s">
        <v>66</v>
      </c>
      <c r="BS461" t="s">
        <v>66</v>
      </c>
      <c r="BU461" t="s">
        <v>66</v>
      </c>
      <c r="BW461" t="s">
        <v>66</v>
      </c>
      <c r="BY461" t="s">
        <v>66</v>
      </c>
      <c r="CA461" t="s">
        <v>66</v>
      </c>
      <c r="CC461" t="s">
        <v>66</v>
      </c>
      <c r="CE461" t="s">
        <v>66</v>
      </c>
      <c r="CG461" t="s">
        <v>66</v>
      </c>
      <c r="CI461" t="s">
        <v>66</v>
      </c>
      <c r="CK461" t="s">
        <v>66</v>
      </c>
      <c r="CM461" t="s">
        <v>66</v>
      </c>
      <c r="CO461" t="s">
        <v>66</v>
      </c>
      <c r="CQ461" t="s">
        <v>66</v>
      </c>
      <c r="CS461" t="s">
        <v>66</v>
      </c>
      <c r="CU461" t="s">
        <v>66</v>
      </c>
      <c r="CW461" t="s">
        <v>66</v>
      </c>
      <c r="CY461" t="s">
        <v>66</v>
      </c>
      <c r="DA461" t="s">
        <v>66</v>
      </c>
      <c r="DC461" t="s">
        <v>66</v>
      </c>
      <c r="DE461" t="s">
        <v>66</v>
      </c>
      <c r="DG461" t="s">
        <v>66</v>
      </c>
      <c r="DI461" t="s">
        <v>66</v>
      </c>
      <c r="DK461" t="s">
        <v>66</v>
      </c>
      <c r="DM461" t="s">
        <v>66</v>
      </c>
      <c r="DO461" t="s">
        <v>66</v>
      </c>
      <c r="DQ461" t="s">
        <v>66</v>
      </c>
    </row>
    <row r="462" spans="1:121" x14ac:dyDescent="0.2">
      <c r="A462" t="s">
        <v>662</v>
      </c>
      <c r="D462" t="s">
        <v>60</v>
      </c>
      <c r="E462" t="s">
        <v>61</v>
      </c>
      <c r="G462">
        <v>9232.2000000000007</v>
      </c>
      <c r="I462">
        <v>718.5</v>
      </c>
      <c r="K462">
        <v>30869</v>
      </c>
      <c r="M462">
        <v>75928.100000000006</v>
      </c>
      <c r="O462">
        <v>1042.3</v>
      </c>
      <c r="Q462">
        <v>3252</v>
      </c>
      <c r="S462">
        <v>1394.7</v>
      </c>
      <c r="U462">
        <v>1075.5999999999999</v>
      </c>
      <c r="W462">
        <v>3924.7</v>
      </c>
      <c r="Y462">
        <v>1701.3</v>
      </c>
      <c r="AA462">
        <v>3109838</v>
      </c>
      <c r="AC462">
        <v>1905715</v>
      </c>
      <c r="AE462">
        <v>1026112.3</v>
      </c>
      <c r="AG462">
        <v>3293.8</v>
      </c>
      <c r="AI462">
        <v>22045.599999999999</v>
      </c>
      <c r="AK462">
        <v>2341.6</v>
      </c>
      <c r="AM462">
        <v>3794.4</v>
      </c>
      <c r="AO462">
        <v>386.5</v>
      </c>
      <c r="AQ462">
        <v>385.5</v>
      </c>
      <c r="AS462">
        <v>274</v>
      </c>
      <c r="AU462">
        <v>230.2</v>
      </c>
      <c r="AW462">
        <v>153.1</v>
      </c>
      <c r="AY462">
        <v>3081</v>
      </c>
      <c r="BA462">
        <v>679290.3</v>
      </c>
      <c r="BC462">
        <v>1948.4</v>
      </c>
      <c r="BE462">
        <v>938</v>
      </c>
      <c r="BG462">
        <v>72864.100000000006</v>
      </c>
      <c r="BI462">
        <v>61945</v>
      </c>
      <c r="BK462">
        <v>153246.1</v>
      </c>
      <c r="BM462">
        <v>94226.9</v>
      </c>
      <c r="BO462">
        <v>532715.69999999995</v>
      </c>
      <c r="BQ462">
        <v>51810.7</v>
      </c>
      <c r="BS462">
        <v>187892.5</v>
      </c>
      <c r="BU462">
        <v>810178.4</v>
      </c>
      <c r="BW462">
        <v>16229.3</v>
      </c>
      <c r="BY462">
        <v>47406.3</v>
      </c>
      <c r="CA462">
        <v>49706.2</v>
      </c>
      <c r="CC462">
        <v>435.3</v>
      </c>
      <c r="CE462">
        <v>285.2</v>
      </c>
      <c r="CG462">
        <v>32343.4</v>
      </c>
      <c r="CI462">
        <v>24906.799999999999</v>
      </c>
      <c r="CK462">
        <v>321079.90000000002</v>
      </c>
      <c r="CM462">
        <v>2537.4</v>
      </c>
      <c r="CO462">
        <v>98268.6</v>
      </c>
      <c r="CQ462">
        <v>52462.6</v>
      </c>
      <c r="CS462">
        <v>152679.1</v>
      </c>
      <c r="CU462">
        <v>275420.90000000002</v>
      </c>
      <c r="CW462">
        <v>184950.6</v>
      </c>
      <c r="CY462">
        <v>59013.5</v>
      </c>
      <c r="DA462">
        <v>199284.7</v>
      </c>
      <c r="DC462">
        <v>3.1</v>
      </c>
      <c r="DE462">
        <v>1752.3</v>
      </c>
      <c r="DG462">
        <v>121.6</v>
      </c>
      <c r="DI462">
        <v>1657.8</v>
      </c>
      <c r="DK462">
        <v>745.1</v>
      </c>
      <c r="DM462">
        <v>70822.5</v>
      </c>
      <c r="DO462">
        <v>42638.5</v>
      </c>
      <c r="DQ462">
        <v>14535.1</v>
      </c>
    </row>
    <row r="463" spans="1:121" x14ac:dyDescent="0.2">
      <c r="D463" t="s">
        <v>62</v>
      </c>
      <c r="E463" t="s">
        <v>61</v>
      </c>
      <c r="G463">
        <v>506.6</v>
      </c>
      <c r="I463">
        <v>54.3</v>
      </c>
      <c r="K463">
        <v>642.79999999999995</v>
      </c>
      <c r="M463">
        <v>635.9</v>
      </c>
      <c r="O463">
        <v>115.6</v>
      </c>
      <c r="Q463">
        <v>107.2</v>
      </c>
      <c r="S463">
        <v>116.8</v>
      </c>
      <c r="U463">
        <v>61</v>
      </c>
      <c r="W463">
        <v>49.1</v>
      </c>
      <c r="Y463">
        <v>92.1</v>
      </c>
      <c r="AA463">
        <v>13080.1</v>
      </c>
      <c r="AC463">
        <v>7888.8</v>
      </c>
      <c r="AE463">
        <v>8838.1</v>
      </c>
      <c r="AG463">
        <v>251</v>
      </c>
      <c r="AI463">
        <v>252.2</v>
      </c>
      <c r="AK463">
        <v>86.1</v>
      </c>
      <c r="AM463">
        <v>193.6</v>
      </c>
      <c r="AO463">
        <v>23.5</v>
      </c>
      <c r="AQ463">
        <v>31.6</v>
      </c>
      <c r="AS463">
        <v>33.1</v>
      </c>
      <c r="AU463">
        <v>19.100000000000001</v>
      </c>
      <c r="AW463">
        <v>8.3000000000000007</v>
      </c>
      <c r="AY463">
        <v>84</v>
      </c>
      <c r="BA463">
        <v>1949.8</v>
      </c>
      <c r="BC463">
        <v>30.2</v>
      </c>
      <c r="BE463">
        <v>13.6</v>
      </c>
      <c r="BG463">
        <v>586.5</v>
      </c>
      <c r="BI463">
        <v>468.4</v>
      </c>
      <c r="BK463">
        <v>1476.8</v>
      </c>
      <c r="BM463">
        <v>584.29999999999995</v>
      </c>
      <c r="BO463">
        <v>7993</v>
      </c>
      <c r="BQ463">
        <v>1382.4</v>
      </c>
      <c r="BS463">
        <v>5426</v>
      </c>
      <c r="BU463">
        <v>1025.5999999999999</v>
      </c>
      <c r="BW463">
        <v>243.6</v>
      </c>
      <c r="BY463">
        <v>383</v>
      </c>
      <c r="CA463">
        <v>652.29999999999995</v>
      </c>
      <c r="CC463">
        <v>27.9</v>
      </c>
      <c r="CE463">
        <v>52.5</v>
      </c>
      <c r="CG463">
        <v>973.5</v>
      </c>
      <c r="CI463">
        <v>1036.2</v>
      </c>
      <c r="CK463">
        <v>12406.4</v>
      </c>
      <c r="CM463">
        <v>123.5</v>
      </c>
      <c r="CO463">
        <v>2493.8000000000002</v>
      </c>
      <c r="CQ463">
        <v>1501.6</v>
      </c>
      <c r="CS463">
        <v>4279</v>
      </c>
      <c r="CU463">
        <v>7110.2</v>
      </c>
      <c r="CW463">
        <v>6949.2</v>
      </c>
      <c r="CY463">
        <v>2589.6</v>
      </c>
      <c r="DA463">
        <v>1785.6</v>
      </c>
      <c r="DC463">
        <v>0.5</v>
      </c>
      <c r="DE463">
        <v>63.5</v>
      </c>
      <c r="DG463">
        <v>10</v>
      </c>
      <c r="DI463">
        <v>262.2</v>
      </c>
      <c r="DK463">
        <v>35</v>
      </c>
      <c r="DM463">
        <v>925.3</v>
      </c>
      <c r="DO463">
        <v>392.6</v>
      </c>
      <c r="DQ463">
        <v>230.9</v>
      </c>
    </row>
    <row r="464" spans="1:121" x14ac:dyDescent="0.2">
      <c r="D464" t="s">
        <v>63</v>
      </c>
      <c r="G464">
        <v>3.8830000000000003E-2</v>
      </c>
      <c r="H464" t="s">
        <v>75</v>
      </c>
      <c r="I464">
        <v>1.239E-2</v>
      </c>
      <c r="J464" t="s">
        <v>75</v>
      </c>
      <c r="K464">
        <v>3.5700000000000003E-2</v>
      </c>
      <c r="L464" t="s">
        <v>75</v>
      </c>
      <c r="M464">
        <v>4.2770000000000002E-2</v>
      </c>
      <c r="N464" t="s">
        <v>75</v>
      </c>
      <c r="O464">
        <v>3.8E-3</v>
      </c>
      <c r="P464" t="s">
        <v>75</v>
      </c>
      <c r="Q464">
        <v>4.1959999999999997E-2</v>
      </c>
      <c r="R464" t="s">
        <v>75</v>
      </c>
      <c r="S464">
        <v>5.2999999999999998E-4</v>
      </c>
      <c r="T464" t="s">
        <v>75</v>
      </c>
      <c r="U464">
        <v>1.009E-2</v>
      </c>
      <c r="V464" t="s">
        <v>75</v>
      </c>
      <c r="W464">
        <v>1.1849999999999999E-2</v>
      </c>
      <c r="X464" t="s">
        <v>75</v>
      </c>
      <c r="Y464">
        <v>2.521E-2</v>
      </c>
      <c r="Z464" t="s">
        <v>75</v>
      </c>
      <c r="AB464" t="s">
        <v>76</v>
      </c>
      <c r="AC464">
        <v>6.8073699999999997</v>
      </c>
      <c r="AD464" t="s">
        <v>75</v>
      </c>
      <c r="AE464">
        <v>3.87446</v>
      </c>
      <c r="AF464" t="s">
        <v>75</v>
      </c>
      <c r="AG464">
        <v>-1.3780000000000001E-2</v>
      </c>
      <c r="AH464" t="s">
        <v>75</v>
      </c>
      <c r="AI464">
        <v>0.13905999999999999</v>
      </c>
      <c r="AJ464" t="s">
        <v>75</v>
      </c>
      <c r="AK464">
        <v>-5.4000000000000001E-4</v>
      </c>
      <c r="AL464" t="s">
        <v>75</v>
      </c>
      <c r="AM464">
        <v>-2.8400000000000001E-3</v>
      </c>
      <c r="AN464" t="s">
        <v>75</v>
      </c>
      <c r="AO464">
        <v>2.8400000000000001E-3</v>
      </c>
      <c r="AP464" t="s">
        <v>75</v>
      </c>
      <c r="AQ464">
        <v>6.8999999999999997E-4</v>
      </c>
      <c r="AR464" t="s">
        <v>75</v>
      </c>
      <c r="AS464">
        <v>1.8000000000000001E-4</v>
      </c>
      <c r="AT464" t="s">
        <v>75</v>
      </c>
      <c r="AU464">
        <v>1.5E-3</v>
      </c>
      <c r="AV464" t="s">
        <v>75</v>
      </c>
      <c r="AW464">
        <v>-4.2999999999999999E-4</v>
      </c>
      <c r="AX464" t="s">
        <v>75</v>
      </c>
      <c r="AY464">
        <v>-4.4000000000000002E-4</v>
      </c>
      <c r="AZ464" t="s">
        <v>75</v>
      </c>
      <c r="BC464">
        <v>-2.05409</v>
      </c>
      <c r="BD464" t="s">
        <v>75</v>
      </c>
      <c r="BE464">
        <v>3.46E-3</v>
      </c>
      <c r="BF464" t="s">
        <v>75</v>
      </c>
      <c r="BG464">
        <v>0.17025999999999999</v>
      </c>
      <c r="BH464" t="s">
        <v>75</v>
      </c>
      <c r="BI464">
        <v>0.18820000000000001</v>
      </c>
      <c r="BJ464" t="s">
        <v>75</v>
      </c>
      <c r="BK464">
        <v>0.16356000000000001</v>
      </c>
      <c r="BL464" t="s">
        <v>75</v>
      </c>
      <c r="BM464">
        <v>7.8380000000000005E-2</v>
      </c>
      <c r="BN464" t="s">
        <v>75</v>
      </c>
      <c r="BO464">
        <v>10.173170000000001</v>
      </c>
      <c r="BP464" t="s">
        <v>75</v>
      </c>
      <c r="BQ464">
        <v>1.3551599999999999</v>
      </c>
      <c r="BR464" t="s">
        <v>75</v>
      </c>
      <c r="BS464">
        <v>3.8038799999999999</v>
      </c>
      <c r="BT464" t="s">
        <v>75</v>
      </c>
      <c r="BU464">
        <v>13.42712</v>
      </c>
      <c r="BV464" t="s">
        <v>75</v>
      </c>
      <c r="BW464">
        <v>6.7204699999999997</v>
      </c>
      <c r="BX464" t="s">
        <v>75</v>
      </c>
      <c r="BY464">
        <v>5.3395200000000003</v>
      </c>
      <c r="BZ464" t="s">
        <v>75</v>
      </c>
      <c r="CA464">
        <v>23.347529999999999</v>
      </c>
      <c r="CB464" t="s">
        <v>75</v>
      </c>
      <c r="CC464">
        <v>7.986E-2</v>
      </c>
      <c r="CD464" t="s">
        <v>75</v>
      </c>
      <c r="CE464">
        <v>2.64E-3</v>
      </c>
      <c r="CF464" t="s">
        <v>75</v>
      </c>
      <c r="CG464">
        <v>0.54064999999999996</v>
      </c>
      <c r="CH464" t="s">
        <v>75</v>
      </c>
      <c r="CI464">
        <v>0.30021999999999999</v>
      </c>
      <c r="CJ464" t="s">
        <v>75</v>
      </c>
      <c r="CK464">
        <v>4.2740499999999999</v>
      </c>
      <c r="CL464" t="s">
        <v>75</v>
      </c>
      <c r="CM464">
        <v>2.9510000000000002E-2</v>
      </c>
      <c r="CN464" t="s">
        <v>75</v>
      </c>
      <c r="CO464">
        <v>5.6346100000000003</v>
      </c>
      <c r="CP464" t="s">
        <v>75</v>
      </c>
      <c r="CQ464">
        <v>1.5794299999999999</v>
      </c>
      <c r="CR464" t="s">
        <v>75</v>
      </c>
      <c r="CS464">
        <v>40.34066</v>
      </c>
      <c r="CT464" t="s">
        <v>75</v>
      </c>
      <c r="CV464" t="s">
        <v>76</v>
      </c>
      <c r="CW464">
        <v>6.9281600000000001</v>
      </c>
      <c r="CX464" t="s">
        <v>75</v>
      </c>
      <c r="DA464">
        <v>13.10041</v>
      </c>
      <c r="DB464" t="s">
        <v>75</v>
      </c>
      <c r="DC464">
        <v>4.4000000000000002E-4</v>
      </c>
      <c r="DD464" t="s">
        <v>75</v>
      </c>
      <c r="DE464">
        <v>0.87170999999999998</v>
      </c>
      <c r="DF464" t="s">
        <v>75</v>
      </c>
      <c r="DG464">
        <v>0.65561999999999998</v>
      </c>
      <c r="DH464" t="s">
        <v>75</v>
      </c>
      <c r="DI464">
        <v>2.8283700000000001</v>
      </c>
      <c r="DJ464" t="s">
        <v>75</v>
      </c>
      <c r="DL464" t="s">
        <v>76</v>
      </c>
      <c r="DN464" t="s">
        <v>76</v>
      </c>
      <c r="DO464">
        <v>7.0679100000000004</v>
      </c>
      <c r="DP464" t="s">
        <v>75</v>
      </c>
    </row>
    <row r="465" spans="1:121" x14ac:dyDescent="0.2">
      <c r="D465" t="s">
        <v>64</v>
      </c>
      <c r="G465">
        <v>4.15E-3</v>
      </c>
      <c r="H465" t="s">
        <v>75</v>
      </c>
      <c r="I465">
        <v>1.8400000000000001E-3</v>
      </c>
      <c r="J465" t="s">
        <v>75</v>
      </c>
      <c r="K465">
        <v>7.1000000000000002E-4</v>
      </c>
      <c r="L465" t="s">
        <v>75</v>
      </c>
      <c r="M465">
        <v>4.4000000000000002E-4</v>
      </c>
      <c r="N465" t="s">
        <v>75</v>
      </c>
      <c r="O465">
        <v>1E-4</v>
      </c>
      <c r="P465" t="s">
        <v>75</v>
      </c>
      <c r="Q465">
        <v>6.8999999999999997E-4</v>
      </c>
      <c r="R465" t="s">
        <v>75</v>
      </c>
      <c r="S465">
        <v>1E-4</v>
      </c>
      <c r="T465" t="s">
        <v>75</v>
      </c>
      <c r="U465">
        <v>2.4000000000000001E-4</v>
      </c>
      <c r="V465" t="s">
        <v>75</v>
      </c>
      <c r="W465">
        <v>1.1E-4</v>
      </c>
      <c r="X465" t="s">
        <v>75</v>
      </c>
      <c r="Y465">
        <v>1.2999999999999999E-3</v>
      </c>
      <c r="Z465" t="s">
        <v>75</v>
      </c>
      <c r="AC465">
        <v>3.5290000000000002E-2</v>
      </c>
      <c r="AD465" t="s">
        <v>75</v>
      </c>
      <c r="AE465">
        <v>2.9479999999999999E-2</v>
      </c>
      <c r="AF465" t="s">
        <v>75</v>
      </c>
      <c r="AG465">
        <v>2.0000000000000001E-4</v>
      </c>
      <c r="AH465" t="s">
        <v>75</v>
      </c>
      <c r="AI465">
        <v>1.48E-3</v>
      </c>
      <c r="AJ465" t="s">
        <v>75</v>
      </c>
      <c r="AK465">
        <v>5.0000000000000002E-5</v>
      </c>
      <c r="AL465" t="s">
        <v>75</v>
      </c>
      <c r="AM465">
        <v>1.3999999999999999E-4</v>
      </c>
      <c r="AN465" t="s">
        <v>75</v>
      </c>
      <c r="AO465">
        <v>9.0000000000000006E-5</v>
      </c>
      <c r="AP465" t="s">
        <v>75</v>
      </c>
      <c r="AQ465">
        <v>1.2999999999999999E-4</v>
      </c>
      <c r="AR465" t="s">
        <v>75</v>
      </c>
      <c r="AS465">
        <v>1.3999999999999999E-4</v>
      </c>
      <c r="AT465" t="s">
        <v>75</v>
      </c>
      <c r="AU465">
        <v>1.0000000000000001E-5</v>
      </c>
      <c r="AV465" t="s">
        <v>75</v>
      </c>
      <c r="AW465">
        <v>2.0000000000000002E-5</v>
      </c>
      <c r="AX465" t="s">
        <v>75</v>
      </c>
      <c r="AY465">
        <v>2.9999999999999997E-4</v>
      </c>
      <c r="AZ465" t="s">
        <v>75</v>
      </c>
      <c r="BC465">
        <v>1E-4</v>
      </c>
      <c r="BD465" t="s">
        <v>75</v>
      </c>
      <c r="BE465">
        <v>1.0000000000000001E-5</v>
      </c>
      <c r="BF465" t="s">
        <v>75</v>
      </c>
      <c r="BG465">
        <v>1.1299999999999999E-3</v>
      </c>
      <c r="BH465" t="s">
        <v>75</v>
      </c>
      <c r="BI465">
        <v>1.3699999999999999E-3</v>
      </c>
      <c r="BJ465" t="s">
        <v>75</v>
      </c>
      <c r="BK465">
        <v>9.5E-4</v>
      </c>
      <c r="BL465" t="s">
        <v>75</v>
      </c>
      <c r="BM465">
        <v>7.2000000000000005E-4</v>
      </c>
      <c r="BN465" t="s">
        <v>75</v>
      </c>
      <c r="BO465">
        <v>0.71382999999999996</v>
      </c>
      <c r="BP465" t="s">
        <v>75</v>
      </c>
      <c r="BQ465">
        <v>0.11584999999999999</v>
      </c>
      <c r="BR465" t="s">
        <v>75</v>
      </c>
      <c r="BS465">
        <v>0.31058000000000002</v>
      </c>
      <c r="BT465" t="s">
        <v>75</v>
      </c>
      <c r="BU465">
        <v>1.5202800000000001</v>
      </c>
      <c r="BV465" t="s">
        <v>75</v>
      </c>
      <c r="BW465">
        <v>0.41221999999999998</v>
      </c>
      <c r="BX465" t="s">
        <v>75</v>
      </c>
      <c r="BY465">
        <v>0.49778</v>
      </c>
      <c r="BZ465" t="s">
        <v>75</v>
      </c>
      <c r="CA465">
        <v>1.57019</v>
      </c>
      <c r="CB465" t="s">
        <v>75</v>
      </c>
      <c r="CC465">
        <v>1.014E-2</v>
      </c>
      <c r="CD465" t="s">
        <v>75</v>
      </c>
      <c r="CE465">
        <v>6.8000000000000005E-4</v>
      </c>
      <c r="CF465" t="s">
        <v>75</v>
      </c>
      <c r="CG465">
        <v>3.7940000000000002E-2</v>
      </c>
      <c r="CH465" t="s">
        <v>75</v>
      </c>
      <c r="CI465">
        <v>2.4109999999999999E-2</v>
      </c>
      <c r="CJ465" t="s">
        <v>75</v>
      </c>
      <c r="CK465">
        <v>0.37080000000000002</v>
      </c>
      <c r="CL465" t="s">
        <v>75</v>
      </c>
      <c r="CM465">
        <v>3.2399999999999998E-3</v>
      </c>
      <c r="CN465" t="s">
        <v>75</v>
      </c>
      <c r="CO465">
        <v>0.35603000000000001</v>
      </c>
      <c r="CP465" t="s">
        <v>75</v>
      </c>
      <c r="CQ465">
        <v>0.11849</v>
      </c>
      <c r="CR465" t="s">
        <v>75</v>
      </c>
      <c r="CS465">
        <v>2.9557699999999998</v>
      </c>
      <c r="CT465" t="s">
        <v>75</v>
      </c>
      <c r="CW465">
        <v>0.57986000000000004</v>
      </c>
      <c r="CX465" t="s">
        <v>75</v>
      </c>
      <c r="DA465">
        <v>0.27046999999999999</v>
      </c>
      <c r="DB465" t="s">
        <v>75</v>
      </c>
      <c r="DC465">
        <v>2.2000000000000001E-4</v>
      </c>
      <c r="DD465" t="s">
        <v>75</v>
      </c>
      <c r="DE465">
        <v>4.6620000000000002E-2</v>
      </c>
      <c r="DF465" t="s">
        <v>75</v>
      </c>
      <c r="DG465">
        <v>6.2370000000000002E-2</v>
      </c>
      <c r="DH465" t="s">
        <v>75</v>
      </c>
      <c r="DI465">
        <v>0.57201999999999997</v>
      </c>
      <c r="DJ465" t="s">
        <v>75</v>
      </c>
      <c r="DO465">
        <v>9.5259999999999997E-2</v>
      </c>
      <c r="DP465" t="s">
        <v>75</v>
      </c>
    </row>
    <row r="466" spans="1:121" x14ac:dyDescent="0.2">
      <c r="D466" t="s">
        <v>65</v>
      </c>
      <c r="G466" t="s">
        <v>66</v>
      </c>
      <c r="I466" t="s">
        <v>66</v>
      </c>
      <c r="K466" t="s">
        <v>66</v>
      </c>
      <c r="M466" t="s">
        <v>66</v>
      </c>
      <c r="O466" t="s">
        <v>66</v>
      </c>
      <c r="Q466" t="s">
        <v>66</v>
      </c>
      <c r="S466" t="s">
        <v>66</v>
      </c>
      <c r="U466" t="s">
        <v>66</v>
      </c>
      <c r="W466" t="s">
        <v>66</v>
      </c>
      <c r="Y466" t="s">
        <v>66</v>
      </c>
      <c r="AA466" t="s">
        <v>66</v>
      </c>
      <c r="AC466" t="s">
        <v>66</v>
      </c>
      <c r="AE466" t="s">
        <v>66</v>
      </c>
      <c r="AG466" t="s">
        <v>66</v>
      </c>
      <c r="AI466" t="s">
        <v>66</v>
      </c>
      <c r="AK466" t="s">
        <v>66</v>
      </c>
      <c r="AM466" t="s">
        <v>66</v>
      </c>
      <c r="AO466" t="s">
        <v>66</v>
      </c>
      <c r="AQ466" t="s">
        <v>66</v>
      </c>
      <c r="AS466" t="s">
        <v>66</v>
      </c>
      <c r="AU466" t="s">
        <v>66</v>
      </c>
      <c r="AW466" t="s">
        <v>66</v>
      </c>
      <c r="AY466" t="s">
        <v>66</v>
      </c>
      <c r="BA466" t="s">
        <v>66</v>
      </c>
      <c r="BC466" t="s">
        <v>66</v>
      </c>
      <c r="BE466" t="s">
        <v>66</v>
      </c>
      <c r="BG466" t="s">
        <v>66</v>
      </c>
      <c r="BI466" t="s">
        <v>66</v>
      </c>
      <c r="BK466" t="s">
        <v>66</v>
      </c>
      <c r="BM466" t="s">
        <v>66</v>
      </c>
      <c r="BO466" t="s">
        <v>66</v>
      </c>
      <c r="BQ466" t="s">
        <v>66</v>
      </c>
      <c r="BS466" t="s">
        <v>66</v>
      </c>
      <c r="BU466" t="s">
        <v>66</v>
      </c>
      <c r="BW466" t="s">
        <v>66</v>
      </c>
      <c r="BY466" t="s">
        <v>66</v>
      </c>
      <c r="CA466" t="s">
        <v>66</v>
      </c>
      <c r="CC466" t="s">
        <v>66</v>
      </c>
      <c r="CE466" t="s">
        <v>66</v>
      </c>
      <c r="CG466" t="s">
        <v>66</v>
      </c>
      <c r="CI466" t="s">
        <v>66</v>
      </c>
      <c r="CK466" t="s">
        <v>66</v>
      </c>
      <c r="CM466" t="s">
        <v>66</v>
      </c>
      <c r="CO466" t="s">
        <v>66</v>
      </c>
      <c r="CQ466" t="s">
        <v>66</v>
      </c>
      <c r="CS466" t="s">
        <v>66</v>
      </c>
      <c r="CU466" t="s">
        <v>66</v>
      </c>
      <c r="CW466" t="s">
        <v>66</v>
      </c>
      <c r="CY466" t="s">
        <v>66</v>
      </c>
      <c r="DA466" t="s">
        <v>66</v>
      </c>
      <c r="DC466" t="s">
        <v>66</v>
      </c>
      <c r="DE466" t="s">
        <v>66</v>
      </c>
      <c r="DG466" t="s">
        <v>66</v>
      </c>
      <c r="DI466" t="s">
        <v>66</v>
      </c>
      <c r="DK466" t="s">
        <v>66</v>
      </c>
      <c r="DM466" t="s">
        <v>66</v>
      </c>
      <c r="DO466" t="s">
        <v>66</v>
      </c>
      <c r="DQ466" t="s">
        <v>66</v>
      </c>
    </row>
    <row r="467" spans="1:121" x14ac:dyDescent="0.2">
      <c r="A467" t="s">
        <v>663</v>
      </c>
      <c r="D467" t="s">
        <v>60</v>
      </c>
      <c r="E467" t="s">
        <v>61</v>
      </c>
      <c r="G467">
        <v>9774.2000000000007</v>
      </c>
      <c r="I467">
        <v>683.6</v>
      </c>
      <c r="K467">
        <v>60583.4</v>
      </c>
      <c r="M467">
        <v>78463.399999999994</v>
      </c>
      <c r="O467">
        <v>1112.0999999999999</v>
      </c>
      <c r="Q467">
        <v>7389.7</v>
      </c>
      <c r="S467">
        <v>1168.4000000000001</v>
      </c>
      <c r="U467">
        <v>1081.9000000000001</v>
      </c>
      <c r="W467">
        <v>14831</v>
      </c>
      <c r="Y467">
        <v>3765.2</v>
      </c>
      <c r="AA467">
        <v>3339948</v>
      </c>
      <c r="AC467">
        <v>2167982.7000000002</v>
      </c>
      <c r="AE467">
        <v>2629770.2999999998</v>
      </c>
      <c r="AG467">
        <v>4775.8</v>
      </c>
      <c r="AI467">
        <v>44106.9</v>
      </c>
      <c r="AK467">
        <v>3254.1</v>
      </c>
      <c r="AM467">
        <v>3546.1</v>
      </c>
      <c r="AO467">
        <v>425.1</v>
      </c>
      <c r="AQ467">
        <v>412.6</v>
      </c>
      <c r="AS467">
        <v>326.10000000000002</v>
      </c>
      <c r="AU467">
        <v>247.9</v>
      </c>
      <c r="AW467">
        <v>163.6</v>
      </c>
      <c r="AY467">
        <v>1459.3</v>
      </c>
      <c r="BA467">
        <v>683764.5</v>
      </c>
      <c r="BC467">
        <v>2125.6999999999998</v>
      </c>
      <c r="BE467">
        <v>2188.3000000000002</v>
      </c>
      <c r="BG467">
        <v>124875.6</v>
      </c>
      <c r="BI467">
        <v>105895.6</v>
      </c>
      <c r="BK467">
        <v>260598.39999999999</v>
      </c>
      <c r="BM467">
        <v>87572.2</v>
      </c>
      <c r="BO467">
        <v>1008696.4</v>
      </c>
      <c r="BQ467">
        <v>75127.8</v>
      </c>
      <c r="BS467">
        <v>150769.9</v>
      </c>
      <c r="BU467">
        <v>885778.1</v>
      </c>
      <c r="BW467">
        <v>22971.8</v>
      </c>
      <c r="BY467">
        <v>78136.600000000006</v>
      </c>
      <c r="CA467">
        <v>43026.5</v>
      </c>
      <c r="CC467">
        <v>473.2</v>
      </c>
      <c r="CE467">
        <v>424.1</v>
      </c>
      <c r="CG467">
        <v>91434.3</v>
      </c>
      <c r="CI467">
        <v>67340.899999999994</v>
      </c>
      <c r="CK467">
        <v>569517.80000000005</v>
      </c>
      <c r="CM467">
        <v>2949.9</v>
      </c>
      <c r="CO467">
        <v>30259.8</v>
      </c>
      <c r="CQ467">
        <v>37587.199999999997</v>
      </c>
      <c r="CS467">
        <v>279031.59999999998</v>
      </c>
      <c r="CU467">
        <v>285024.3</v>
      </c>
      <c r="CW467">
        <v>210022.9</v>
      </c>
      <c r="CY467">
        <v>59851.9</v>
      </c>
      <c r="DA467">
        <v>557655.30000000005</v>
      </c>
      <c r="DC467">
        <v>7.7</v>
      </c>
      <c r="DE467">
        <v>6222.4</v>
      </c>
      <c r="DG467">
        <v>254.6</v>
      </c>
      <c r="DI467">
        <v>3203.4</v>
      </c>
      <c r="DK467">
        <v>780.2</v>
      </c>
      <c r="DM467">
        <v>74295.8</v>
      </c>
      <c r="DO467">
        <v>49350.9</v>
      </c>
      <c r="DQ467">
        <v>14816.3</v>
      </c>
    </row>
    <row r="468" spans="1:121" x14ac:dyDescent="0.2">
      <c r="D468" t="s">
        <v>62</v>
      </c>
      <c r="E468" t="s">
        <v>61</v>
      </c>
      <c r="G468">
        <v>362.7</v>
      </c>
      <c r="I468">
        <v>82</v>
      </c>
      <c r="K468">
        <v>701.5</v>
      </c>
      <c r="M468">
        <v>714.9</v>
      </c>
      <c r="O468">
        <v>164.6</v>
      </c>
      <c r="Q468">
        <v>204</v>
      </c>
      <c r="S468">
        <v>109.9</v>
      </c>
      <c r="U468">
        <v>40</v>
      </c>
      <c r="W468">
        <v>246.3</v>
      </c>
      <c r="Y468">
        <v>128.80000000000001</v>
      </c>
      <c r="AA468">
        <v>36084.1</v>
      </c>
      <c r="AC468">
        <v>5785.7</v>
      </c>
      <c r="AE468">
        <v>18172.400000000001</v>
      </c>
      <c r="AG468">
        <v>80.7</v>
      </c>
      <c r="AI468">
        <v>272.7</v>
      </c>
      <c r="AK468">
        <v>193.2</v>
      </c>
      <c r="AM468">
        <v>18.8</v>
      </c>
      <c r="AO468">
        <v>48.1</v>
      </c>
      <c r="AQ468">
        <v>21.7</v>
      </c>
      <c r="AS468">
        <v>31.5</v>
      </c>
      <c r="AU468">
        <v>21.9</v>
      </c>
      <c r="AW468">
        <v>22.6</v>
      </c>
      <c r="AY468">
        <v>80.400000000000006</v>
      </c>
      <c r="BA468">
        <v>3579.6</v>
      </c>
      <c r="BC468">
        <v>143.6</v>
      </c>
      <c r="BE468">
        <v>90.5</v>
      </c>
      <c r="BG468">
        <v>768.9</v>
      </c>
      <c r="BI468">
        <v>984.1</v>
      </c>
      <c r="BK468">
        <v>1333.5</v>
      </c>
      <c r="BM468">
        <v>1079.7</v>
      </c>
      <c r="BO468">
        <v>11570</v>
      </c>
      <c r="BQ468">
        <v>1580.9</v>
      </c>
      <c r="BS468">
        <v>2023.9</v>
      </c>
      <c r="BU468">
        <v>4432.8999999999996</v>
      </c>
      <c r="BW468">
        <v>499.1</v>
      </c>
      <c r="BY468">
        <v>1219.7</v>
      </c>
      <c r="CA468">
        <v>1008.4</v>
      </c>
      <c r="CC468">
        <v>32.200000000000003</v>
      </c>
      <c r="CE468">
        <v>52.8</v>
      </c>
      <c r="CG468">
        <v>1312.8</v>
      </c>
      <c r="CI468">
        <v>1166</v>
      </c>
      <c r="CK468">
        <v>12642.6</v>
      </c>
      <c r="CM468">
        <v>132.5</v>
      </c>
      <c r="CO468">
        <v>533.9</v>
      </c>
      <c r="CQ468">
        <v>377.2</v>
      </c>
      <c r="CS468">
        <v>5811</v>
      </c>
      <c r="CU468">
        <v>3679.4</v>
      </c>
      <c r="CW468">
        <v>3095.3</v>
      </c>
      <c r="CY468">
        <v>747.4</v>
      </c>
      <c r="DA468">
        <v>11080.2</v>
      </c>
      <c r="DC468">
        <v>3.5</v>
      </c>
      <c r="DE468">
        <v>261.60000000000002</v>
      </c>
      <c r="DG468">
        <v>9.1</v>
      </c>
      <c r="DI468">
        <v>238.6</v>
      </c>
      <c r="DK468">
        <v>74.900000000000006</v>
      </c>
      <c r="DM468">
        <v>403.1</v>
      </c>
      <c r="DO468">
        <v>884.8</v>
      </c>
      <c r="DQ468">
        <v>270.2</v>
      </c>
    </row>
    <row r="469" spans="1:121" x14ac:dyDescent="0.2">
      <c r="D469" t="s">
        <v>63</v>
      </c>
      <c r="G469">
        <v>4.2599999999999999E-2</v>
      </c>
      <c r="H469" t="s">
        <v>75</v>
      </c>
      <c r="I469">
        <v>1.102E-2</v>
      </c>
      <c r="J469" t="s">
        <v>75</v>
      </c>
      <c r="K469">
        <v>7.2910000000000003E-2</v>
      </c>
      <c r="L469" t="s">
        <v>75</v>
      </c>
      <c r="M469">
        <v>4.4819999999999999E-2</v>
      </c>
      <c r="N469" t="s">
        <v>75</v>
      </c>
      <c r="O469">
        <v>3.8500000000000001E-3</v>
      </c>
      <c r="P469" t="s">
        <v>75</v>
      </c>
      <c r="Q469">
        <v>6.83E-2</v>
      </c>
      <c r="R469" t="s">
        <v>75</v>
      </c>
      <c r="S469">
        <v>3.2000000000000003E-4</v>
      </c>
      <c r="T469" t="s">
        <v>75</v>
      </c>
      <c r="U469">
        <v>1.008E-2</v>
      </c>
      <c r="V469" t="s">
        <v>75</v>
      </c>
      <c r="W469">
        <v>3.4729999999999997E-2</v>
      </c>
      <c r="X469" t="s">
        <v>75</v>
      </c>
      <c r="Y469">
        <v>5.543E-2</v>
      </c>
      <c r="Z469" t="s">
        <v>75</v>
      </c>
      <c r="AB469" t="s">
        <v>76</v>
      </c>
      <c r="AC469">
        <v>7.6881300000000001</v>
      </c>
      <c r="AD469" t="s">
        <v>75</v>
      </c>
      <c r="AE469">
        <v>9.8044499999999992</v>
      </c>
      <c r="AF469" t="s">
        <v>75</v>
      </c>
      <c r="AG469">
        <v>-1.264E-2</v>
      </c>
      <c r="AH469" t="s">
        <v>75</v>
      </c>
      <c r="AI469">
        <v>0.27639000000000002</v>
      </c>
      <c r="AJ469" t="s">
        <v>75</v>
      </c>
      <c r="AK469">
        <v>6.9999999999999994E-5</v>
      </c>
      <c r="AL469" t="s">
        <v>75</v>
      </c>
      <c r="AM469">
        <v>-3.0500000000000002E-3</v>
      </c>
      <c r="AN469" t="s">
        <v>75</v>
      </c>
      <c r="AO469">
        <v>2.97E-3</v>
      </c>
      <c r="AP469" t="s">
        <v>75</v>
      </c>
      <c r="AQ469">
        <v>8.0000000000000004E-4</v>
      </c>
      <c r="AR469" t="s">
        <v>75</v>
      </c>
      <c r="AS469">
        <v>4.0000000000000002E-4</v>
      </c>
      <c r="AT469" t="s">
        <v>75</v>
      </c>
      <c r="AU469">
        <v>1.5100000000000001E-3</v>
      </c>
      <c r="AV469" t="s">
        <v>75</v>
      </c>
      <c r="AW469">
        <v>-4.0999999999999999E-4</v>
      </c>
      <c r="AX469" t="s">
        <v>75</v>
      </c>
      <c r="AY469">
        <v>-5.7000000000000002E-3</v>
      </c>
      <c r="AZ469" t="s">
        <v>75</v>
      </c>
      <c r="BC469">
        <v>-2.0535999999999999</v>
      </c>
      <c r="BD469" t="s">
        <v>75</v>
      </c>
      <c r="BE469">
        <v>4.64E-3</v>
      </c>
      <c r="BF469" t="s">
        <v>75</v>
      </c>
      <c r="BG469">
        <v>0.31716</v>
      </c>
      <c r="BH469" t="s">
        <v>75</v>
      </c>
      <c r="BI469">
        <v>0.33090999999999998</v>
      </c>
      <c r="BJ469" t="s">
        <v>75</v>
      </c>
      <c r="BK469">
        <v>0.31052999999999997</v>
      </c>
      <c r="BL469" t="s">
        <v>75</v>
      </c>
      <c r="BM469">
        <v>7.1599999999999997E-2</v>
      </c>
      <c r="BN469" t="s">
        <v>75</v>
      </c>
      <c r="BO469">
        <v>20.455159999999999</v>
      </c>
      <c r="BP469" t="s">
        <v>75</v>
      </c>
      <c r="BQ469">
        <v>2.1133500000000001</v>
      </c>
      <c r="BR469" t="s">
        <v>75</v>
      </c>
      <c r="BS469">
        <v>2.9065500000000002</v>
      </c>
      <c r="BT469" t="s">
        <v>75</v>
      </c>
      <c r="BU469">
        <v>16.028580000000002</v>
      </c>
      <c r="BV469" t="s">
        <v>75</v>
      </c>
      <c r="BW469">
        <v>9.4647900000000007</v>
      </c>
      <c r="BX469" t="s">
        <v>75</v>
      </c>
      <c r="BY469">
        <v>13.736079999999999</v>
      </c>
      <c r="BZ469" t="s">
        <v>75</v>
      </c>
      <c r="CA469">
        <v>19.35745</v>
      </c>
      <c r="CB469" t="s">
        <v>75</v>
      </c>
      <c r="CC469">
        <v>8.6379999999999998E-2</v>
      </c>
      <c r="CD469" t="s">
        <v>75</v>
      </c>
      <c r="CE469">
        <v>4.6600000000000001E-3</v>
      </c>
      <c r="CF469" t="s">
        <v>75</v>
      </c>
      <c r="CG469">
        <v>1.5350900000000001</v>
      </c>
      <c r="CH469" t="s">
        <v>75</v>
      </c>
      <c r="CI469">
        <v>0.84655000000000002</v>
      </c>
      <c r="CJ469" t="s">
        <v>75</v>
      </c>
      <c r="CK469">
        <v>7.7027900000000002</v>
      </c>
      <c r="CL469" t="s">
        <v>75</v>
      </c>
      <c r="CM469">
        <v>3.4750000000000003E-2</v>
      </c>
      <c r="CN469" t="s">
        <v>75</v>
      </c>
      <c r="CO469">
        <v>1.71488</v>
      </c>
      <c r="CP469" t="s">
        <v>75</v>
      </c>
      <c r="CQ469">
        <v>1.10538</v>
      </c>
      <c r="CR469" t="s">
        <v>75</v>
      </c>
      <c r="CS469">
        <v>72.619380000000007</v>
      </c>
      <c r="CT469" t="s">
        <v>75</v>
      </c>
      <c r="CV469" t="s">
        <v>76</v>
      </c>
      <c r="CW469">
        <v>7.7425199999999998</v>
      </c>
      <c r="CX469" t="s">
        <v>75</v>
      </c>
      <c r="DA469">
        <v>36.36448</v>
      </c>
      <c r="DB469" t="s">
        <v>75</v>
      </c>
      <c r="DC469">
        <v>2.6800000000000001E-3</v>
      </c>
      <c r="DD469" t="s">
        <v>75</v>
      </c>
      <c r="DE469">
        <v>3.0825499999999999</v>
      </c>
      <c r="DF469" t="s">
        <v>75</v>
      </c>
      <c r="DG469">
        <v>1.4130100000000001</v>
      </c>
      <c r="DH469" t="s">
        <v>75</v>
      </c>
      <c r="DI469">
        <v>5.7623899999999999</v>
      </c>
      <c r="DJ469" t="s">
        <v>75</v>
      </c>
      <c r="DL469" t="s">
        <v>76</v>
      </c>
      <c r="DN469" t="s">
        <v>76</v>
      </c>
      <c r="DO469">
        <v>8.0287100000000002</v>
      </c>
      <c r="DP469" t="s">
        <v>75</v>
      </c>
    </row>
    <row r="470" spans="1:121" x14ac:dyDescent="0.2">
      <c r="D470" t="s">
        <v>64</v>
      </c>
      <c r="G470">
        <v>2.4599999999999999E-3</v>
      </c>
      <c r="H470" t="s">
        <v>75</v>
      </c>
      <c r="I470">
        <v>2.7499999999999998E-3</v>
      </c>
      <c r="J470" t="s">
        <v>75</v>
      </c>
      <c r="K470">
        <v>1.0200000000000001E-3</v>
      </c>
      <c r="L470" t="s">
        <v>75</v>
      </c>
      <c r="M470">
        <v>8.7000000000000001E-4</v>
      </c>
      <c r="N470" t="s">
        <v>75</v>
      </c>
      <c r="O470">
        <v>1.3999999999999999E-4</v>
      </c>
      <c r="P470" t="s">
        <v>75</v>
      </c>
      <c r="Q470">
        <v>1.06E-3</v>
      </c>
      <c r="R470" t="s">
        <v>75</v>
      </c>
      <c r="S470">
        <v>1E-4</v>
      </c>
      <c r="T470" t="s">
        <v>75</v>
      </c>
      <c r="U470">
        <v>1.8000000000000001E-4</v>
      </c>
      <c r="V470" t="s">
        <v>75</v>
      </c>
      <c r="W470">
        <v>3.6999999999999999E-4</v>
      </c>
      <c r="X470" t="s">
        <v>75</v>
      </c>
      <c r="Y470">
        <v>1.9E-3</v>
      </c>
      <c r="Z470" t="s">
        <v>75</v>
      </c>
      <c r="AC470">
        <v>2.1850000000000001E-2</v>
      </c>
      <c r="AD470" t="s">
        <v>75</v>
      </c>
      <c r="AE470">
        <v>0.11745999999999999</v>
      </c>
      <c r="AF470" t="s">
        <v>75</v>
      </c>
      <c r="AG470">
        <v>5.0000000000000002E-5</v>
      </c>
      <c r="AH470" t="s">
        <v>75</v>
      </c>
      <c r="AI470">
        <v>3.2000000000000003E-4</v>
      </c>
      <c r="AJ470" t="s">
        <v>75</v>
      </c>
      <c r="AK470">
        <v>1.2E-4</v>
      </c>
      <c r="AL470" t="s">
        <v>75</v>
      </c>
      <c r="AM470">
        <v>3.0000000000000001E-5</v>
      </c>
      <c r="AN470" t="s">
        <v>75</v>
      </c>
      <c r="AO470">
        <v>1.7000000000000001E-4</v>
      </c>
      <c r="AP470" t="s">
        <v>75</v>
      </c>
      <c r="AQ470">
        <v>1E-4</v>
      </c>
      <c r="AR470" t="s">
        <v>75</v>
      </c>
      <c r="AS470">
        <v>1.2999999999999999E-4</v>
      </c>
      <c r="AT470" t="s">
        <v>75</v>
      </c>
      <c r="AU470">
        <v>1.0000000000000001E-5</v>
      </c>
      <c r="AV470" t="s">
        <v>75</v>
      </c>
      <c r="AW470">
        <v>5.0000000000000002E-5</v>
      </c>
      <c r="AX470" t="s">
        <v>75</v>
      </c>
      <c r="AY470">
        <v>2.4000000000000001E-4</v>
      </c>
      <c r="AZ470" t="s">
        <v>75</v>
      </c>
      <c r="BC470">
        <v>4.4999999999999999E-4</v>
      </c>
      <c r="BD470" t="s">
        <v>75</v>
      </c>
      <c r="BE470">
        <v>9.0000000000000006E-5</v>
      </c>
      <c r="BF470" t="s">
        <v>75</v>
      </c>
      <c r="BG470">
        <v>4.0600000000000002E-3</v>
      </c>
      <c r="BH470" t="s">
        <v>75</v>
      </c>
      <c r="BI470">
        <v>4.4600000000000004E-3</v>
      </c>
      <c r="BJ470" t="s">
        <v>75</v>
      </c>
      <c r="BK470">
        <v>2.5100000000000001E-3</v>
      </c>
      <c r="BL470" t="s">
        <v>75</v>
      </c>
      <c r="BM470">
        <v>5.9000000000000003E-4</v>
      </c>
      <c r="BN470" t="s">
        <v>75</v>
      </c>
      <c r="BO470">
        <v>0.20383000000000001</v>
      </c>
      <c r="BP470" t="s">
        <v>75</v>
      </c>
      <c r="BQ470">
        <v>5.2909999999999999E-2</v>
      </c>
      <c r="BR470" t="s">
        <v>75</v>
      </c>
      <c r="BS470">
        <v>3.8190000000000002E-2</v>
      </c>
      <c r="BT470" t="s">
        <v>75</v>
      </c>
      <c r="BU470">
        <v>0.63829999999999998</v>
      </c>
      <c r="BV470" t="s">
        <v>75</v>
      </c>
      <c r="BW470">
        <v>0.32835999999999999</v>
      </c>
      <c r="BX470" t="s">
        <v>75</v>
      </c>
      <c r="BY470">
        <v>0.12973000000000001</v>
      </c>
      <c r="BZ470" t="s">
        <v>75</v>
      </c>
      <c r="CA470">
        <v>0.26839000000000002</v>
      </c>
      <c r="CB470" t="s">
        <v>75</v>
      </c>
      <c r="CC470">
        <v>7.7799999999999996E-3</v>
      </c>
      <c r="CD470" t="s">
        <v>75</v>
      </c>
      <c r="CE470">
        <v>8.4000000000000003E-4</v>
      </c>
      <c r="CF470" t="s">
        <v>75</v>
      </c>
      <c r="CG470">
        <v>2.99E-3</v>
      </c>
      <c r="CH470" t="s">
        <v>75</v>
      </c>
      <c r="CI470">
        <v>1.225E-2</v>
      </c>
      <c r="CJ470" t="s">
        <v>75</v>
      </c>
      <c r="CK470">
        <v>8.133E-2</v>
      </c>
      <c r="CL470" t="s">
        <v>75</v>
      </c>
      <c r="CM470">
        <v>2.0300000000000001E-3</v>
      </c>
      <c r="CN470" t="s">
        <v>75</v>
      </c>
      <c r="CO470">
        <v>1.5440000000000001E-2</v>
      </c>
      <c r="CP470" t="s">
        <v>75</v>
      </c>
      <c r="CQ470">
        <v>1.8030000000000001E-2</v>
      </c>
      <c r="CR470" t="s">
        <v>75</v>
      </c>
      <c r="CS470">
        <v>1.42075</v>
      </c>
      <c r="CT470" t="s">
        <v>75</v>
      </c>
      <c r="CW470">
        <v>0.18314</v>
      </c>
      <c r="CX470" t="s">
        <v>75</v>
      </c>
      <c r="DA470">
        <v>1.1715</v>
      </c>
      <c r="DB470" t="s">
        <v>75</v>
      </c>
      <c r="DC470">
        <v>1.72E-3</v>
      </c>
      <c r="DD470" t="s">
        <v>75</v>
      </c>
      <c r="DE470">
        <v>0.18310000000000001</v>
      </c>
      <c r="DF470" t="s">
        <v>75</v>
      </c>
      <c r="DG470">
        <v>7.911E-2</v>
      </c>
      <c r="DH470" t="s">
        <v>75</v>
      </c>
      <c r="DI470">
        <v>0.57081000000000004</v>
      </c>
      <c r="DJ470" t="s">
        <v>75</v>
      </c>
      <c r="DO470">
        <v>0.27872000000000002</v>
      </c>
      <c r="DP470" t="s">
        <v>75</v>
      </c>
    </row>
    <row r="471" spans="1:121" x14ac:dyDescent="0.2">
      <c r="D471" t="s">
        <v>65</v>
      </c>
      <c r="G471" t="s">
        <v>66</v>
      </c>
      <c r="I471" t="s">
        <v>66</v>
      </c>
      <c r="K471" t="s">
        <v>66</v>
      </c>
      <c r="M471" t="s">
        <v>66</v>
      </c>
      <c r="O471" t="s">
        <v>66</v>
      </c>
      <c r="Q471" t="s">
        <v>66</v>
      </c>
      <c r="S471" t="s">
        <v>66</v>
      </c>
      <c r="U471" t="s">
        <v>66</v>
      </c>
      <c r="W471" t="s">
        <v>66</v>
      </c>
      <c r="Y471" t="s">
        <v>66</v>
      </c>
      <c r="AA471" t="s">
        <v>66</v>
      </c>
      <c r="AC471" t="s">
        <v>66</v>
      </c>
      <c r="AE471" t="s">
        <v>66</v>
      </c>
      <c r="AG471" t="s">
        <v>66</v>
      </c>
      <c r="AI471" t="s">
        <v>66</v>
      </c>
      <c r="AK471" t="s">
        <v>66</v>
      </c>
      <c r="AM471" t="s">
        <v>66</v>
      </c>
      <c r="AO471" t="s">
        <v>66</v>
      </c>
      <c r="AQ471" t="s">
        <v>66</v>
      </c>
      <c r="AS471" t="s">
        <v>66</v>
      </c>
      <c r="AU471" t="s">
        <v>66</v>
      </c>
      <c r="AW471" t="s">
        <v>66</v>
      </c>
      <c r="AY471" t="s">
        <v>66</v>
      </c>
      <c r="BA471" t="s">
        <v>66</v>
      </c>
      <c r="BC471" t="s">
        <v>66</v>
      </c>
      <c r="BE471" t="s">
        <v>66</v>
      </c>
      <c r="BG471" t="s">
        <v>66</v>
      </c>
      <c r="BI471" t="s">
        <v>66</v>
      </c>
      <c r="BK471" t="s">
        <v>66</v>
      </c>
      <c r="BM471" t="s">
        <v>66</v>
      </c>
      <c r="BO471" t="s">
        <v>66</v>
      </c>
      <c r="BQ471" t="s">
        <v>66</v>
      </c>
      <c r="BS471" t="s">
        <v>66</v>
      </c>
      <c r="BU471" t="s">
        <v>66</v>
      </c>
      <c r="BW471" t="s">
        <v>66</v>
      </c>
      <c r="BY471" t="s">
        <v>66</v>
      </c>
      <c r="CA471" t="s">
        <v>66</v>
      </c>
      <c r="CC471" t="s">
        <v>66</v>
      </c>
      <c r="CE471" t="s">
        <v>66</v>
      </c>
      <c r="CG471" t="s">
        <v>66</v>
      </c>
      <c r="CI471" t="s">
        <v>66</v>
      </c>
      <c r="CK471" t="s">
        <v>66</v>
      </c>
      <c r="CM471" t="s">
        <v>66</v>
      </c>
      <c r="CO471" t="s">
        <v>66</v>
      </c>
      <c r="CQ471" t="s">
        <v>66</v>
      </c>
      <c r="CS471" t="s">
        <v>66</v>
      </c>
      <c r="CU471" t="s">
        <v>66</v>
      </c>
      <c r="CW471" t="s">
        <v>66</v>
      </c>
      <c r="CY471" t="s">
        <v>66</v>
      </c>
      <c r="DA471" t="s">
        <v>66</v>
      </c>
      <c r="DC471" t="s">
        <v>66</v>
      </c>
      <c r="DE471" t="s">
        <v>66</v>
      </c>
      <c r="DG471" t="s">
        <v>66</v>
      </c>
      <c r="DI471" t="s">
        <v>66</v>
      </c>
      <c r="DK471" t="s">
        <v>66</v>
      </c>
      <c r="DM471" t="s">
        <v>66</v>
      </c>
      <c r="DO471" t="s">
        <v>66</v>
      </c>
      <c r="DQ471" t="s">
        <v>66</v>
      </c>
    </row>
    <row r="472" spans="1:121" x14ac:dyDescent="0.2">
      <c r="A472" t="s">
        <v>664</v>
      </c>
      <c r="D472" t="s">
        <v>60</v>
      </c>
      <c r="E472" t="s">
        <v>61</v>
      </c>
      <c r="G472">
        <v>11254</v>
      </c>
      <c r="I472">
        <v>707.3</v>
      </c>
      <c r="K472">
        <v>306946.90000000002</v>
      </c>
      <c r="M472">
        <v>724441.2</v>
      </c>
      <c r="O472">
        <v>2527.1999999999998</v>
      </c>
      <c r="Q472">
        <v>10804.2</v>
      </c>
      <c r="S472">
        <v>1622</v>
      </c>
      <c r="U472">
        <v>1334.2</v>
      </c>
      <c r="W472">
        <v>18709.3</v>
      </c>
      <c r="Y472">
        <v>9045.2999999999993</v>
      </c>
      <c r="AA472">
        <v>2952994</v>
      </c>
      <c r="AC472">
        <v>1117863.2</v>
      </c>
      <c r="AE472">
        <v>697370.7</v>
      </c>
      <c r="AG472">
        <v>27875.200000000001</v>
      </c>
      <c r="AI472">
        <v>462725.8</v>
      </c>
      <c r="AK472">
        <v>6968.3</v>
      </c>
      <c r="AM472">
        <v>7969.6</v>
      </c>
      <c r="AO472">
        <v>692</v>
      </c>
      <c r="AQ472">
        <v>400.1</v>
      </c>
      <c r="AS472">
        <v>330.2</v>
      </c>
      <c r="AU472">
        <v>268.8</v>
      </c>
      <c r="AW472">
        <v>246.9</v>
      </c>
      <c r="AY472">
        <v>5430.8</v>
      </c>
      <c r="BA472">
        <v>677424.3</v>
      </c>
      <c r="BC472">
        <v>2159</v>
      </c>
      <c r="BE472">
        <v>25635</v>
      </c>
      <c r="BG472">
        <v>590230.6</v>
      </c>
      <c r="BI472">
        <v>484522.6</v>
      </c>
      <c r="BK472">
        <v>1224924</v>
      </c>
      <c r="BM472">
        <v>84740.5</v>
      </c>
      <c r="BO472">
        <v>1580431.1</v>
      </c>
      <c r="BQ472">
        <v>396569.9</v>
      </c>
      <c r="BS472">
        <v>190827.7</v>
      </c>
      <c r="BU472">
        <v>926265.8</v>
      </c>
      <c r="BW472">
        <v>14211.8</v>
      </c>
      <c r="BY472">
        <v>541267.30000000005</v>
      </c>
      <c r="CA472">
        <v>115615.9</v>
      </c>
      <c r="CC472">
        <v>1647.5</v>
      </c>
      <c r="CE472">
        <v>724.3</v>
      </c>
      <c r="CG472">
        <v>23823</v>
      </c>
      <c r="CI472">
        <v>203787.8</v>
      </c>
      <c r="CK472">
        <v>970411.6</v>
      </c>
      <c r="CM472">
        <v>1261.9000000000001</v>
      </c>
      <c r="CO472">
        <v>56552.9</v>
      </c>
      <c r="CQ472">
        <v>72506</v>
      </c>
      <c r="CS472">
        <v>132268.5</v>
      </c>
      <c r="CU472">
        <v>260389.9</v>
      </c>
      <c r="CW472">
        <v>110401.4</v>
      </c>
      <c r="CY472">
        <v>58602.400000000001</v>
      </c>
      <c r="DA472">
        <v>2438245.9</v>
      </c>
      <c r="DC472">
        <v>8.6999999999999993</v>
      </c>
      <c r="DE472">
        <v>507735.8</v>
      </c>
      <c r="DG472">
        <v>367.3</v>
      </c>
      <c r="DI472">
        <v>2873.3</v>
      </c>
      <c r="DK472">
        <v>771.3</v>
      </c>
      <c r="DM472">
        <v>67069.8</v>
      </c>
      <c r="DO472">
        <v>25899.9</v>
      </c>
      <c r="DQ472">
        <v>14538.8</v>
      </c>
    </row>
    <row r="473" spans="1:121" x14ac:dyDescent="0.2">
      <c r="D473" t="s">
        <v>62</v>
      </c>
      <c r="E473" t="s">
        <v>61</v>
      </c>
      <c r="G473">
        <v>87.8</v>
      </c>
      <c r="I473">
        <v>30.7</v>
      </c>
      <c r="K473">
        <v>1010.9</v>
      </c>
      <c r="M473">
        <v>6268.9</v>
      </c>
      <c r="O473">
        <v>89.5</v>
      </c>
      <c r="Q473">
        <v>250</v>
      </c>
      <c r="S473">
        <v>48.9</v>
      </c>
      <c r="U473">
        <v>111.5</v>
      </c>
      <c r="W473">
        <v>432.5</v>
      </c>
      <c r="Y473">
        <v>94</v>
      </c>
      <c r="AA473">
        <v>40477.9</v>
      </c>
      <c r="AC473">
        <v>4663</v>
      </c>
      <c r="AE473">
        <v>3929.8</v>
      </c>
      <c r="AG473">
        <v>844.8</v>
      </c>
      <c r="AI473">
        <v>2219.4</v>
      </c>
      <c r="AK473">
        <v>56.3</v>
      </c>
      <c r="AM473">
        <v>435.5</v>
      </c>
      <c r="AO473">
        <v>41.3</v>
      </c>
      <c r="AQ473">
        <v>51.4</v>
      </c>
      <c r="AS473">
        <v>18.100000000000001</v>
      </c>
      <c r="AU473">
        <v>36.1</v>
      </c>
      <c r="AW473">
        <v>50.3</v>
      </c>
      <c r="AY473">
        <v>205.2</v>
      </c>
      <c r="BA473">
        <v>13682.1</v>
      </c>
      <c r="BC473">
        <v>180.9</v>
      </c>
      <c r="BE473">
        <v>301</v>
      </c>
      <c r="BG473">
        <v>5291.9</v>
      </c>
      <c r="BI473">
        <v>7873.7</v>
      </c>
      <c r="BK473">
        <v>20833.099999999999</v>
      </c>
      <c r="BM473">
        <v>1215.5</v>
      </c>
      <c r="BO473">
        <v>15162.5</v>
      </c>
      <c r="BQ473">
        <v>6055.9</v>
      </c>
      <c r="BS473">
        <v>2563.6</v>
      </c>
      <c r="BU473">
        <v>6086.7</v>
      </c>
      <c r="BW473">
        <v>384</v>
      </c>
      <c r="BY473">
        <v>4387.5</v>
      </c>
      <c r="CA473">
        <v>2651.8</v>
      </c>
      <c r="CC473">
        <v>18.399999999999999</v>
      </c>
      <c r="CE473">
        <v>54.7</v>
      </c>
      <c r="CG473">
        <v>769.8</v>
      </c>
      <c r="CI473">
        <v>1186.5</v>
      </c>
      <c r="CK473">
        <v>12664.1</v>
      </c>
      <c r="CM473">
        <v>26.6</v>
      </c>
      <c r="CO473">
        <v>1091.7</v>
      </c>
      <c r="CQ473">
        <v>1248.3</v>
      </c>
      <c r="CS473">
        <v>908.5</v>
      </c>
      <c r="CU473">
        <v>1336</v>
      </c>
      <c r="CW473">
        <v>1277</v>
      </c>
      <c r="CY473">
        <v>640.70000000000005</v>
      </c>
      <c r="DA473">
        <v>16774.599999999999</v>
      </c>
      <c r="DC473">
        <v>7.9</v>
      </c>
      <c r="DE473">
        <v>5788.7</v>
      </c>
      <c r="DG473">
        <v>49.4</v>
      </c>
      <c r="DI473">
        <v>73.7</v>
      </c>
      <c r="DK473">
        <v>11.9</v>
      </c>
      <c r="DM473">
        <v>215.8</v>
      </c>
      <c r="DO473">
        <v>81.400000000000006</v>
      </c>
      <c r="DQ473">
        <v>206.6</v>
      </c>
    </row>
    <row r="474" spans="1:121" x14ac:dyDescent="0.2">
      <c r="D474" t="s">
        <v>63</v>
      </c>
      <c r="G474">
        <v>5.5129999999999998E-2</v>
      </c>
      <c r="H474" t="s">
        <v>75</v>
      </c>
      <c r="I474">
        <v>1.208E-2</v>
      </c>
      <c r="J474" t="s">
        <v>75</v>
      </c>
      <c r="K474">
        <v>0.38729000000000002</v>
      </c>
      <c r="L474" t="s">
        <v>75</v>
      </c>
      <c r="M474">
        <v>0.70245000000000002</v>
      </c>
      <c r="N474" t="s">
        <v>75</v>
      </c>
      <c r="O474">
        <v>5.0400000000000002E-3</v>
      </c>
      <c r="P474" t="s">
        <v>75</v>
      </c>
      <c r="Q474">
        <v>9.0810000000000002E-2</v>
      </c>
      <c r="R474" t="s">
        <v>75</v>
      </c>
      <c r="S474">
        <v>7.2999999999999996E-4</v>
      </c>
      <c r="T474" t="s">
        <v>75</v>
      </c>
      <c r="U474">
        <v>1.1169999999999999E-2</v>
      </c>
      <c r="V474" t="s">
        <v>75</v>
      </c>
      <c r="W474">
        <v>4.3279999999999999E-2</v>
      </c>
      <c r="X474" t="s">
        <v>75</v>
      </c>
      <c r="Y474">
        <v>0.13442000000000001</v>
      </c>
      <c r="Z474" t="s">
        <v>75</v>
      </c>
      <c r="AB474" t="s">
        <v>76</v>
      </c>
      <c r="AC474">
        <v>4.0225400000000002</v>
      </c>
      <c r="AD474" t="s">
        <v>75</v>
      </c>
      <c r="AE474">
        <v>2.6538300000000001</v>
      </c>
      <c r="AF474" t="s">
        <v>75</v>
      </c>
      <c r="AG474">
        <v>5.5500000000000002E-3</v>
      </c>
      <c r="AH474" t="s">
        <v>75</v>
      </c>
      <c r="AI474">
        <v>2.9276900000000001</v>
      </c>
      <c r="AJ474" t="s">
        <v>75</v>
      </c>
      <c r="AK474">
        <v>2.64E-3</v>
      </c>
      <c r="AL474" t="s">
        <v>75</v>
      </c>
      <c r="AM474">
        <v>2.9999999999999997E-4</v>
      </c>
      <c r="AN474" t="s">
        <v>75</v>
      </c>
      <c r="AO474">
        <v>3.96E-3</v>
      </c>
      <c r="AP474" t="s">
        <v>75</v>
      </c>
      <c r="AQ474">
        <v>7.6000000000000004E-4</v>
      </c>
      <c r="AR474" t="s">
        <v>75</v>
      </c>
      <c r="AS474">
        <v>4.2999999999999999E-4</v>
      </c>
      <c r="AT474" t="s">
        <v>75</v>
      </c>
      <c r="AU474">
        <v>1.5299999999999999E-3</v>
      </c>
      <c r="AV474" t="s">
        <v>75</v>
      </c>
      <c r="AW474">
        <v>-2.0000000000000001E-4</v>
      </c>
      <c r="AX474" t="s">
        <v>75</v>
      </c>
      <c r="AY474">
        <v>7.1799999999999998E-3</v>
      </c>
      <c r="AZ474" t="s">
        <v>75</v>
      </c>
      <c r="BC474">
        <v>-2.0534400000000002</v>
      </c>
      <c r="BD474" t="s">
        <v>75</v>
      </c>
      <c r="BE474">
        <v>2.707E-2</v>
      </c>
      <c r="BF474" t="s">
        <v>75</v>
      </c>
      <c r="BG474">
        <v>1.6599600000000001</v>
      </c>
      <c r="BH474" t="s">
        <v>75</v>
      </c>
      <c r="BI474">
        <v>1.58673</v>
      </c>
      <c r="BJ474" t="s">
        <v>75</v>
      </c>
      <c r="BK474">
        <v>1.6460999999999999</v>
      </c>
      <c r="BL474" t="s">
        <v>75</v>
      </c>
      <c r="BM474">
        <v>6.9709999999999994E-2</v>
      </c>
      <c r="BN474" t="s">
        <v>75</v>
      </c>
      <c r="BO474">
        <v>33.770269999999996</v>
      </c>
      <c r="BP474" t="s">
        <v>75</v>
      </c>
      <c r="BQ474">
        <v>13.234819999999999</v>
      </c>
      <c r="BR474" t="s">
        <v>75</v>
      </c>
      <c r="BS474">
        <v>3.89161</v>
      </c>
      <c r="BT474" t="s">
        <v>75</v>
      </c>
      <c r="BU474">
        <v>18.50695</v>
      </c>
      <c r="BV474" t="s">
        <v>75</v>
      </c>
      <c r="BW474">
        <v>5.8853999999999997</v>
      </c>
      <c r="BX474" t="s">
        <v>75</v>
      </c>
      <c r="BY474">
        <v>146.5796</v>
      </c>
      <c r="BZ474" t="s">
        <v>75</v>
      </c>
      <c r="CA474">
        <v>59.415660000000003</v>
      </c>
      <c r="CB474" t="s">
        <v>75</v>
      </c>
      <c r="CC474">
        <v>0.34342</v>
      </c>
      <c r="CD474" t="s">
        <v>75</v>
      </c>
      <c r="CE474">
        <v>9.3399999999999993E-3</v>
      </c>
      <c r="CF474" t="s">
        <v>75</v>
      </c>
      <c r="CG474">
        <v>0.3957</v>
      </c>
      <c r="CH474" t="s">
        <v>75</v>
      </c>
      <c r="CI474">
        <v>2.6767500000000002</v>
      </c>
      <c r="CJ474" t="s">
        <v>75</v>
      </c>
      <c r="CK474">
        <v>13.65192</v>
      </c>
      <c r="CL474" t="s">
        <v>75</v>
      </c>
      <c r="CM474">
        <v>1.125E-2</v>
      </c>
      <c r="CN474" t="s">
        <v>75</v>
      </c>
      <c r="CO474">
        <v>3.2647400000000002</v>
      </c>
      <c r="CP474" t="s">
        <v>75</v>
      </c>
      <c r="CQ474">
        <v>2.2044999999999999</v>
      </c>
      <c r="CR474" t="s">
        <v>75</v>
      </c>
      <c r="CS474">
        <v>35.109050000000003</v>
      </c>
      <c r="CT474" t="s">
        <v>75</v>
      </c>
      <c r="CV474" t="s">
        <v>76</v>
      </c>
      <c r="CW474">
        <v>4.1443300000000001</v>
      </c>
      <c r="CX474" t="s">
        <v>75</v>
      </c>
      <c r="DA474">
        <v>162.79419999999999</v>
      </c>
      <c r="DB474" t="s">
        <v>75</v>
      </c>
      <c r="DC474">
        <v>3.2100000000000002E-3</v>
      </c>
      <c r="DD474" t="s">
        <v>75</v>
      </c>
      <c r="DE474">
        <v>257.71375999999998</v>
      </c>
      <c r="DF474" t="s">
        <v>75</v>
      </c>
      <c r="DG474">
        <v>2.1068600000000002</v>
      </c>
      <c r="DH474" t="s">
        <v>75</v>
      </c>
      <c r="DI474">
        <v>5.2233999999999998</v>
      </c>
      <c r="DJ474" t="s">
        <v>75</v>
      </c>
      <c r="DL474" t="s">
        <v>76</v>
      </c>
      <c r="DN474" t="s">
        <v>76</v>
      </c>
      <c r="DO474">
        <v>4.2891300000000001</v>
      </c>
      <c r="DP474" t="s">
        <v>75</v>
      </c>
    </row>
    <row r="475" spans="1:121" x14ac:dyDescent="0.2">
      <c r="D475" t="s">
        <v>64</v>
      </c>
      <c r="G475">
        <v>2.5000000000000001E-3</v>
      </c>
      <c r="H475" t="s">
        <v>75</v>
      </c>
      <c r="I475">
        <v>1.1299999999999999E-3</v>
      </c>
      <c r="J475" t="s">
        <v>75</v>
      </c>
      <c r="K475">
        <v>7.8399999999999997E-3</v>
      </c>
      <c r="L475" t="s">
        <v>75</v>
      </c>
      <c r="M475">
        <v>1.1820000000000001E-2</v>
      </c>
      <c r="N475" t="s">
        <v>75</v>
      </c>
      <c r="O475">
        <v>4.0000000000000003E-5</v>
      </c>
      <c r="P475" t="s">
        <v>75</v>
      </c>
      <c r="Q475">
        <v>2.4000000000000001E-4</v>
      </c>
      <c r="R475" t="s">
        <v>75</v>
      </c>
      <c r="S475">
        <v>4.0000000000000003E-5</v>
      </c>
      <c r="T475" t="s">
        <v>75</v>
      </c>
      <c r="U475">
        <v>4.0999999999999999E-4</v>
      </c>
      <c r="V475" t="s">
        <v>75</v>
      </c>
      <c r="W475">
        <v>1.7099999999999999E-3</v>
      </c>
      <c r="X475" t="s">
        <v>75</v>
      </c>
      <c r="Y475">
        <v>1.39E-3</v>
      </c>
      <c r="Z475" t="s">
        <v>75</v>
      </c>
      <c r="AC475">
        <v>9.6299999999999997E-2</v>
      </c>
      <c r="AD475" t="s">
        <v>75</v>
      </c>
      <c r="AE475">
        <v>6.7080000000000001E-2</v>
      </c>
      <c r="AF475" t="s">
        <v>75</v>
      </c>
      <c r="AG475">
        <v>7.6000000000000004E-4</v>
      </c>
      <c r="AH475" t="s">
        <v>75</v>
      </c>
      <c r="AI475">
        <v>7.0379999999999998E-2</v>
      </c>
      <c r="AJ475" t="s">
        <v>75</v>
      </c>
      <c r="AK475">
        <v>8.0000000000000007E-5</v>
      </c>
      <c r="AL475" t="s">
        <v>75</v>
      </c>
      <c r="AM475">
        <v>2.7999999999999998E-4</v>
      </c>
      <c r="AN475" t="s">
        <v>75</v>
      </c>
      <c r="AO475">
        <v>1.9000000000000001E-4</v>
      </c>
      <c r="AP475" t="s">
        <v>75</v>
      </c>
      <c r="AQ475">
        <v>1.9000000000000001E-4</v>
      </c>
      <c r="AR475" t="s">
        <v>75</v>
      </c>
      <c r="AS475">
        <v>6.0000000000000002E-5</v>
      </c>
      <c r="AT475" t="s">
        <v>75</v>
      </c>
      <c r="AU475">
        <v>2.0000000000000002E-5</v>
      </c>
      <c r="AV475" t="s">
        <v>75</v>
      </c>
      <c r="AW475">
        <v>1.2999999999999999E-4</v>
      </c>
      <c r="AX475" t="s">
        <v>75</v>
      </c>
      <c r="AY475">
        <v>8.4999999999999995E-4</v>
      </c>
      <c r="AZ475" t="s">
        <v>75</v>
      </c>
      <c r="BC475">
        <v>6.4999999999999997E-4</v>
      </c>
      <c r="BD475" t="s">
        <v>75</v>
      </c>
      <c r="BE475">
        <v>2.1000000000000001E-4</v>
      </c>
      <c r="BF475" t="s">
        <v>75</v>
      </c>
      <c r="BG475">
        <v>4.4679999999999997E-2</v>
      </c>
      <c r="BH475" t="s">
        <v>75</v>
      </c>
      <c r="BI475">
        <v>2.555E-2</v>
      </c>
      <c r="BJ475" t="s">
        <v>75</v>
      </c>
      <c r="BK475">
        <v>3.8030000000000001E-2</v>
      </c>
      <c r="BL475" t="s">
        <v>75</v>
      </c>
      <c r="BM475">
        <v>5.9000000000000003E-4</v>
      </c>
      <c r="BN475" t="s">
        <v>75</v>
      </c>
      <c r="BO475">
        <v>5.1029999999999999E-2</v>
      </c>
      <c r="BP475" t="s">
        <v>75</v>
      </c>
      <c r="BQ475">
        <v>7.9469999999999999E-2</v>
      </c>
      <c r="BR475" t="s">
        <v>75</v>
      </c>
      <c r="BS475">
        <v>1.443E-2</v>
      </c>
      <c r="BT475" t="s">
        <v>75</v>
      </c>
      <c r="BU475">
        <v>0.30959999999999999</v>
      </c>
      <c r="BV475" t="s">
        <v>75</v>
      </c>
      <c r="BW475">
        <v>0.11002000000000001</v>
      </c>
      <c r="BX475" t="s">
        <v>75</v>
      </c>
      <c r="BY475">
        <v>0.93535000000000001</v>
      </c>
      <c r="BZ475" t="s">
        <v>75</v>
      </c>
      <c r="CA475">
        <v>0.90195999999999998</v>
      </c>
      <c r="CB475" t="s">
        <v>75</v>
      </c>
      <c r="CC475">
        <v>3.0500000000000002E-3</v>
      </c>
      <c r="CD475" t="s">
        <v>75</v>
      </c>
      <c r="CE475">
        <v>9.3000000000000005E-4</v>
      </c>
      <c r="CF475" t="s">
        <v>75</v>
      </c>
      <c r="CG475">
        <v>9.3699999999999999E-3</v>
      </c>
      <c r="CH475" t="s">
        <v>75</v>
      </c>
      <c r="CI475">
        <v>4.4060000000000002E-2</v>
      </c>
      <c r="CJ475" t="s">
        <v>75</v>
      </c>
      <c r="CK475">
        <v>0.30829000000000001</v>
      </c>
      <c r="CL475" t="s">
        <v>75</v>
      </c>
      <c r="CM475">
        <v>3.6000000000000002E-4</v>
      </c>
      <c r="CN475" t="s">
        <v>75</v>
      </c>
      <c r="CO475">
        <v>9.8290000000000002E-2</v>
      </c>
      <c r="CP475" t="s">
        <v>75</v>
      </c>
      <c r="CQ475">
        <v>6.0080000000000001E-2</v>
      </c>
      <c r="CR475" t="s">
        <v>75</v>
      </c>
      <c r="CS475">
        <v>0.56837000000000004</v>
      </c>
      <c r="CT475" t="s">
        <v>75</v>
      </c>
      <c r="CW475">
        <v>5.0819999999999997E-2</v>
      </c>
      <c r="CX475" t="s">
        <v>75</v>
      </c>
      <c r="DA475">
        <v>3.1974200000000002</v>
      </c>
      <c r="DB475" t="s">
        <v>75</v>
      </c>
      <c r="DC475">
        <v>3.8500000000000001E-3</v>
      </c>
      <c r="DD475" t="s">
        <v>75</v>
      </c>
      <c r="DE475">
        <v>6.5460599999999998</v>
      </c>
      <c r="DF475" t="s">
        <v>75</v>
      </c>
      <c r="DG475">
        <v>0.31134000000000001</v>
      </c>
      <c r="DH475" t="s">
        <v>75</v>
      </c>
      <c r="DI475">
        <v>0.21531</v>
      </c>
      <c r="DJ475" t="s">
        <v>75</v>
      </c>
      <c r="DO475">
        <v>7.2279999999999997E-2</v>
      </c>
      <c r="DP475" t="s">
        <v>75</v>
      </c>
    </row>
    <row r="476" spans="1:121" x14ac:dyDescent="0.2">
      <c r="D476" t="s">
        <v>65</v>
      </c>
      <c r="G476" t="s">
        <v>66</v>
      </c>
      <c r="I476" t="s">
        <v>66</v>
      </c>
      <c r="K476" t="s">
        <v>66</v>
      </c>
      <c r="M476" t="s">
        <v>66</v>
      </c>
      <c r="O476" t="s">
        <v>66</v>
      </c>
      <c r="Q476" t="s">
        <v>66</v>
      </c>
      <c r="S476" t="s">
        <v>66</v>
      </c>
      <c r="U476" t="s">
        <v>66</v>
      </c>
      <c r="W476" t="s">
        <v>66</v>
      </c>
      <c r="Y476" t="s">
        <v>66</v>
      </c>
      <c r="AA476" t="s">
        <v>66</v>
      </c>
      <c r="AC476" t="s">
        <v>66</v>
      </c>
      <c r="AE476" t="s">
        <v>66</v>
      </c>
      <c r="AG476" t="s">
        <v>66</v>
      </c>
      <c r="AI476" t="s">
        <v>66</v>
      </c>
      <c r="AK476" t="s">
        <v>66</v>
      </c>
      <c r="AM476" t="s">
        <v>66</v>
      </c>
      <c r="AO476" t="s">
        <v>66</v>
      </c>
      <c r="AQ476" t="s">
        <v>66</v>
      </c>
      <c r="AS476" t="s">
        <v>66</v>
      </c>
      <c r="AU476" t="s">
        <v>66</v>
      </c>
      <c r="AW476" t="s">
        <v>66</v>
      </c>
      <c r="AY476" t="s">
        <v>66</v>
      </c>
      <c r="BA476" t="s">
        <v>66</v>
      </c>
      <c r="BC476" t="s">
        <v>66</v>
      </c>
      <c r="BE476" t="s">
        <v>66</v>
      </c>
      <c r="BG476" t="s">
        <v>66</v>
      </c>
      <c r="BI476" t="s">
        <v>66</v>
      </c>
      <c r="BK476" t="s">
        <v>66</v>
      </c>
      <c r="BM476" t="s">
        <v>66</v>
      </c>
      <c r="BO476" t="s">
        <v>66</v>
      </c>
      <c r="BQ476" t="s">
        <v>66</v>
      </c>
      <c r="BS476" t="s">
        <v>66</v>
      </c>
      <c r="BU476" t="s">
        <v>66</v>
      </c>
      <c r="BW476" t="s">
        <v>66</v>
      </c>
      <c r="BY476" t="s">
        <v>66</v>
      </c>
      <c r="CA476" t="s">
        <v>66</v>
      </c>
      <c r="CC476" t="s">
        <v>66</v>
      </c>
      <c r="CE476" t="s">
        <v>66</v>
      </c>
      <c r="CG476" t="s">
        <v>66</v>
      </c>
      <c r="CI476" t="s">
        <v>66</v>
      </c>
      <c r="CK476" t="s">
        <v>66</v>
      </c>
      <c r="CM476" t="s">
        <v>66</v>
      </c>
      <c r="CO476" t="s">
        <v>66</v>
      </c>
      <c r="CQ476" t="s">
        <v>66</v>
      </c>
      <c r="CS476" t="s">
        <v>66</v>
      </c>
      <c r="CU476" t="s">
        <v>66</v>
      </c>
      <c r="CW476" t="s">
        <v>66</v>
      </c>
      <c r="CY476" t="s">
        <v>66</v>
      </c>
      <c r="DA476" t="s">
        <v>66</v>
      </c>
      <c r="DC476" t="s">
        <v>66</v>
      </c>
      <c r="DE476" t="s">
        <v>66</v>
      </c>
      <c r="DG476" t="s">
        <v>66</v>
      </c>
      <c r="DI476" t="s">
        <v>66</v>
      </c>
      <c r="DK476" t="s">
        <v>66</v>
      </c>
      <c r="DM476" t="s">
        <v>66</v>
      </c>
      <c r="DO476" t="s">
        <v>66</v>
      </c>
      <c r="DQ476" t="s">
        <v>66</v>
      </c>
    </row>
    <row r="477" spans="1:121" x14ac:dyDescent="0.2">
      <c r="A477" t="s">
        <v>665</v>
      </c>
      <c r="D477" t="s">
        <v>60</v>
      </c>
      <c r="E477" t="s">
        <v>61</v>
      </c>
      <c r="G477">
        <v>14832.4</v>
      </c>
      <c r="I477">
        <v>729.5</v>
      </c>
      <c r="K477">
        <v>650782.9</v>
      </c>
      <c r="M477">
        <v>282991.5</v>
      </c>
      <c r="O477">
        <v>1195.5</v>
      </c>
      <c r="Q477">
        <v>13736.2</v>
      </c>
      <c r="S477">
        <v>1793</v>
      </c>
      <c r="U477">
        <v>1249.8</v>
      </c>
      <c r="W477">
        <v>34459</v>
      </c>
      <c r="Y477">
        <v>20221.7</v>
      </c>
      <c r="AA477">
        <v>3059289</v>
      </c>
      <c r="AC477">
        <v>2211704.7000000002</v>
      </c>
      <c r="AE477">
        <v>1148726.2</v>
      </c>
      <c r="AG477">
        <v>61401.9</v>
      </c>
      <c r="AI477">
        <v>279620.2</v>
      </c>
      <c r="AK477">
        <v>30819.8</v>
      </c>
      <c r="AM477">
        <v>29123.200000000001</v>
      </c>
      <c r="AO477">
        <v>3330.3</v>
      </c>
      <c r="AQ477">
        <v>479.3</v>
      </c>
      <c r="AS477">
        <v>404.2</v>
      </c>
      <c r="AU477">
        <v>303.2</v>
      </c>
      <c r="AW477">
        <v>135.4</v>
      </c>
      <c r="AY477">
        <v>3600.3</v>
      </c>
      <c r="BA477">
        <v>674637</v>
      </c>
      <c r="BC477">
        <v>2305.1</v>
      </c>
      <c r="BE477">
        <v>60409.1</v>
      </c>
      <c r="BG477">
        <v>1379735.7</v>
      </c>
      <c r="BI477">
        <v>1129404.7</v>
      </c>
      <c r="BK477">
        <v>2967378.3</v>
      </c>
      <c r="BM477">
        <v>180449.5</v>
      </c>
      <c r="BO477">
        <v>3409556.7</v>
      </c>
      <c r="BQ477">
        <v>163446.1</v>
      </c>
      <c r="BS477">
        <v>173323.8</v>
      </c>
      <c r="BU477">
        <v>1359612.1</v>
      </c>
      <c r="BW477">
        <v>12748.1</v>
      </c>
      <c r="BY477">
        <v>1079526.5</v>
      </c>
      <c r="CA477">
        <v>60581.1</v>
      </c>
      <c r="CC477">
        <v>708.6</v>
      </c>
      <c r="CE477">
        <v>653</v>
      </c>
      <c r="CG477">
        <v>16936.2</v>
      </c>
      <c r="CI477">
        <v>104846.6</v>
      </c>
      <c r="CK477">
        <v>817404.9</v>
      </c>
      <c r="CM477">
        <v>952.4</v>
      </c>
      <c r="CO477">
        <v>3940.9</v>
      </c>
      <c r="CQ477">
        <v>117523.3</v>
      </c>
      <c r="CS477">
        <v>231862.3</v>
      </c>
      <c r="CU477">
        <v>264207.3</v>
      </c>
      <c r="CW477">
        <v>213518.3</v>
      </c>
      <c r="CY477">
        <v>58356.2</v>
      </c>
      <c r="DA477">
        <v>4916655.0999999996</v>
      </c>
      <c r="DC477">
        <v>15.6</v>
      </c>
      <c r="DE477">
        <v>337216.3</v>
      </c>
      <c r="DG477">
        <v>510.8</v>
      </c>
      <c r="DI477">
        <v>3235.6</v>
      </c>
      <c r="DK477">
        <v>731.8</v>
      </c>
      <c r="DM477">
        <v>66929</v>
      </c>
      <c r="DO477">
        <v>49031.1</v>
      </c>
      <c r="DQ477">
        <v>14494.3</v>
      </c>
    </row>
    <row r="478" spans="1:121" x14ac:dyDescent="0.2">
      <c r="D478" t="s">
        <v>62</v>
      </c>
      <c r="E478" t="s">
        <v>61</v>
      </c>
      <c r="G478">
        <v>441.4</v>
      </c>
      <c r="I478">
        <v>74.599999999999994</v>
      </c>
      <c r="K478">
        <v>4674.8999999999996</v>
      </c>
      <c r="M478">
        <v>3062.7</v>
      </c>
      <c r="O478">
        <v>101.3</v>
      </c>
      <c r="Q478">
        <v>179.9</v>
      </c>
      <c r="S478">
        <v>76.900000000000006</v>
      </c>
      <c r="U478">
        <v>26.6</v>
      </c>
      <c r="W478">
        <v>335.6</v>
      </c>
      <c r="Y478">
        <v>214</v>
      </c>
      <c r="AA478">
        <v>25756.2</v>
      </c>
      <c r="AC478">
        <v>15946.1</v>
      </c>
      <c r="AE478">
        <v>13900.7</v>
      </c>
      <c r="AG478">
        <v>315.10000000000002</v>
      </c>
      <c r="AI478">
        <v>1867.6</v>
      </c>
      <c r="AK478">
        <v>66.099999999999994</v>
      </c>
      <c r="AM478">
        <v>384.8</v>
      </c>
      <c r="AO478">
        <v>197.3</v>
      </c>
      <c r="AQ478">
        <v>61</v>
      </c>
      <c r="AS478">
        <v>39.6</v>
      </c>
      <c r="AU478">
        <v>36.799999999999997</v>
      </c>
      <c r="AW478">
        <v>4.8</v>
      </c>
      <c r="AY478">
        <v>166.6</v>
      </c>
      <c r="BA478">
        <v>9296.1</v>
      </c>
      <c r="BC478">
        <v>93.3</v>
      </c>
      <c r="BE478">
        <v>478.5</v>
      </c>
      <c r="BG478">
        <v>21506.1</v>
      </c>
      <c r="BI478">
        <v>13598</v>
      </c>
      <c r="BK478">
        <v>11155.3</v>
      </c>
      <c r="BM478">
        <v>365.4</v>
      </c>
      <c r="BO478">
        <v>9392</v>
      </c>
      <c r="BQ478">
        <v>2207.6999999999998</v>
      </c>
      <c r="BS478">
        <v>3089.3</v>
      </c>
      <c r="BU478">
        <v>11132.7</v>
      </c>
      <c r="BW478">
        <v>553.20000000000005</v>
      </c>
      <c r="BY478">
        <v>6578.3</v>
      </c>
      <c r="CA478">
        <v>851.3</v>
      </c>
      <c r="CC478">
        <v>40.4</v>
      </c>
      <c r="CE478">
        <v>43.4</v>
      </c>
      <c r="CG478">
        <v>464.2</v>
      </c>
      <c r="CI478">
        <v>2233.3000000000002</v>
      </c>
      <c r="CK478">
        <v>18768.400000000001</v>
      </c>
      <c r="CM478">
        <v>13.7</v>
      </c>
      <c r="CO478">
        <v>93.1</v>
      </c>
      <c r="CQ478">
        <v>2309.5</v>
      </c>
      <c r="CS478">
        <v>4662</v>
      </c>
      <c r="CU478">
        <v>4795.3</v>
      </c>
      <c r="CW478">
        <v>5779</v>
      </c>
      <c r="CY478">
        <v>1234.5</v>
      </c>
      <c r="DA478">
        <v>52160.9</v>
      </c>
      <c r="DC478">
        <v>2.5</v>
      </c>
      <c r="DE478">
        <v>2253.5</v>
      </c>
      <c r="DG478">
        <v>23.2</v>
      </c>
      <c r="DI478">
        <v>137.5</v>
      </c>
      <c r="DK478">
        <v>39.200000000000003</v>
      </c>
      <c r="DM478">
        <v>1082.2</v>
      </c>
      <c r="DO478">
        <v>1434.3</v>
      </c>
      <c r="DQ478">
        <v>239.9</v>
      </c>
    </row>
    <row r="479" spans="1:121" x14ac:dyDescent="0.2">
      <c r="D479" t="s">
        <v>63</v>
      </c>
      <c r="G479">
        <v>8.4080000000000002E-2</v>
      </c>
      <c r="H479" t="s">
        <v>75</v>
      </c>
      <c r="I479">
        <v>1.298E-2</v>
      </c>
      <c r="J479" t="s">
        <v>75</v>
      </c>
      <c r="K479">
        <v>0.82835000000000003</v>
      </c>
      <c r="L479" t="s">
        <v>75</v>
      </c>
      <c r="M479">
        <v>0.25470999999999999</v>
      </c>
      <c r="N479" t="s">
        <v>75</v>
      </c>
      <c r="O479">
        <v>3.9300000000000003E-3</v>
      </c>
      <c r="P479" t="s">
        <v>75</v>
      </c>
      <c r="Q479">
        <v>0.11012</v>
      </c>
      <c r="R479" t="s">
        <v>75</v>
      </c>
      <c r="S479">
        <v>8.8000000000000003E-4</v>
      </c>
      <c r="T479" t="s">
        <v>75</v>
      </c>
      <c r="U479">
        <v>1.0840000000000001E-2</v>
      </c>
      <c r="V479" t="s">
        <v>75</v>
      </c>
      <c r="W479">
        <v>7.6999999999999999E-2</v>
      </c>
      <c r="X479" t="s">
        <v>75</v>
      </c>
      <c r="Y479">
        <v>0.30179</v>
      </c>
      <c r="Z479" t="s">
        <v>75</v>
      </c>
      <c r="AB479" t="s">
        <v>76</v>
      </c>
      <c r="AC479">
        <v>7.9483600000000001</v>
      </c>
      <c r="AD479" t="s">
        <v>75</v>
      </c>
      <c r="AE479">
        <v>4.3624299999999998</v>
      </c>
      <c r="AF479" t="s">
        <v>75</v>
      </c>
      <c r="AG479">
        <v>3.209E-2</v>
      </c>
      <c r="AH479" t="s">
        <v>75</v>
      </c>
      <c r="AI479">
        <v>1.77624</v>
      </c>
      <c r="AJ479" t="s">
        <v>75</v>
      </c>
      <c r="AK479">
        <v>1.9109999999999999E-2</v>
      </c>
      <c r="AL479" t="s">
        <v>75</v>
      </c>
      <c r="AM479">
        <v>1.6299999999999999E-2</v>
      </c>
      <c r="AN479" t="s">
        <v>75</v>
      </c>
      <c r="AO479">
        <v>1.3639999999999999E-2</v>
      </c>
      <c r="AP479" t="s">
        <v>75</v>
      </c>
      <c r="AQ479">
        <v>1.1100000000000001E-3</v>
      </c>
      <c r="AR479" t="s">
        <v>75</v>
      </c>
      <c r="AS479">
        <v>7.6999999999999996E-4</v>
      </c>
      <c r="AT479" t="s">
        <v>75</v>
      </c>
      <c r="AU479">
        <v>1.5499999999999999E-3</v>
      </c>
      <c r="AV479" t="s">
        <v>75</v>
      </c>
      <c r="AW479">
        <v>-4.6999999999999999E-4</v>
      </c>
      <c r="AX479" t="s">
        <v>75</v>
      </c>
      <c r="AY479">
        <v>1.31E-3</v>
      </c>
      <c r="AZ479" t="s">
        <v>75</v>
      </c>
      <c r="BC479">
        <v>-2.0529799999999998</v>
      </c>
      <c r="BD479" t="s">
        <v>75</v>
      </c>
      <c r="BE479">
        <v>6.0539999999999997E-2</v>
      </c>
      <c r="BF479" t="s">
        <v>75</v>
      </c>
      <c r="BG479">
        <v>3.9476599999999999</v>
      </c>
      <c r="BH479" t="s">
        <v>75</v>
      </c>
      <c r="BI479">
        <v>3.7357900000000002</v>
      </c>
      <c r="BJ479" t="s">
        <v>75</v>
      </c>
      <c r="BK479">
        <v>4.0026799999999998</v>
      </c>
      <c r="BL479" t="s">
        <v>75</v>
      </c>
      <c r="BM479">
        <v>0.16044</v>
      </c>
      <c r="BN479" t="s">
        <v>75</v>
      </c>
      <c r="BO479">
        <v>75.199789999999993</v>
      </c>
      <c r="BP479" t="s">
        <v>75</v>
      </c>
      <c r="BQ479">
        <v>5.2331799999999999</v>
      </c>
      <c r="BR479" t="s">
        <v>75</v>
      </c>
      <c r="BS479">
        <v>3.5101100000000001</v>
      </c>
      <c r="BT479" t="s">
        <v>75</v>
      </c>
      <c r="BU479">
        <v>36.993130000000001</v>
      </c>
      <c r="BV479" t="s">
        <v>75</v>
      </c>
      <c r="BW479">
        <v>5.27867</v>
      </c>
      <c r="BX479" t="s">
        <v>75</v>
      </c>
      <c r="BY479">
        <v>301.83951000000002</v>
      </c>
      <c r="BZ479" t="s">
        <v>75</v>
      </c>
      <c r="CA479">
        <v>29.563500000000001</v>
      </c>
      <c r="CB479" t="s">
        <v>75</v>
      </c>
      <c r="CC479">
        <v>0.14016000000000001</v>
      </c>
      <c r="CD479" t="s">
        <v>75</v>
      </c>
      <c r="CE479">
        <v>8.2900000000000005E-3</v>
      </c>
      <c r="CF479" t="s">
        <v>75</v>
      </c>
      <c r="CG479">
        <v>0.27771000000000001</v>
      </c>
      <c r="CH479" t="s">
        <v>75</v>
      </c>
      <c r="CI479">
        <v>1.3697299999999999</v>
      </c>
      <c r="CJ479" t="s">
        <v>75</v>
      </c>
      <c r="CK479">
        <v>11.50239</v>
      </c>
      <c r="CL479" t="s">
        <v>75</v>
      </c>
      <c r="CM479">
        <v>6.8300000000000001E-3</v>
      </c>
      <c r="CN479" t="s">
        <v>75</v>
      </c>
      <c r="CO479">
        <v>0.23807</v>
      </c>
      <c r="CP479" t="s">
        <v>75</v>
      </c>
      <c r="CQ479">
        <v>3.6067</v>
      </c>
      <c r="CR479" t="s">
        <v>75</v>
      </c>
      <c r="CS479">
        <v>61.906019999999998</v>
      </c>
      <c r="CT479" t="s">
        <v>75</v>
      </c>
      <c r="CV479" t="s">
        <v>76</v>
      </c>
      <c r="CW479">
        <v>8.0767299999999995</v>
      </c>
      <c r="CX479" t="s">
        <v>75</v>
      </c>
      <c r="DA479">
        <v>329.49488000000002</v>
      </c>
      <c r="DB479" t="s">
        <v>75</v>
      </c>
      <c r="DC479">
        <v>6.6100000000000004E-3</v>
      </c>
      <c r="DD479" t="s">
        <v>75</v>
      </c>
      <c r="DE479">
        <v>171.66571999999999</v>
      </c>
      <c r="DF479" t="s">
        <v>75</v>
      </c>
      <c r="DG479">
        <v>2.9619</v>
      </c>
      <c r="DH479" t="s">
        <v>75</v>
      </c>
      <c r="DI479">
        <v>5.9629599999999998</v>
      </c>
      <c r="DJ479" t="s">
        <v>75</v>
      </c>
      <c r="DL479" t="s">
        <v>76</v>
      </c>
      <c r="DN479" t="s">
        <v>76</v>
      </c>
      <c r="DO479">
        <v>8.1499799999999993</v>
      </c>
      <c r="DP479" t="s">
        <v>75</v>
      </c>
    </row>
    <row r="480" spans="1:121" x14ac:dyDescent="0.2">
      <c r="D480" t="s">
        <v>64</v>
      </c>
      <c r="G480">
        <v>5.11E-3</v>
      </c>
      <c r="H480" t="s">
        <v>75</v>
      </c>
      <c r="I480">
        <v>2.8400000000000001E-3</v>
      </c>
      <c r="J480" t="s">
        <v>75</v>
      </c>
      <c r="K480">
        <v>1.349E-2</v>
      </c>
      <c r="L480" t="s">
        <v>75</v>
      </c>
      <c r="M480">
        <v>4.0499999999999998E-3</v>
      </c>
      <c r="N480" t="s">
        <v>75</v>
      </c>
      <c r="O480">
        <v>8.0000000000000007E-5</v>
      </c>
      <c r="P480" t="s">
        <v>75</v>
      </c>
      <c r="Q480">
        <v>4.8000000000000001E-4</v>
      </c>
      <c r="R480" t="s">
        <v>75</v>
      </c>
      <c r="S480">
        <v>8.0000000000000007E-5</v>
      </c>
      <c r="T480" t="s">
        <v>75</v>
      </c>
      <c r="U480">
        <v>8.0000000000000007E-5</v>
      </c>
      <c r="V480" t="s">
        <v>75</v>
      </c>
      <c r="W480">
        <v>6.6E-4</v>
      </c>
      <c r="X480" t="s">
        <v>75</v>
      </c>
      <c r="Y480">
        <v>7.28E-3</v>
      </c>
      <c r="Z480" t="s">
        <v>75</v>
      </c>
      <c r="AC480">
        <v>6.7879999999999996E-2</v>
      </c>
      <c r="AD480" t="s">
        <v>75</v>
      </c>
      <c r="AE480">
        <v>7.8100000000000001E-3</v>
      </c>
      <c r="AF480" t="s">
        <v>75</v>
      </c>
      <c r="AG480">
        <v>4.2000000000000002E-4</v>
      </c>
      <c r="AH480" t="s">
        <v>75</v>
      </c>
      <c r="AI480">
        <v>3.585E-2</v>
      </c>
      <c r="AJ480" t="s">
        <v>75</v>
      </c>
      <c r="AK480">
        <v>2.5999999999999998E-4</v>
      </c>
      <c r="AL480" t="s">
        <v>75</v>
      </c>
      <c r="AM480">
        <v>1.7000000000000001E-4</v>
      </c>
      <c r="AN480" t="s">
        <v>75</v>
      </c>
      <c r="AO480">
        <v>6.4000000000000005E-4</v>
      </c>
      <c r="AP480" t="s">
        <v>75</v>
      </c>
      <c r="AQ480">
        <v>2.9E-4</v>
      </c>
      <c r="AR480" t="s">
        <v>75</v>
      </c>
      <c r="AS480">
        <v>1.4999999999999999E-4</v>
      </c>
      <c r="AT480" t="s">
        <v>75</v>
      </c>
      <c r="AU480">
        <v>3.0000000000000001E-5</v>
      </c>
      <c r="AV480" t="s">
        <v>75</v>
      </c>
      <c r="AW480">
        <v>1.0000000000000001E-5</v>
      </c>
      <c r="AX480" t="s">
        <v>75</v>
      </c>
      <c r="AY480">
        <v>6.4999999999999997E-4</v>
      </c>
      <c r="AZ480" t="s">
        <v>75</v>
      </c>
      <c r="BC480">
        <v>3.4000000000000002E-4</v>
      </c>
      <c r="BD480" t="s">
        <v>75</v>
      </c>
      <c r="BE480">
        <v>8.4999999999999995E-4</v>
      </c>
      <c r="BF480" t="s">
        <v>75</v>
      </c>
      <c r="BG480">
        <v>7.1279999999999996E-2</v>
      </c>
      <c r="BH480" t="s">
        <v>75</v>
      </c>
      <c r="BI480">
        <v>8.9940000000000006E-2</v>
      </c>
      <c r="BJ480" t="s">
        <v>75</v>
      </c>
      <c r="BK480">
        <v>7.0980000000000001E-2</v>
      </c>
      <c r="BL480" t="s">
        <v>75</v>
      </c>
      <c r="BM480">
        <v>2.0899999999999998E-3</v>
      </c>
      <c r="BN480" t="s">
        <v>75</v>
      </c>
      <c r="BO480">
        <v>1.4347700000000001</v>
      </c>
      <c r="BP480" t="s">
        <v>75</v>
      </c>
      <c r="BQ480">
        <v>0.11198</v>
      </c>
      <c r="BR480" t="s">
        <v>75</v>
      </c>
      <c r="BS480">
        <v>9.4479999999999995E-2</v>
      </c>
      <c r="BT480" t="s">
        <v>75</v>
      </c>
      <c r="BU480">
        <v>0.84326999999999996</v>
      </c>
      <c r="BV480" t="s">
        <v>75</v>
      </c>
      <c r="BW480">
        <v>0.26735999999999999</v>
      </c>
      <c r="BX480" t="s">
        <v>75</v>
      </c>
      <c r="BY480">
        <v>8.3355200000000007</v>
      </c>
      <c r="BZ480" t="s">
        <v>75</v>
      </c>
      <c r="CA480">
        <v>0.52905000000000002</v>
      </c>
      <c r="CB480" t="s">
        <v>75</v>
      </c>
      <c r="CC480">
        <v>5.9500000000000004E-3</v>
      </c>
      <c r="CD480" t="s">
        <v>75</v>
      </c>
      <c r="CE480">
        <v>5.5000000000000003E-4</v>
      </c>
      <c r="CF480" t="s">
        <v>75</v>
      </c>
      <c r="CG480">
        <v>1.225E-2</v>
      </c>
      <c r="CH480" t="s">
        <v>75</v>
      </c>
      <c r="CI480">
        <v>5.7880000000000001E-2</v>
      </c>
      <c r="CJ480" t="s">
        <v>75</v>
      </c>
      <c r="CK480">
        <v>0.50871</v>
      </c>
      <c r="CL480" t="s">
        <v>75</v>
      </c>
      <c r="CM480">
        <v>2.0000000000000001E-4</v>
      </c>
      <c r="CN480" t="s">
        <v>75</v>
      </c>
      <c r="CO480">
        <v>7.5700000000000003E-3</v>
      </c>
      <c r="CP480" t="s">
        <v>75</v>
      </c>
      <c r="CQ480">
        <v>0.14011999999999999</v>
      </c>
      <c r="CR480" t="s">
        <v>75</v>
      </c>
      <c r="CS480">
        <v>2.4267300000000001</v>
      </c>
      <c r="CT480" t="s">
        <v>75</v>
      </c>
      <c r="CW480">
        <v>0.33350000000000002</v>
      </c>
      <c r="CX480" t="s">
        <v>75</v>
      </c>
      <c r="DA480">
        <v>5.0751400000000002</v>
      </c>
      <c r="DB480" t="s">
        <v>75</v>
      </c>
      <c r="DC480">
        <v>1.1299999999999999E-3</v>
      </c>
      <c r="DD480" t="s">
        <v>75</v>
      </c>
      <c r="DE480">
        <v>2.4488300000000001</v>
      </c>
      <c r="DF480" t="s">
        <v>75</v>
      </c>
      <c r="DG480">
        <v>0.17568</v>
      </c>
      <c r="DH480" t="s">
        <v>75</v>
      </c>
      <c r="DI480">
        <v>0.36468</v>
      </c>
      <c r="DJ480" t="s">
        <v>75</v>
      </c>
      <c r="DO480">
        <v>0.14341000000000001</v>
      </c>
      <c r="DP480" t="s">
        <v>75</v>
      </c>
    </row>
    <row r="481" spans="1:121" x14ac:dyDescent="0.2">
      <c r="D481" t="s">
        <v>65</v>
      </c>
      <c r="G481" t="s">
        <v>66</v>
      </c>
      <c r="I481" t="s">
        <v>66</v>
      </c>
      <c r="K481" t="s">
        <v>66</v>
      </c>
      <c r="M481" t="s">
        <v>66</v>
      </c>
      <c r="O481" t="s">
        <v>66</v>
      </c>
      <c r="Q481" t="s">
        <v>66</v>
      </c>
      <c r="S481" t="s">
        <v>66</v>
      </c>
      <c r="U481" t="s">
        <v>66</v>
      </c>
      <c r="W481" t="s">
        <v>66</v>
      </c>
      <c r="Y481" t="s">
        <v>66</v>
      </c>
      <c r="AA481" t="s">
        <v>66</v>
      </c>
      <c r="AC481" t="s">
        <v>66</v>
      </c>
      <c r="AE481" t="s">
        <v>66</v>
      </c>
      <c r="AG481" t="s">
        <v>66</v>
      </c>
      <c r="AI481" t="s">
        <v>66</v>
      </c>
      <c r="AK481" t="s">
        <v>66</v>
      </c>
      <c r="AM481" t="s">
        <v>66</v>
      </c>
      <c r="AO481" t="s">
        <v>66</v>
      </c>
      <c r="AQ481" t="s">
        <v>66</v>
      </c>
      <c r="AS481" t="s">
        <v>66</v>
      </c>
      <c r="AU481" t="s">
        <v>66</v>
      </c>
      <c r="AW481" t="s">
        <v>66</v>
      </c>
      <c r="AY481" t="s">
        <v>66</v>
      </c>
      <c r="BA481" t="s">
        <v>66</v>
      </c>
      <c r="BC481" t="s">
        <v>66</v>
      </c>
      <c r="BE481" t="s">
        <v>66</v>
      </c>
      <c r="BG481" t="s">
        <v>66</v>
      </c>
      <c r="BI481" t="s">
        <v>66</v>
      </c>
      <c r="BK481" t="s">
        <v>66</v>
      </c>
      <c r="BM481" t="s">
        <v>66</v>
      </c>
      <c r="BO481" t="s">
        <v>66</v>
      </c>
      <c r="BQ481" t="s">
        <v>66</v>
      </c>
      <c r="BS481" t="s">
        <v>66</v>
      </c>
      <c r="BU481" t="s">
        <v>66</v>
      </c>
      <c r="BW481" t="s">
        <v>66</v>
      </c>
      <c r="BY481" t="s">
        <v>66</v>
      </c>
      <c r="CA481" t="s">
        <v>66</v>
      </c>
      <c r="CC481" t="s">
        <v>66</v>
      </c>
      <c r="CE481" t="s">
        <v>66</v>
      </c>
      <c r="CG481" t="s">
        <v>66</v>
      </c>
      <c r="CI481" t="s">
        <v>66</v>
      </c>
      <c r="CK481" t="s">
        <v>66</v>
      </c>
      <c r="CM481" t="s">
        <v>66</v>
      </c>
      <c r="CO481" t="s">
        <v>66</v>
      </c>
      <c r="CQ481" t="s">
        <v>66</v>
      </c>
      <c r="CS481" t="s">
        <v>66</v>
      </c>
      <c r="CU481" t="s">
        <v>66</v>
      </c>
      <c r="CW481" t="s">
        <v>66</v>
      </c>
      <c r="CY481" t="s">
        <v>66</v>
      </c>
      <c r="DA481" t="s">
        <v>66</v>
      </c>
      <c r="DC481" t="s">
        <v>66</v>
      </c>
      <c r="DE481" t="s">
        <v>66</v>
      </c>
      <c r="DG481" t="s">
        <v>66</v>
      </c>
      <c r="DI481" t="s">
        <v>66</v>
      </c>
      <c r="DK481" t="s">
        <v>66</v>
      </c>
      <c r="DM481" t="s">
        <v>66</v>
      </c>
      <c r="DO481" t="s">
        <v>66</v>
      </c>
      <c r="DQ481" t="s">
        <v>66</v>
      </c>
    </row>
    <row r="482" spans="1:121" x14ac:dyDescent="0.2">
      <c r="A482" t="s">
        <v>666</v>
      </c>
      <c r="D482" t="s">
        <v>60</v>
      </c>
      <c r="E482" t="s">
        <v>61</v>
      </c>
      <c r="G482">
        <v>152068.20000000001</v>
      </c>
      <c r="I482">
        <v>34921.699999999997</v>
      </c>
      <c r="K482">
        <v>921622.8</v>
      </c>
      <c r="M482">
        <v>1213242.5</v>
      </c>
      <c r="O482">
        <v>1414908.5</v>
      </c>
      <c r="Q482">
        <v>174865.6</v>
      </c>
      <c r="S482">
        <v>1338751</v>
      </c>
      <c r="U482">
        <v>271459</v>
      </c>
      <c r="W482">
        <v>542245.30000000005</v>
      </c>
      <c r="Y482">
        <v>78240.800000000003</v>
      </c>
      <c r="AA482">
        <v>3028245</v>
      </c>
      <c r="AC482">
        <v>311156.8</v>
      </c>
      <c r="AE482">
        <v>310950</v>
      </c>
      <c r="AG482">
        <v>1539171.7</v>
      </c>
      <c r="AI482">
        <v>637358.9</v>
      </c>
      <c r="AK482">
        <v>1711073.7</v>
      </c>
      <c r="AM482">
        <v>1581084.2</v>
      </c>
      <c r="AO482">
        <v>323034.8</v>
      </c>
      <c r="AQ482">
        <v>276830.59999999998</v>
      </c>
      <c r="AS482">
        <v>262203.5</v>
      </c>
      <c r="AU482">
        <v>1853327.3</v>
      </c>
      <c r="AW482">
        <v>494057.1</v>
      </c>
      <c r="AY482">
        <v>373485.3</v>
      </c>
      <c r="BA482">
        <v>698318.2</v>
      </c>
      <c r="BC482">
        <v>295431.8</v>
      </c>
      <c r="BE482">
        <v>1226429.8</v>
      </c>
      <c r="BG482">
        <v>402960</v>
      </c>
      <c r="BI482">
        <v>346769.2</v>
      </c>
      <c r="BK482">
        <v>855330.5</v>
      </c>
      <c r="BM482">
        <v>1326020.8</v>
      </c>
      <c r="BO482">
        <v>414638.1</v>
      </c>
      <c r="BQ482">
        <v>254375.5</v>
      </c>
      <c r="BS482">
        <v>199553.3</v>
      </c>
      <c r="BU482">
        <v>683002.7</v>
      </c>
      <c r="BW482">
        <v>3564.6</v>
      </c>
      <c r="BY482">
        <v>111430.5</v>
      </c>
      <c r="CA482">
        <v>23269</v>
      </c>
      <c r="CC482">
        <v>5563.4</v>
      </c>
      <c r="CE482">
        <v>79541.899999999994</v>
      </c>
      <c r="CG482">
        <v>69912.100000000006</v>
      </c>
      <c r="CI482">
        <v>89253.1</v>
      </c>
      <c r="CK482">
        <v>284131</v>
      </c>
      <c r="CM482">
        <v>82949.3</v>
      </c>
      <c r="CO482">
        <v>18768.5</v>
      </c>
      <c r="CQ482">
        <v>38886.300000000003</v>
      </c>
      <c r="CS482">
        <v>19260.099999999999</v>
      </c>
      <c r="CU482">
        <v>264271.59999999998</v>
      </c>
      <c r="CW482">
        <v>31831.4</v>
      </c>
      <c r="CY482">
        <v>60601.2</v>
      </c>
      <c r="DA482">
        <v>175771.9</v>
      </c>
      <c r="DC482">
        <v>2861.5</v>
      </c>
      <c r="DE482">
        <v>2671.5</v>
      </c>
      <c r="DG482">
        <v>753.5</v>
      </c>
      <c r="DI482">
        <v>5423</v>
      </c>
      <c r="DK482">
        <v>825.8</v>
      </c>
      <c r="DM482">
        <v>63282.6</v>
      </c>
      <c r="DO482">
        <v>7218.8</v>
      </c>
      <c r="DQ482">
        <v>14132.2</v>
      </c>
    </row>
    <row r="483" spans="1:121" x14ac:dyDescent="0.2">
      <c r="D483" t="s">
        <v>62</v>
      </c>
      <c r="E483" t="s">
        <v>61</v>
      </c>
      <c r="G483">
        <v>1042.8</v>
      </c>
      <c r="I483">
        <v>213.3</v>
      </c>
      <c r="K483">
        <v>5770.7</v>
      </c>
      <c r="M483">
        <v>16164.9</v>
      </c>
      <c r="O483">
        <v>13703.8</v>
      </c>
      <c r="Q483">
        <v>2465.6</v>
      </c>
      <c r="S483">
        <v>5831.6</v>
      </c>
      <c r="U483">
        <v>2036.4</v>
      </c>
      <c r="W483">
        <v>5931.2</v>
      </c>
      <c r="Y483">
        <v>403.9</v>
      </c>
      <c r="AA483">
        <v>50242</v>
      </c>
      <c r="AC483">
        <v>5709.6</v>
      </c>
      <c r="AE483">
        <v>2781.8</v>
      </c>
      <c r="AG483">
        <v>37028.9</v>
      </c>
      <c r="AI483">
        <v>7856.7</v>
      </c>
      <c r="AK483">
        <v>26967.599999999999</v>
      </c>
      <c r="AM483">
        <v>12438.8</v>
      </c>
      <c r="AO483">
        <v>1780.6</v>
      </c>
      <c r="AQ483">
        <v>4301.3</v>
      </c>
      <c r="AS483">
        <v>1184.9000000000001</v>
      </c>
      <c r="AU483">
        <v>7410.1</v>
      </c>
      <c r="AW483">
        <v>4720.8999999999996</v>
      </c>
      <c r="AY483">
        <v>4803.7</v>
      </c>
      <c r="BA483">
        <v>20457.3</v>
      </c>
      <c r="BC483">
        <v>876.8</v>
      </c>
      <c r="BE483">
        <v>24385.4</v>
      </c>
      <c r="BG483">
        <v>2956.2</v>
      </c>
      <c r="BI483">
        <v>4468.5</v>
      </c>
      <c r="BK483">
        <v>15413.4</v>
      </c>
      <c r="BM483">
        <v>6764.4</v>
      </c>
      <c r="BO483">
        <v>5717.7</v>
      </c>
      <c r="BQ483">
        <v>5024.1000000000004</v>
      </c>
      <c r="BS483">
        <v>5724.3</v>
      </c>
      <c r="BU483">
        <v>3633.1</v>
      </c>
      <c r="BW483">
        <v>207.8</v>
      </c>
      <c r="BY483">
        <v>892.3</v>
      </c>
      <c r="CA483">
        <v>248.5</v>
      </c>
      <c r="CC483">
        <v>62.1</v>
      </c>
      <c r="CE483">
        <v>2584.4</v>
      </c>
      <c r="CG483">
        <v>1786</v>
      </c>
      <c r="CI483">
        <v>1433.5</v>
      </c>
      <c r="CK483">
        <v>5787.6</v>
      </c>
      <c r="CM483">
        <v>1632.6</v>
      </c>
      <c r="CO483">
        <v>298.7</v>
      </c>
      <c r="CQ483">
        <v>157.5</v>
      </c>
      <c r="CS483">
        <v>179.8</v>
      </c>
      <c r="CU483">
        <v>6770.1</v>
      </c>
      <c r="CW483">
        <v>229.1</v>
      </c>
      <c r="CY483">
        <v>471.1</v>
      </c>
      <c r="DA483">
        <v>605.29999999999995</v>
      </c>
      <c r="DC483">
        <v>46.9</v>
      </c>
      <c r="DE483">
        <v>94.7</v>
      </c>
      <c r="DG483">
        <v>77.900000000000006</v>
      </c>
      <c r="DI483">
        <v>228.9</v>
      </c>
      <c r="DK483">
        <v>62.8</v>
      </c>
      <c r="DM483">
        <v>1413.2</v>
      </c>
      <c r="DO483">
        <v>121.4</v>
      </c>
      <c r="DQ483">
        <v>173.9</v>
      </c>
    </row>
    <row r="484" spans="1:121" x14ac:dyDescent="0.2">
      <c r="D484" t="s">
        <v>63</v>
      </c>
      <c r="G484">
        <v>1.1388799999999999</v>
      </c>
      <c r="H484" t="s">
        <v>75</v>
      </c>
      <c r="I484">
        <v>1.17266</v>
      </c>
      <c r="J484" t="s">
        <v>75</v>
      </c>
      <c r="K484">
        <v>1.1352199999999999</v>
      </c>
      <c r="L484" t="s">
        <v>75</v>
      </c>
      <c r="M484">
        <v>1.1627799999999999</v>
      </c>
      <c r="N484" t="s">
        <v>75</v>
      </c>
      <c r="O484">
        <v>1.14829</v>
      </c>
      <c r="P484" t="s">
        <v>75</v>
      </c>
      <c r="Q484">
        <v>1.1175900000000001</v>
      </c>
      <c r="R484" t="s">
        <v>75</v>
      </c>
      <c r="S484">
        <v>1.1366099999999999</v>
      </c>
      <c r="T484" t="s">
        <v>75</v>
      </c>
      <c r="U484">
        <v>1.0965100000000001</v>
      </c>
      <c r="V484" t="s">
        <v>75</v>
      </c>
      <c r="W484">
        <v>1.1208400000000001</v>
      </c>
      <c r="X484" t="s">
        <v>75</v>
      </c>
      <c r="Y484">
        <v>1.12856</v>
      </c>
      <c r="Z484" t="s">
        <v>75</v>
      </c>
      <c r="AB484" t="s">
        <v>76</v>
      </c>
      <c r="AC484">
        <v>1.1172500000000001</v>
      </c>
      <c r="AD484" t="s">
        <v>75</v>
      </c>
      <c r="AE484">
        <v>1.1706099999999999</v>
      </c>
      <c r="AF484" t="s">
        <v>75</v>
      </c>
      <c r="AG484">
        <v>1.15768</v>
      </c>
      <c r="AH484" t="s">
        <v>75</v>
      </c>
      <c r="AI484">
        <v>3.9136799999999998</v>
      </c>
      <c r="AJ484" t="s">
        <v>75</v>
      </c>
      <c r="AK484">
        <v>1.13856</v>
      </c>
      <c r="AL484" t="s">
        <v>75</v>
      </c>
      <c r="AM484">
        <v>1.1481300000000001</v>
      </c>
      <c r="AN484" t="s">
        <v>75</v>
      </c>
      <c r="AO484">
        <v>1.14727</v>
      </c>
      <c r="AP484" t="s">
        <v>75</v>
      </c>
      <c r="AQ484">
        <v>1.15235</v>
      </c>
      <c r="AR484" t="s">
        <v>75</v>
      </c>
      <c r="AS484">
        <v>1.12954</v>
      </c>
      <c r="AT484" t="s">
        <v>75</v>
      </c>
      <c r="AU484">
        <v>1.18604</v>
      </c>
      <c r="AV484" t="s">
        <v>75</v>
      </c>
      <c r="AW484">
        <v>1.1558900000000001</v>
      </c>
      <c r="AX484" t="s">
        <v>75</v>
      </c>
      <c r="AY484">
        <v>1.1606000000000001</v>
      </c>
      <c r="AZ484" t="s">
        <v>75</v>
      </c>
      <c r="BC484">
        <v>-1.2011000000000001</v>
      </c>
      <c r="BD484" t="s">
        <v>75</v>
      </c>
      <c r="BE484">
        <v>1.1395999999999999</v>
      </c>
      <c r="BF484" t="s">
        <v>75</v>
      </c>
      <c r="BG484">
        <v>1.0866499999999999</v>
      </c>
      <c r="BH484" t="s">
        <v>75</v>
      </c>
      <c r="BI484">
        <v>1.0972599999999999</v>
      </c>
      <c r="BJ484" t="s">
        <v>75</v>
      </c>
      <c r="BK484">
        <v>1.09965</v>
      </c>
      <c r="BL484" t="s">
        <v>75</v>
      </c>
      <c r="BM484">
        <v>1.20058</v>
      </c>
      <c r="BN484" t="s">
        <v>75</v>
      </c>
      <c r="BO484">
        <v>7.2759600000000004</v>
      </c>
      <c r="BP484" t="s">
        <v>75</v>
      </c>
      <c r="BQ484">
        <v>8.0501000000000005</v>
      </c>
      <c r="BR484" t="s">
        <v>75</v>
      </c>
      <c r="BS484">
        <v>3.9406099999999999</v>
      </c>
      <c r="BT484" t="s">
        <v>75</v>
      </c>
      <c r="BU484">
        <v>7.3215000000000003</v>
      </c>
      <c r="BV484" t="s">
        <v>75</v>
      </c>
      <c r="BW484">
        <v>1.2370099999999999</v>
      </c>
      <c r="BX484" t="s">
        <v>75</v>
      </c>
      <c r="BY484">
        <v>22.66835</v>
      </c>
      <c r="BZ484" t="s">
        <v>75</v>
      </c>
      <c r="CA484">
        <v>8.6611200000000004</v>
      </c>
      <c r="CB484" t="s">
        <v>75</v>
      </c>
      <c r="CC484">
        <v>1.1537500000000001</v>
      </c>
      <c r="CD484" t="s">
        <v>75</v>
      </c>
      <c r="CE484">
        <v>1.1640900000000001</v>
      </c>
      <c r="CF484" t="s">
        <v>75</v>
      </c>
      <c r="CG484">
        <v>1.15509</v>
      </c>
      <c r="CH484" t="s">
        <v>75</v>
      </c>
      <c r="CI484">
        <v>1.1170199999999999</v>
      </c>
      <c r="CJ484" t="s">
        <v>75</v>
      </c>
      <c r="CK484">
        <v>3.6288100000000001</v>
      </c>
      <c r="CL484" t="s">
        <v>75</v>
      </c>
      <c r="CM484">
        <v>1.15211</v>
      </c>
      <c r="CN484" t="s">
        <v>75</v>
      </c>
      <c r="CO484">
        <v>1.05464</v>
      </c>
      <c r="CP484" t="s">
        <v>75</v>
      </c>
      <c r="CQ484">
        <v>1.12999</v>
      </c>
      <c r="CR484" t="s">
        <v>75</v>
      </c>
      <c r="CS484">
        <v>4.8584800000000001</v>
      </c>
      <c r="CT484" t="s">
        <v>75</v>
      </c>
      <c r="CV484" t="s">
        <v>76</v>
      </c>
      <c r="CW484">
        <v>1.13696</v>
      </c>
      <c r="CX484" t="s">
        <v>75</v>
      </c>
      <c r="DA484">
        <v>11.8622</v>
      </c>
      <c r="DB484" t="s">
        <v>75</v>
      </c>
      <c r="DC484">
        <v>1.4505999999999999</v>
      </c>
      <c r="DD484" t="s">
        <v>75</v>
      </c>
      <c r="DE484">
        <v>1.3768</v>
      </c>
      <c r="DF484" t="s">
        <v>75</v>
      </c>
      <c r="DG484">
        <v>4.5151300000000001</v>
      </c>
      <c r="DH484" t="s">
        <v>75</v>
      </c>
      <c r="DI484">
        <v>10.56508</v>
      </c>
      <c r="DJ484" t="s">
        <v>75</v>
      </c>
      <c r="DL484" t="s">
        <v>76</v>
      </c>
      <c r="DN484" t="s">
        <v>76</v>
      </c>
      <c r="DO484">
        <v>1.22414</v>
      </c>
      <c r="DP484" t="s">
        <v>75</v>
      </c>
    </row>
    <row r="485" spans="1:121" x14ac:dyDescent="0.2">
      <c r="D485" t="s">
        <v>64</v>
      </c>
      <c r="G485">
        <v>2.93E-2</v>
      </c>
      <c r="H485" t="s">
        <v>75</v>
      </c>
      <c r="I485">
        <v>2.7269999999999999E-2</v>
      </c>
      <c r="J485" t="s">
        <v>75</v>
      </c>
      <c r="K485">
        <v>0.04</v>
      </c>
      <c r="L485" t="s">
        <v>75</v>
      </c>
      <c r="M485">
        <v>2.4119999999999999E-2</v>
      </c>
      <c r="N485" t="s">
        <v>75</v>
      </c>
      <c r="O485">
        <v>2.6079999999999999E-2</v>
      </c>
      <c r="P485" t="s">
        <v>75</v>
      </c>
      <c r="Q485">
        <v>3.236E-2</v>
      </c>
      <c r="R485" t="s">
        <v>75</v>
      </c>
      <c r="S485">
        <v>3.1910000000000001E-2</v>
      </c>
      <c r="T485" t="s">
        <v>75</v>
      </c>
      <c r="U485">
        <v>3.9149999999999997E-2</v>
      </c>
      <c r="V485" t="s">
        <v>75</v>
      </c>
      <c r="W485">
        <v>4.1200000000000001E-2</v>
      </c>
      <c r="X485" t="s">
        <v>75</v>
      </c>
      <c r="Y485">
        <v>3.8309999999999997E-2</v>
      </c>
      <c r="Z485" t="s">
        <v>75</v>
      </c>
      <c r="AC485">
        <v>5.0470000000000001E-2</v>
      </c>
      <c r="AD485" t="s">
        <v>75</v>
      </c>
      <c r="AE485">
        <v>4.2549999999999998E-2</v>
      </c>
      <c r="AF485" t="s">
        <v>75</v>
      </c>
      <c r="AG485">
        <v>5.534E-2</v>
      </c>
      <c r="AH485" t="s">
        <v>75</v>
      </c>
      <c r="AI485">
        <v>0.15586</v>
      </c>
      <c r="AJ485" t="s">
        <v>75</v>
      </c>
      <c r="AK485">
        <v>4.9439999999999998E-2</v>
      </c>
      <c r="AL485" t="s">
        <v>75</v>
      </c>
      <c r="AM485">
        <v>3.5790000000000002E-2</v>
      </c>
      <c r="AN485" t="s">
        <v>75</v>
      </c>
      <c r="AO485">
        <v>3.943E-2</v>
      </c>
      <c r="AP485" t="s">
        <v>75</v>
      </c>
      <c r="AQ485">
        <v>4.6899999999999997E-2</v>
      </c>
      <c r="AR485" t="s">
        <v>75</v>
      </c>
      <c r="AS485">
        <v>2.8060000000000002E-2</v>
      </c>
      <c r="AT485" t="s">
        <v>75</v>
      </c>
      <c r="AU485">
        <v>3.6970000000000003E-2</v>
      </c>
      <c r="AV485" t="s">
        <v>75</v>
      </c>
      <c r="AW485">
        <v>3.9190000000000003E-2</v>
      </c>
      <c r="AX485" t="s">
        <v>75</v>
      </c>
      <c r="AY485">
        <v>4.8759999999999998E-2</v>
      </c>
      <c r="AZ485" t="s">
        <v>75</v>
      </c>
      <c r="BC485">
        <v>2.7400000000000001E-2</v>
      </c>
      <c r="BD485" t="s">
        <v>75</v>
      </c>
      <c r="BE485">
        <v>1.333E-2</v>
      </c>
      <c r="BF485" t="s">
        <v>75</v>
      </c>
      <c r="BG485">
        <v>3.9399999999999998E-2</v>
      </c>
      <c r="BH485" t="s">
        <v>75</v>
      </c>
      <c r="BI485">
        <v>3.8379999999999997E-2</v>
      </c>
      <c r="BJ485" t="s">
        <v>75</v>
      </c>
      <c r="BK485">
        <v>4.6609999999999999E-2</v>
      </c>
      <c r="BL485" t="s">
        <v>75</v>
      </c>
      <c r="BM485">
        <v>3.8449999999999998E-2</v>
      </c>
      <c r="BN485" t="s">
        <v>75</v>
      </c>
      <c r="BO485">
        <v>6.9690000000000002E-2</v>
      </c>
      <c r="BP485" t="s">
        <v>75</v>
      </c>
      <c r="BQ485">
        <v>0.14363999999999999</v>
      </c>
      <c r="BR485" t="s">
        <v>75</v>
      </c>
      <c r="BS485">
        <v>0.12425</v>
      </c>
      <c r="BT485" t="s">
        <v>75</v>
      </c>
      <c r="BU485">
        <v>0.21768999999999999</v>
      </c>
      <c r="BV485" t="s">
        <v>75</v>
      </c>
      <c r="BW485">
        <v>8.6330000000000004E-2</v>
      </c>
      <c r="BX485" t="s">
        <v>75</v>
      </c>
      <c r="BY485">
        <v>8.8279999999999997E-2</v>
      </c>
      <c r="BZ485" t="s">
        <v>75</v>
      </c>
      <c r="CA485">
        <v>0.19650999999999999</v>
      </c>
      <c r="CB485" t="s">
        <v>75</v>
      </c>
      <c r="CC485">
        <v>6.6400000000000001E-3</v>
      </c>
      <c r="CD485" t="s">
        <v>75</v>
      </c>
      <c r="CE485">
        <v>3.4259999999999999E-2</v>
      </c>
      <c r="CF485" t="s">
        <v>75</v>
      </c>
      <c r="CG485">
        <v>3.3160000000000002E-2</v>
      </c>
      <c r="CH485" t="s">
        <v>75</v>
      </c>
      <c r="CI485">
        <v>1.992E-2</v>
      </c>
      <c r="CJ485" t="s">
        <v>75</v>
      </c>
      <c r="CK485">
        <v>9.6970000000000001E-2</v>
      </c>
      <c r="CL485" t="s">
        <v>75</v>
      </c>
      <c r="CM485">
        <v>2.7869999999999999E-2</v>
      </c>
      <c r="CN485" t="s">
        <v>75</v>
      </c>
      <c r="CO485">
        <v>2.4639999999999999E-2</v>
      </c>
      <c r="CP485" t="s">
        <v>75</v>
      </c>
      <c r="CQ485">
        <v>1.3599999999999999E-2</v>
      </c>
      <c r="CR485" t="s">
        <v>75</v>
      </c>
      <c r="CS485">
        <v>7.9990000000000006E-2</v>
      </c>
      <c r="CT485" t="s">
        <v>75</v>
      </c>
      <c r="CW485">
        <v>1.4069999999999999E-2</v>
      </c>
      <c r="CX485" t="s">
        <v>75</v>
      </c>
      <c r="DA485">
        <v>0.18389</v>
      </c>
      <c r="DB485" t="s">
        <v>75</v>
      </c>
      <c r="DC485">
        <v>3.4880000000000001E-2</v>
      </c>
      <c r="DD485" t="s">
        <v>75</v>
      </c>
      <c r="DE485">
        <v>5.7779999999999998E-2</v>
      </c>
      <c r="DF485" t="s">
        <v>75</v>
      </c>
      <c r="DG485">
        <v>0.53181999999999996</v>
      </c>
      <c r="DH485" t="s">
        <v>75</v>
      </c>
      <c r="DI485">
        <v>0.51685000000000003</v>
      </c>
      <c r="DJ485" t="s">
        <v>75</v>
      </c>
      <c r="DO485">
        <v>3.5860000000000003E-2</v>
      </c>
      <c r="DP485" t="s">
        <v>75</v>
      </c>
    </row>
    <row r="486" spans="1:121" x14ac:dyDescent="0.2">
      <c r="D486" t="s">
        <v>65</v>
      </c>
      <c r="G486" t="s">
        <v>66</v>
      </c>
      <c r="I486" t="s">
        <v>66</v>
      </c>
      <c r="K486" t="s">
        <v>66</v>
      </c>
      <c r="M486" t="s">
        <v>66</v>
      </c>
      <c r="O486" t="s">
        <v>66</v>
      </c>
      <c r="Q486" t="s">
        <v>66</v>
      </c>
      <c r="S486" t="s">
        <v>66</v>
      </c>
      <c r="U486" t="s">
        <v>66</v>
      </c>
      <c r="W486" t="s">
        <v>66</v>
      </c>
      <c r="Y486" t="s">
        <v>66</v>
      </c>
      <c r="AA486" t="s">
        <v>66</v>
      </c>
      <c r="AC486" t="s">
        <v>66</v>
      </c>
      <c r="AE486" t="s">
        <v>66</v>
      </c>
      <c r="AG486" t="s">
        <v>66</v>
      </c>
      <c r="AI486" t="s">
        <v>66</v>
      </c>
      <c r="AK486" t="s">
        <v>66</v>
      </c>
      <c r="AM486" t="s">
        <v>66</v>
      </c>
      <c r="AO486" t="s">
        <v>66</v>
      </c>
      <c r="AQ486" t="s">
        <v>66</v>
      </c>
      <c r="AS486" t="s">
        <v>66</v>
      </c>
      <c r="AU486" t="s">
        <v>66</v>
      </c>
      <c r="AW486" t="s">
        <v>66</v>
      </c>
      <c r="AY486" t="s">
        <v>66</v>
      </c>
      <c r="BA486" t="s">
        <v>66</v>
      </c>
      <c r="BC486" t="s">
        <v>66</v>
      </c>
      <c r="BE486" t="s">
        <v>66</v>
      </c>
      <c r="BG486" t="s">
        <v>66</v>
      </c>
      <c r="BI486" t="s">
        <v>66</v>
      </c>
      <c r="BK486" t="s">
        <v>66</v>
      </c>
      <c r="BM486" t="s">
        <v>66</v>
      </c>
      <c r="BO486" t="s">
        <v>66</v>
      </c>
      <c r="BQ486" t="s">
        <v>66</v>
      </c>
      <c r="BS486" t="s">
        <v>66</v>
      </c>
      <c r="BU486" t="s">
        <v>66</v>
      </c>
      <c r="BW486" t="s">
        <v>66</v>
      </c>
      <c r="BY486" t="s">
        <v>66</v>
      </c>
      <c r="CA486" t="s">
        <v>66</v>
      </c>
      <c r="CC486" t="s">
        <v>66</v>
      </c>
      <c r="CE486" t="s">
        <v>66</v>
      </c>
      <c r="CG486" t="s">
        <v>66</v>
      </c>
      <c r="CI486" t="s">
        <v>66</v>
      </c>
      <c r="CK486" t="s">
        <v>66</v>
      </c>
      <c r="CM486" t="s">
        <v>66</v>
      </c>
      <c r="CO486" t="s">
        <v>66</v>
      </c>
      <c r="CQ486" t="s">
        <v>66</v>
      </c>
      <c r="CS486" t="s">
        <v>66</v>
      </c>
      <c r="CU486" t="s">
        <v>66</v>
      </c>
      <c r="CW486" t="s">
        <v>66</v>
      </c>
      <c r="CY486" t="s">
        <v>66</v>
      </c>
      <c r="DA486" t="s">
        <v>66</v>
      </c>
      <c r="DC486" t="s">
        <v>66</v>
      </c>
      <c r="DE486" t="s">
        <v>66</v>
      </c>
      <c r="DG486" t="s">
        <v>66</v>
      </c>
      <c r="DI486" t="s">
        <v>66</v>
      </c>
      <c r="DK486" t="s">
        <v>66</v>
      </c>
      <c r="DM486" t="s">
        <v>66</v>
      </c>
      <c r="DO486" t="s">
        <v>66</v>
      </c>
      <c r="DQ486" t="s">
        <v>66</v>
      </c>
    </row>
    <row r="487" spans="1:121" x14ac:dyDescent="0.2">
      <c r="A487" t="s">
        <v>667</v>
      </c>
      <c r="D487" t="s">
        <v>60</v>
      </c>
      <c r="E487" t="s">
        <v>61</v>
      </c>
      <c r="G487">
        <v>10109.6</v>
      </c>
      <c r="I487">
        <v>867</v>
      </c>
      <c r="K487">
        <v>8823.1</v>
      </c>
      <c r="M487">
        <v>26863.4</v>
      </c>
      <c r="O487">
        <v>246.9</v>
      </c>
      <c r="Q487">
        <v>560.6</v>
      </c>
      <c r="S487">
        <v>1585.6</v>
      </c>
      <c r="U487">
        <v>1128.8</v>
      </c>
      <c r="W487">
        <v>1641.8</v>
      </c>
      <c r="Y487">
        <v>34.4</v>
      </c>
      <c r="AA487">
        <v>2937347</v>
      </c>
      <c r="AC487">
        <v>1893.1</v>
      </c>
      <c r="AE487">
        <v>6154.6</v>
      </c>
      <c r="AG487">
        <v>2255</v>
      </c>
      <c r="AI487">
        <v>5608.2</v>
      </c>
      <c r="AK487">
        <v>406.3</v>
      </c>
      <c r="AM487">
        <v>243.8</v>
      </c>
      <c r="AO487">
        <v>135.4</v>
      </c>
      <c r="AQ487">
        <v>433.4</v>
      </c>
      <c r="AS487">
        <v>269.8</v>
      </c>
      <c r="AU487">
        <v>435.5</v>
      </c>
      <c r="AW487">
        <v>164.6</v>
      </c>
      <c r="AY487">
        <v>1793</v>
      </c>
      <c r="BA487">
        <v>676590.6</v>
      </c>
      <c r="BC487">
        <v>2392.6</v>
      </c>
      <c r="BE487">
        <v>341.7</v>
      </c>
      <c r="BG487">
        <v>616.79999999999995</v>
      </c>
      <c r="BI487">
        <v>645</v>
      </c>
      <c r="BK487">
        <v>1366.5</v>
      </c>
      <c r="BM487">
        <v>984.9</v>
      </c>
      <c r="BO487">
        <v>37470</v>
      </c>
      <c r="BQ487">
        <v>8427.5</v>
      </c>
      <c r="BS487">
        <v>12766.7</v>
      </c>
      <c r="BU487">
        <v>460449</v>
      </c>
      <c r="BW487">
        <v>539.9</v>
      </c>
      <c r="BY487">
        <v>23834.6</v>
      </c>
      <c r="CA487">
        <v>7541</v>
      </c>
      <c r="CC487">
        <v>20.399999999999999</v>
      </c>
      <c r="CE487">
        <v>132.4</v>
      </c>
      <c r="CG487">
        <v>504.7</v>
      </c>
      <c r="CI487">
        <v>111.1</v>
      </c>
      <c r="CK487">
        <v>2633.8</v>
      </c>
      <c r="CM487">
        <v>41.7</v>
      </c>
      <c r="CO487">
        <v>153.69999999999999</v>
      </c>
      <c r="CQ487">
        <v>252.8</v>
      </c>
      <c r="CS487">
        <v>589</v>
      </c>
      <c r="CU487">
        <v>260084</v>
      </c>
      <c r="CW487">
        <v>211.6</v>
      </c>
      <c r="CY487">
        <v>59957.1</v>
      </c>
      <c r="DA487">
        <v>22382.799999999999</v>
      </c>
      <c r="DC487">
        <v>1.1000000000000001</v>
      </c>
      <c r="DE487">
        <v>122.4</v>
      </c>
      <c r="DG487">
        <v>72.8</v>
      </c>
      <c r="DI487">
        <v>1531.3</v>
      </c>
      <c r="DK487">
        <v>862</v>
      </c>
      <c r="DM487">
        <v>67270</v>
      </c>
      <c r="DO487">
        <v>48.1</v>
      </c>
      <c r="DQ487">
        <v>14329.8</v>
      </c>
    </row>
    <row r="488" spans="1:121" x14ac:dyDescent="0.2">
      <c r="D488" t="s">
        <v>62</v>
      </c>
      <c r="E488" t="s">
        <v>61</v>
      </c>
      <c r="G488">
        <v>57.6</v>
      </c>
      <c r="I488">
        <v>109.5</v>
      </c>
      <c r="K488">
        <v>321.39999999999998</v>
      </c>
      <c r="M488">
        <v>530.29999999999995</v>
      </c>
      <c r="O488">
        <v>19.5</v>
      </c>
      <c r="Q488">
        <v>25.1</v>
      </c>
      <c r="S488">
        <v>73.5</v>
      </c>
      <c r="U488">
        <v>170.5</v>
      </c>
      <c r="W488">
        <v>67.900000000000006</v>
      </c>
      <c r="Y488">
        <v>16.5</v>
      </c>
      <c r="AA488">
        <v>9574.1</v>
      </c>
      <c r="AC488">
        <v>75.099999999999994</v>
      </c>
      <c r="AE488">
        <v>61.8</v>
      </c>
      <c r="AG488">
        <v>174.2</v>
      </c>
      <c r="AI488">
        <v>104.3</v>
      </c>
      <c r="AK488">
        <v>43.3</v>
      </c>
      <c r="AM488">
        <v>38.4</v>
      </c>
      <c r="AO488">
        <v>20.8</v>
      </c>
      <c r="AQ488">
        <v>63.2</v>
      </c>
      <c r="AS488">
        <v>11</v>
      </c>
      <c r="AU488">
        <v>36.6</v>
      </c>
      <c r="AW488">
        <v>14.8</v>
      </c>
      <c r="AY488">
        <v>152.69999999999999</v>
      </c>
      <c r="BA488">
        <v>5205.7</v>
      </c>
      <c r="BC488">
        <v>153.80000000000001</v>
      </c>
      <c r="BE488">
        <v>53.9</v>
      </c>
      <c r="BG488">
        <v>20.8</v>
      </c>
      <c r="BI488">
        <v>47.1</v>
      </c>
      <c r="BK488">
        <v>43</v>
      </c>
      <c r="BM488">
        <v>35.299999999999997</v>
      </c>
      <c r="BO488">
        <v>685</v>
      </c>
      <c r="BQ488">
        <v>359</v>
      </c>
      <c r="BS488">
        <v>223.2</v>
      </c>
      <c r="BU488">
        <v>2579.1999999999998</v>
      </c>
      <c r="BW488">
        <v>20.5</v>
      </c>
      <c r="BY488">
        <v>33.5</v>
      </c>
      <c r="CA488">
        <v>199.3</v>
      </c>
      <c r="CC488">
        <v>6.4</v>
      </c>
      <c r="CE488">
        <v>11.2</v>
      </c>
      <c r="CG488">
        <v>27.3</v>
      </c>
      <c r="CI488">
        <v>4.8</v>
      </c>
      <c r="CK488">
        <v>101.6</v>
      </c>
      <c r="CM488">
        <v>24.1</v>
      </c>
      <c r="CO488">
        <v>37</v>
      </c>
      <c r="CQ488">
        <v>39.200000000000003</v>
      </c>
      <c r="CS488">
        <v>27.3</v>
      </c>
      <c r="CU488">
        <v>2984.2</v>
      </c>
      <c r="CW488">
        <v>13.9</v>
      </c>
      <c r="CY488">
        <v>855.5</v>
      </c>
      <c r="DA488">
        <v>266</v>
      </c>
      <c r="DC488">
        <v>1.9</v>
      </c>
      <c r="DE488">
        <v>10.7</v>
      </c>
      <c r="DG488">
        <v>24.9</v>
      </c>
      <c r="DI488">
        <v>124.3</v>
      </c>
      <c r="DK488">
        <v>62.8</v>
      </c>
      <c r="DM488">
        <v>865.8</v>
      </c>
      <c r="DO488">
        <v>5.3</v>
      </c>
      <c r="DQ488">
        <v>55.2</v>
      </c>
    </row>
    <row r="489" spans="1:121" x14ac:dyDescent="0.2">
      <c r="D489" t="s">
        <v>63</v>
      </c>
      <c r="G489">
        <v>4.6100000000000002E-2</v>
      </c>
      <c r="H489" t="s">
        <v>75</v>
      </c>
      <c r="I489">
        <v>1.7680000000000001E-2</v>
      </c>
      <c r="J489" t="s">
        <v>75</v>
      </c>
      <c r="K489">
        <v>7.7600000000000004E-3</v>
      </c>
      <c r="L489" t="s">
        <v>75</v>
      </c>
      <c r="M489">
        <v>-6.8700000000000002E-3</v>
      </c>
      <c r="N489" t="s">
        <v>75</v>
      </c>
      <c r="O489">
        <v>3.14E-3</v>
      </c>
      <c r="P489" t="s">
        <v>75</v>
      </c>
      <c r="Q489">
        <v>2.4629999999999999E-2</v>
      </c>
      <c r="R489" t="s">
        <v>75</v>
      </c>
      <c r="S489">
        <v>6.9999999999999999E-4</v>
      </c>
      <c r="T489" t="s">
        <v>75</v>
      </c>
      <c r="U489">
        <v>1.0319999999999999E-2</v>
      </c>
      <c r="V489" t="s">
        <v>75</v>
      </c>
      <c r="W489">
        <v>7.0400000000000003E-3</v>
      </c>
      <c r="X489" t="s">
        <v>75</v>
      </c>
      <c r="Y489">
        <v>5.1000000000000004E-4</v>
      </c>
      <c r="Z489" t="s">
        <v>75</v>
      </c>
      <c r="AB489" t="s">
        <v>76</v>
      </c>
      <c r="AC489">
        <v>4.845E-2</v>
      </c>
      <c r="AD489" t="s">
        <v>75</v>
      </c>
      <c r="AE489">
        <v>6.232E-2</v>
      </c>
      <c r="AF489" t="s">
        <v>75</v>
      </c>
      <c r="AG489">
        <v>-1.4579999999999999E-2</v>
      </c>
      <c r="AH489" t="s">
        <v>75</v>
      </c>
      <c r="AI489">
        <v>3.551E-2</v>
      </c>
      <c r="AJ489" t="s">
        <v>75</v>
      </c>
      <c r="AK489">
        <v>-1.8699999999999999E-3</v>
      </c>
      <c r="AL489" t="s">
        <v>75</v>
      </c>
      <c r="AM489">
        <v>-5.4999999999999997E-3</v>
      </c>
      <c r="AN489" t="s">
        <v>75</v>
      </c>
      <c r="AO489">
        <v>1.92E-3</v>
      </c>
      <c r="AP489" t="s">
        <v>75</v>
      </c>
      <c r="AQ489">
        <v>8.9999999999999998E-4</v>
      </c>
      <c r="AR489" t="s">
        <v>75</v>
      </c>
      <c r="AS489">
        <v>1.7000000000000001E-4</v>
      </c>
      <c r="AT489" t="s">
        <v>75</v>
      </c>
      <c r="AU489">
        <v>1.64E-3</v>
      </c>
      <c r="AV489" t="s">
        <v>75</v>
      </c>
      <c r="AW489">
        <v>-4.0000000000000002E-4</v>
      </c>
      <c r="AX489" t="s">
        <v>75</v>
      </c>
      <c r="AY489">
        <v>-4.5700000000000003E-3</v>
      </c>
      <c r="AZ489" t="s">
        <v>75</v>
      </c>
      <c r="BC489">
        <v>-2.0527299999999999</v>
      </c>
      <c r="BD489" t="s">
        <v>75</v>
      </c>
      <c r="BE489">
        <v>2.8999999999999998E-3</v>
      </c>
      <c r="BF489" t="s">
        <v>75</v>
      </c>
      <c r="BG489">
        <v>-3.703E-2</v>
      </c>
      <c r="BH489" t="s">
        <v>75</v>
      </c>
      <c r="BI489">
        <v>-1.3990000000000001E-2</v>
      </c>
      <c r="BJ489" t="s">
        <v>75</v>
      </c>
      <c r="BK489">
        <v>-4.607E-2</v>
      </c>
      <c r="BL489" t="s">
        <v>75</v>
      </c>
      <c r="BM489">
        <v>-9.0699999999999999E-3</v>
      </c>
      <c r="BN489" t="s">
        <v>75</v>
      </c>
      <c r="BO489">
        <v>-0.90778000000000003</v>
      </c>
      <c r="BP489" t="s">
        <v>75</v>
      </c>
      <c r="BQ489">
        <v>-0.13589000000000001</v>
      </c>
      <c r="BR489" t="s">
        <v>75</v>
      </c>
      <c r="BS489">
        <v>-0.17534</v>
      </c>
      <c r="BT489" t="s">
        <v>75</v>
      </c>
      <c r="BU489">
        <v>-1.53071</v>
      </c>
      <c r="BV489" t="s">
        <v>75</v>
      </c>
      <c r="BW489">
        <v>-2.3810000000000001E-2</v>
      </c>
      <c r="BX489" t="s">
        <v>75</v>
      </c>
      <c r="BY489">
        <v>-1.4710000000000001</v>
      </c>
      <c r="BZ489" t="s">
        <v>75</v>
      </c>
      <c r="CA489">
        <v>0.41344999999999998</v>
      </c>
      <c r="CB489" t="s">
        <v>75</v>
      </c>
      <c r="CC489">
        <v>-9.9500000000000005E-3</v>
      </c>
      <c r="CD489" t="s">
        <v>75</v>
      </c>
      <c r="CE489">
        <v>3.2000000000000003E-4</v>
      </c>
      <c r="CF489" t="s">
        <v>75</v>
      </c>
      <c r="CG489">
        <v>-8.8000000000000005E-3</v>
      </c>
      <c r="CH489" t="s">
        <v>75</v>
      </c>
      <c r="CI489">
        <v>-2.7269999999999999E-2</v>
      </c>
      <c r="CJ489" t="s">
        <v>75</v>
      </c>
      <c r="CK489">
        <v>-0.29254000000000002</v>
      </c>
      <c r="CL489" t="s">
        <v>75</v>
      </c>
      <c r="CM489">
        <v>-6.4000000000000003E-3</v>
      </c>
      <c r="CN489" t="s">
        <v>75</v>
      </c>
      <c r="CO489">
        <v>1.8929999999999999E-2</v>
      </c>
      <c r="CP489" t="s">
        <v>75</v>
      </c>
      <c r="CQ489">
        <v>-1.9769999999999999E-2</v>
      </c>
      <c r="CR489" t="s">
        <v>75</v>
      </c>
      <c r="CS489">
        <v>5.4179999999999999E-2</v>
      </c>
      <c r="CT489" t="s">
        <v>75</v>
      </c>
      <c r="CV489" t="s">
        <v>76</v>
      </c>
      <c r="CW489">
        <v>-1.7909999999999999E-2</v>
      </c>
      <c r="CX489" t="s">
        <v>75</v>
      </c>
      <c r="DA489">
        <v>1.2906899999999999</v>
      </c>
      <c r="DB489" t="s">
        <v>75</v>
      </c>
      <c r="DC489">
        <v>-5.1000000000000004E-4</v>
      </c>
      <c r="DD489" t="s">
        <v>75</v>
      </c>
      <c r="DE489">
        <v>4.4720000000000003E-2</v>
      </c>
      <c r="DF489" t="s">
        <v>75</v>
      </c>
      <c r="DG489">
        <v>0.37415999999999999</v>
      </c>
      <c r="DH489" t="s">
        <v>75</v>
      </c>
      <c r="DI489">
        <v>2.60731</v>
      </c>
      <c r="DJ489" t="s">
        <v>75</v>
      </c>
      <c r="DL489" t="s">
        <v>76</v>
      </c>
      <c r="DN489" t="s">
        <v>76</v>
      </c>
      <c r="DO489">
        <v>-6.0000000000000002E-5</v>
      </c>
      <c r="DP489" t="s">
        <v>75</v>
      </c>
    </row>
    <row r="490" spans="1:121" x14ac:dyDescent="0.2">
      <c r="D490" t="s">
        <v>64</v>
      </c>
      <c r="G490">
        <v>1E-3</v>
      </c>
      <c r="H490" t="s">
        <v>75</v>
      </c>
      <c r="I490">
        <v>3.65E-3</v>
      </c>
      <c r="J490" t="s">
        <v>75</v>
      </c>
      <c r="K490">
        <v>4.6999999999999999E-4</v>
      </c>
      <c r="L490" t="s">
        <v>75</v>
      </c>
      <c r="M490">
        <v>3.4000000000000002E-4</v>
      </c>
      <c r="N490" t="s">
        <v>75</v>
      </c>
      <c r="O490">
        <v>2.0000000000000002E-5</v>
      </c>
      <c r="P490" t="s">
        <v>75</v>
      </c>
      <c r="Q490">
        <v>1.7000000000000001E-4</v>
      </c>
      <c r="R490" t="s">
        <v>75</v>
      </c>
      <c r="S490">
        <v>6.0000000000000002E-5</v>
      </c>
      <c r="T490" t="s">
        <v>75</v>
      </c>
      <c r="U490">
        <v>6.9999999999999999E-4</v>
      </c>
      <c r="V490" t="s">
        <v>75</v>
      </c>
      <c r="W490">
        <v>1.2999999999999999E-4</v>
      </c>
      <c r="X490" t="s">
        <v>75</v>
      </c>
      <c r="Y490">
        <v>2.5000000000000001E-4</v>
      </c>
      <c r="Z490" t="s">
        <v>75</v>
      </c>
      <c r="AC490">
        <v>2.4000000000000001E-4</v>
      </c>
      <c r="AD490" t="s">
        <v>75</v>
      </c>
      <c r="AE490">
        <v>3.6000000000000002E-4</v>
      </c>
      <c r="AF490" t="s">
        <v>75</v>
      </c>
      <c r="AG490">
        <v>1.3999999999999999E-4</v>
      </c>
      <c r="AH490" t="s">
        <v>75</v>
      </c>
      <c r="AI490">
        <v>4.0999999999999999E-4</v>
      </c>
      <c r="AJ490" t="s">
        <v>75</v>
      </c>
      <c r="AK490">
        <v>3.0000000000000001E-5</v>
      </c>
      <c r="AL490" t="s">
        <v>75</v>
      </c>
      <c r="AM490">
        <v>3.0000000000000001E-5</v>
      </c>
      <c r="AN490" t="s">
        <v>75</v>
      </c>
      <c r="AO490">
        <v>6.9999999999999994E-5</v>
      </c>
      <c r="AP490" t="s">
        <v>75</v>
      </c>
      <c r="AQ490">
        <v>2.5999999999999998E-4</v>
      </c>
      <c r="AR490" t="s">
        <v>75</v>
      </c>
      <c r="AS490">
        <v>5.0000000000000002E-5</v>
      </c>
      <c r="AT490" t="s">
        <v>75</v>
      </c>
      <c r="AU490">
        <v>2.0000000000000002E-5</v>
      </c>
      <c r="AV490" t="s">
        <v>75</v>
      </c>
      <c r="AW490">
        <v>4.0000000000000003E-5</v>
      </c>
      <c r="AX490" t="s">
        <v>75</v>
      </c>
      <c r="AY490">
        <v>5.1000000000000004E-4</v>
      </c>
      <c r="AZ490" t="s">
        <v>75</v>
      </c>
      <c r="BC490">
        <v>4.8999999999999998E-4</v>
      </c>
      <c r="BD490" t="s">
        <v>75</v>
      </c>
      <c r="BE490">
        <v>5.0000000000000002E-5</v>
      </c>
      <c r="BF490" t="s">
        <v>75</v>
      </c>
      <c r="BG490">
        <v>5.0000000000000002E-5</v>
      </c>
      <c r="BH490" t="s">
        <v>75</v>
      </c>
      <c r="BI490">
        <v>1.4999999999999999E-4</v>
      </c>
      <c r="BJ490" t="s">
        <v>75</v>
      </c>
      <c r="BK490">
        <v>6.0000000000000002E-5</v>
      </c>
      <c r="BL490" t="s">
        <v>75</v>
      </c>
      <c r="BM490">
        <v>4.0000000000000003E-5</v>
      </c>
      <c r="BN490" t="s">
        <v>75</v>
      </c>
      <c r="BO490">
        <v>7.3800000000000003E-3</v>
      </c>
      <c r="BP490" t="s">
        <v>75</v>
      </c>
      <c r="BQ490">
        <v>1.404E-2</v>
      </c>
      <c r="BR490" t="s">
        <v>75</v>
      </c>
      <c r="BS490">
        <v>6.6299999999999996E-3</v>
      </c>
      <c r="BT490" t="s">
        <v>75</v>
      </c>
      <c r="BU490">
        <v>0.37540000000000001</v>
      </c>
      <c r="BV490" t="s">
        <v>75</v>
      </c>
      <c r="BW490">
        <v>6.1999999999999998E-3</v>
      </c>
      <c r="BX490" t="s">
        <v>75</v>
      </c>
      <c r="BY490">
        <v>8.6230000000000001E-2</v>
      </c>
      <c r="BZ490" t="s">
        <v>75</v>
      </c>
      <c r="CA490">
        <v>0.15959000000000001</v>
      </c>
      <c r="CB490" t="s">
        <v>75</v>
      </c>
      <c r="CC490">
        <v>1.3500000000000001E-3</v>
      </c>
      <c r="CD490" t="s">
        <v>75</v>
      </c>
      <c r="CE490">
        <v>2.0000000000000001E-4</v>
      </c>
      <c r="CF490" t="s">
        <v>75</v>
      </c>
      <c r="CG490">
        <v>5.8E-4</v>
      </c>
      <c r="CH490" t="s">
        <v>75</v>
      </c>
      <c r="CI490">
        <v>5.0000000000000002E-5</v>
      </c>
      <c r="CJ490" t="s">
        <v>75</v>
      </c>
      <c r="CK490">
        <v>1.2600000000000001E-3</v>
      </c>
      <c r="CL490" t="s">
        <v>75</v>
      </c>
      <c r="CM490">
        <v>3.3E-4</v>
      </c>
      <c r="CN490" t="s">
        <v>75</v>
      </c>
      <c r="CO490">
        <v>2E-3</v>
      </c>
      <c r="CP490" t="s">
        <v>75</v>
      </c>
      <c r="CQ490">
        <v>1.2199999999999999E-3</v>
      </c>
      <c r="CR490" t="s">
        <v>75</v>
      </c>
      <c r="CS490">
        <v>6.5399999999999998E-3</v>
      </c>
      <c r="CT490" t="s">
        <v>75</v>
      </c>
      <c r="CW490">
        <v>4.4999999999999999E-4</v>
      </c>
      <c r="CX490" t="s">
        <v>75</v>
      </c>
      <c r="DA490">
        <v>2.3429999999999999E-2</v>
      </c>
      <c r="DB490" t="s">
        <v>75</v>
      </c>
      <c r="DC490">
        <v>9.7000000000000005E-4</v>
      </c>
      <c r="DD490" t="s">
        <v>75</v>
      </c>
      <c r="DE490">
        <v>5.3499999999999997E-3</v>
      </c>
      <c r="DF490" t="s">
        <v>75</v>
      </c>
      <c r="DG490">
        <v>0.14979000000000001</v>
      </c>
      <c r="DH490" t="s">
        <v>75</v>
      </c>
      <c r="DI490">
        <v>0.23479</v>
      </c>
      <c r="DJ490" t="s">
        <v>75</v>
      </c>
      <c r="DO490">
        <v>8.8000000000000003E-4</v>
      </c>
      <c r="DP490" t="s">
        <v>75</v>
      </c>
    </row>
    <row r="491" spans="1:121" x14ac:dyDescent="0.2">
      <c r="D491" t="s">
        <v>65</v>
      </c>
      <c r="G491" t="s">
        <v>66</v>
      </c>
      <c r="I491" t="s">
        <v>66</v>
      </c>
      <c r="K491" t="s">
        <v>66</v>
      </c>
      <c r="M491" t="s">
        <v>66</v>
      </c>
      <c r="O491" t="s">
        <v>66</v>
      </c>
      <c r="Q491" t="s">
        <v>66</v>
      </c>
      <c r="S491" t="s">
        <v>66</v>
      </c>
      <c r="U491" t="s">
        <v>66</v>
      </c>
      <c r="W491" t="s">
        <v>66</v>
      </c>
      <c r="Y491" t="s">
        <v>66</v>
      </c>
      <c r="AA491" t="s">
        <v>66</v>
      </c>
      <c r="AC491" t="s">
        <v>66</v>
      </c>
      <c r="AE491" t="s">
        <v>66</v>
      </c>
      <c r="AG491" t="s">
        <v>66</v>
      </c>
      <c r="AI491" t="s">
        <v>66</v>
      </c>
      <c r="AK491" t="s">
        <v>66</v>
      </c>
      <c r="AM491" t="s">
        <v>66</v>
      </c>
      <c r="AO491" t="s">
        <v>66</v>
      </c>
      <c r="AQ491" t="s">
        <v>66</v>
      </c>
      <c r="AS491" t="s">
        <v>66</v>
      </c>
      <c r="AU491" t="s">
        <v>66</v>
      </c>
      <c r="AW491" t="s">
        <v>66</v>
      </c>
      <c r="AY491" t="s">
        <v>66</v>
      </c>
      <c r="BA491" t="s">
        <v>66</v>
      </c>
      <c r="BC491" t="s">
        <v>66</v>
      </c>
      <c r="BE491" t="s">
        <v>66</v>
      </c>
      <c r="BG491" t="s">
        <v>66</v>
      </c>
      <c r="BI491" t="s">
        <v>66</v>
      </c>
      <c r="BK491" t="s">
        <v>66</v>
      </c>
      <c r="BM491" t="s">
        <v>66</v>
      </c>
      <c r="BO491" t="s">
        <v>66</v>
      </c>
      <c r="BQ491" t="s">
        <v>66</v>
      </c>
      <c r="BS491" t="s">
        <v>66</v>
      </c>
      <c r="BU491" t="s">
        <v>66</v>
      </c>
      <c r="BW491" t="s">
        <v>66</v>
      </c>
      <c r="BY491" t="s">
        <v>66</v>
      </c>
      <c r="CA491" t="s">
        <v>66</v>
      </c>
      <c r="CC491" t="s">
        <v>66</v>
      </c>
      <c r="CE491" t="s">
        <v>66</v>
      </c>
      <c r="CG491" t="s">
        <v>66</v>
      </c>
      <c r="CI491" t="s">
        <v>66</v>
      </c>
      <c r="CK491" t="s">
        <v>66</v>
      </c>
      <c r="CM491" t="s">
        <v>66</v>
      </c>
      <c r="CO491" t="s">
        <v>66</v>
      </c>
      <c r="CQ491" t="s">
        <v>66</v>
      </c>
      <c r="CS491" t="s">
        <v>66</v>
      </c>
      <c r="CU491" t="s">
        <v>66</v>
      </c>
      <c r="CW491" t="s">
        <v>66</v>
      </c>
      <c r="CY491" t="s">
        <v>66</v>
      </c>
      <c r="DA491" t="s">
        <v>66</v>
      </c>
      <c r="DC491" t="s">
        <v>66</v>
      </c>
      <c r="DE491" t="s">
        <v>66</v>
      </c>
      <c r="DG491" t="s">
        <v>66</v>
      </c>
      <c r="DI491" t="s">
        <v>66</v>
      </c>
      <c r="DK491" t="s">
        <v>66</v>
      </c>
      <c r="DM491" t="s">
        <v>66</v>
      </c>
      <c r="DO491" t="s">
        <v>66</v>
      </c>
      <c r="DQ491" t="s">
        <v>66</v>
      </c>
    </row>
    <row r="492" spans="1:121" x14ac:dyDescent="0.2">
      <c r="A492" t="s">
        <v>668</v>
      </c>
      <c r="D492" t="s">
        <v>60</v>
      </c>
      <c r="E492" t="s">
        <v>61</v>
      </c>
      <c r="G492">
        <v>20238.599999999999</v>
      </c>
      <c r="I492">
        <v>744.8</v>
      </c>
      <c r="K492">
        <v>1168983.8</v>
      </c>
      <c r="M492">
        <v>139981.1</v>
      </c>
      <c r="O492">
        <v>581.5</v>
      </c>
      <c r="Q492">
        <v>18975.400000000001</v>
      </c>
      <c r="S492">
        <v>2369.8000000000002</v>
      </c>
      <c r="U492">
        <v>1170.5</v>
      </c>
      <c r="W492">
        <v>43833.599999999999</v>
      </c>
      <c r="Y492">
        <v>33996.1</v>
      </c>
      <c r="AA492">
        <v>3091851.7</v>
      </c>
      <c r="AC492">
        <v>3204477.3</v>
      </c>
      <c r="AE492">
        <v>1562584.8</v>
      </c>
      <c r="AG492">
        <v>99058.3</v>
      </c>
      <c r="AI492">
        <v>166809.29999999999</v>
      </c>
      <c r="AK492">
        <v>1977.6</v>
      </c>
      <c r="AM492">
        <v>1996.3</v>
      </c>
      <c r="AO492">
        <v>167.7</v>
      </c>
      <c r="AQ492">
        <v>382.4</v>
      </c>
      <c r="AS492">
        <v>265.7</v>
      </c>
      <c r="AU492">
        <v>175</v>
      </c>
      <c r="AW492">
        <v>124</v>
      </c>
      <c r="AY492">
        <v>5405.7</v>
      </c>
      <c r="BA492">
        <v>674377.3</v>
      </c>
      <c r="BC492">
        <v>2330.1</v>
      </c>
      <c r="BE492">
        <v>121972.5</v>
      </c>
      <c r="BG492">
        <v>2359065.7000000002</v>
      </c>
      <c r="BI492">
        <v>1943289.3</v>
      </c>
      <c r="BK492">
        <v>4483933.8</v>
      </c>
      <c r="BM492">
        <v>235820.7</v>
      </c>
      <c r="BO492">
        <v>5510013.2999999998</v>
      </c>
      <c r="BQ492">
        <v>44497.7</v>
      </c>
      <c r="BS492">
        <v>163932.6</v>
      </c>
      <c r="BU492">
        <v>1730341.3</v>
      </c>
      <c r="BW492">
        <v>14666.3</v>
      </c>
      <c r="BY492">
        <v>2086655.7</v>
      </c>
      <c r="CA492">
        <v>28566.1</v>
      </c>
      <c r="CC492">
        <v>267.60000000000002</v>
      </c>
      <c r="CE492">
        <v>758.7</v>
      </c>
      <c r="CG492">
        <v>18500.400000000001</v>
      </c>
      <c r="CI492">
        <v>74882.3</v>
      </c>
      <c r="CK492">
        <v>388454</v>
      </c>
      <c r="CM492">
        <v>645.5</v>
      </c>
      <c r="CO492">
        <v>4263.5</v>
      </c>
      <c r="CQ492">
        <v>169590.5</v>
      </c>
      <c r="CS492">
        <v>383358.5</v>
      </c>
      <c r="CU492">
        <v>271506.90000000002</v>
      </c>
      <c r="CW492">
        <v>307437.09999999998</v>
      </c>
      <c r="CY492">
        <v>60783.5</v>
      </c>
      <c r="DA492">
        <v>8418232.3000000007</v>
      </c>
      <c r="DC492">
        <v>19.399999999999999</v>
      </c>
      <c r="DE492">
        <v>158847.9</v>
      </c>
      <c r="DG492">
        <v>589.4</v>
      </c>
      <c r="DI492">
        <v>3069</v>
      </c>
      <c r="DK492">
        <v>794.1</v>
      </c>
      <c r="DM492">
        <v>69066.399999999994</v>
      </c>
      <c r="DO492">
        <v>68459.199999999997</v>
      </c>
      <c r="DQ492">
        <v>14662</v>
      </c>
    </row>
    <row r="493" spans="1:121" x14ac:dyDescent="0.2">
      <c r="D493" t="s">
        <v>62</v>
      </c>
      <c r="E493" t="s">
        <v>61</v>
      </c>
      <c r="G493">
        <v>422.2</v>
      </c>
      <c r="I493">
        <v>59.9</v>
      </c>
      <c r="K493">
        <v>11463.3</v>
      </c>
      <c r="M493">
        <v>1305.5</v>
      </c>
      <c r="O493">
        <v>24.4</v>
      </c>
      <c r="Q493">
        <v>108.1</v>
      </c>
      <c r="S493">
        <v>116.7</v>
      </c>
      <c r="U493">
        <v>153.1</v>
      </c>
      <c r="W493">
        <v>952.8</v>
      </c>
      <c r="Y493">
        <v>527.29999999999995</v>
      </c>
      <c r="AA493">
        <v>43341.7</v>
      </c>
      <c r="AC493">
        <v>27888.1</v>
      </c>
      <c r="AE493">
        <v>22774.7</v>
      </c>
      <c r="AG493">
        <v>902.9</v>
      </c>
      <c r="AI493">
        <v>2757.4</v>
      </c>
      <c r="AK493">
        <v>6.5</v>
      </c>
      <c r="AM493">
        <v>159.6</v>
      </c>
      <c r="AO493">
        <v>14.4</v>
      </c>
      <c r="AQ493">
        <v>9.5</v>
      </c>
      <c r="AS493">
        <v>23.6</v>
      </c>
      <c r="AU493">
        <v>13.6</v>
      </c>
      <c r="AW493">
        <v>16</v>
      </c>
      <c r="AY493">
        <v>21.6</v>
      </c>
      <c r="BA493">
        <v>10528.2</v>
      </c>
      <c r="BC493">
        <v>26.7</v>
      </c>
      <c r="BE493">
        <v>708.9</v>
      </c>
      <c r="BG493">
        <v>43281.1</v>
      </c>
      <c r="BI493">
        <v>9996.4</v>
      </c>
      <c r="BK493">
        <v>57832.5</v>
      </c>
      <c r="BM493">
        <v>1507.9</v>
      </c>
      <c r="BO493">
        <v>79144.7</v>
      </c>
      <c r="BQ493">
        <v>1121</v>
      </c>
      <c r="BS493">
        <v>6659.3</v>
      </c>
      <c r="BU493">
        <v>21927.5</v>
      </c>
      <c r="BW493">
        <v>443.4</v>
      </c>
      <c r="BY493">
        <v>1988.5</v>
      </c>
      <c r="CA493">
        <v>946.5</v>
      </c>
      <c r="CC493">
        <v>18.100000000000001</v>
      </c>
      <c r="CE493">
        <v>29.4</v>
      </c>
      <c r="CG493">
        <v>369.2</v>
      </c>
      <c r="CI493">
        <v>614.20000000000005</v>
      </c>
      <c r="CK493">
        <v>2030.9</v>
      </c>
      <c r="CM493">
        <v>58</v>
      </c>
      <c r="CO493">
        <v>108.7</v>
      </c>
      <c r="CQ493">
        <v>1754.2</v>
      </c>
      <c r="CS493">
        <v>1138.5</v>
      </c>
      <c r="CU493">
        <v>1222.5999999999999</v>
      </c>
      <c r="CW493">
        <v>1946.9</v>
      </c>
      <c r="CY493">
        <v>1144.9000000000001</v>
      </c>
      <c r="DA493">
        <v>47054.400000000001</v>
      </c>
      <c r="DC493">
        <v>9.5</v>
      </c>
      <c r="DE493">
        <v>1397.2</v>
      </c>
      <c r="DG493">
        <v>16.7</v>
      </c>
      <c r="DI493">
        <v>31.5</v>
      </c>
      <c r="DK493">
        <v>30.9</v>
      </c>
      <c r="DM493">
        <v>1558</v>
      </c>
      <c r="DO493">
        <v>634.29999999999995</v>
      </c>
      <c r="DQ493">
        <v>433.8</v>
      </c>
    </row>
    <row r="494" spans="1:121" x14ac:dyDescent="0.2">
      <c r="D494" t="s">
        <v>63</v>
      </c>
      <c r="G494">
        <v>0.12723999999999999</v>
      </c>
      <c r="H494" t="s">
        <v>75</v>
      </c>
      <c r="I494">
        <v>1.35E-2</v>
      </c>
      <c r="J494" t="s">
        <v>75</v>
      </c>
      <c r="K494">
        <v>1.4914799999999999</v>
      </c>
      <c r="L494" t="s">
        <v>75</v>
      </c>
      <c r="M494">
        <v>0.10877000000000001</v>
      </c>
      <c r="N494" t="s">
        <v>75</v>
      </c>
      <c r="O494">
        <v>3.4199999999999999E-3</v>
      </c>
      <c r="P494" t="s">
        <v>75</v>
      </c>
      <c r="Q494">
        <v>0.14418</v>
      </c>
      <c r="R494" t="s">
        <v>75</v>
      </c>
      <c r="S494">
        <v>1.39E-3</v>
      </c>
      <c r="T494" t="s">
        <v>75</v>
      </c>
      <c r="U494">
        <v>1.052E-2</v>
      </c>
      <c r="V494" t="s">
        <v>75</v>
      </c>
      <c r="W494">
        <v>9.7009999999999999E-2</v>
      </c>
      <c r="X494" t="s">
        <v>75</v>
      </c>
      <c r="Y494">
        <v>0.50753000000000004</v>
      </c>
      <c r="Z494" t="s">
        <v>75</v>
      </c>
      <c r="AB494" t="s">
        <v>76</v>
      </c>
      <c r="AC494">
        <v>11.502789999999999</v>
      </c>
      <c r="AD494" t="s">
        <v>75</v>
      </c>
      <c r="AE494">
        <v>5.9238600000000003</v>
      </c>
      <c r="AF494" t="s">
        <v>75</v>
      </c>
      <c r="AG494">
        <v>6.1839999999999999E-2</v>
      </c>
      <c r="AH494" t="s">
        <v>75</v>
      </c>
      <c r="AI494">
        <v>1.0601799999999999</v>
      </c>
      <c r="AJ494" t="s">
        <v>75</v>
      </c>
      <c r="AK494">
        <v>-7.7999999999999999E-4</v>
      </c>
      <c r="AL494" t="s">
        <v>75</v>
      </c>
      <c r="AM494">
        <v>-4.1799999999999997E-3</v>
      </c>
      <c r="AN494" t="s">
        <v>75</v>
      </c>
      <c r="AO494">
        <v>2.0400000000000001E-3</v>
      </c>
      <c r="AP494" t="s">
        <v>75</v>
      </c>
      <c r="AQ494">
        <v>6.8999999999999997E-4</v>
      </c>
      <c r="AR494" t="s">
        <v>75</v>
      </c>
      <c r="AS494">
        <v>1.4999999999999999E-4</v>
      </c>
      <c r="AT494" t="s">
        <v>75</v>
      </c>
      <c r="AU494">
        <v>1.47E-3</v>
      </c>
      <c r="AV494" t="s">
        <v>75</v>
      </c>
      <c r="AW494">
        <v>-5.0000000000000001E-4</v>
      </c>
      <c r="AX494" t="s">
        <v>75</v>
      </c>
      <c r="AY494">
        <v>7.1700000000000002E-3</v>
      </c>
      <c r="AZ494" t="s">
        <v>75</v>
      </c>
      <c r="BC494">
        <v>-2.0529000000000002</v>
      </c>
      <c r="BD494" t="s">
        <v>75</v>
      </c>
      <c r="BE494">
        <v>0.11966</v>
      </c>
      <c r="BF494" t="s">
        <v>75</v>
      </c>
      <c r="BG494">
        <v>6.7794100000000004</v>
      </c>
      <c r="BH494" t="s">
        <v>75</v>
      </c>
      <c r="BI494">
        <v>6.4416799999999999</v>
      </c>
      <c r="BJ494" t="s">
        <v>75</v>
      </c>
      <c r="BK494">
        <v>6.4528299999999996</v>
      </c>
      <c r="BL494" t="s">
        <v>75</v>
      </c>
      <c r="BM494">
        <v>0.21285000000000001</v>
      </c>
      <c r="BN494" t="s">
        <v>75</v>
      </c>
      <c r="BO494">
        <v>117.60335000000001</v>
      </c>
      <c r="BP494" t="s">
        <v>75</v>
      </c>
      <c r="BQ494">
        <v>1.0574699999999999</v>
      </c>
      <c r="BR494" t="s">
        <v>75</v>
      </c>
      <c r="BS494">
        <v>3.14331</v>
      </c>
      <c r="BT494" t="s">
        <v>75</v>
      </c>
      <c r="BU494">
        <v>49.733330000000002</v>
      </c>
      <c r="BV494" t="s">
        <v>75</v>
      </c>
      <c r="BW494">
        <v>5.8564499999999997</v>
      </c>
      <c r="BX494" t="s">
        <v>75</v>
      </c>
      <c r="BY494">
        <v>567.00705000000005</v>
      </c>
      <c r="BZ494" t="s">
        <v>75</v>
      </c>
      <c r="CA494">
        <v>11.40503</v>
      </c>
      <c r="CB494" t="s">
        <v>75</v>
      </c>
      <c r="CC494">
        <v>4.1759999999999999E-2</v>
      </c>
      <c r="CD494" t="s">
        <v>75</v>
      </c>
      <c r="CE494">
        <v>9.4400000000000005E-3</v>
      </c>
      <c r="CF494" t="s">
        <v>75</v>
      </c>
      <c r="CG494">
        <v>0.29200999999999999</v>
      </c>
      <c r="CH494" t="s">
        <v>75</v>
      </c>
      <c r="CI494">
        <v>0.92976999999999999</v>
      </c>
      <c r="CJ494" t="s">
        <v>75</v>
      </c>
      <c r="CK494">
        <v>5.0664600000000002</v>
      </c>
      <c r="CL494" t="s">
        <v>75</v>
      </c>
      <c r="CM494">
        <v>2E-3</v>
      </c>
      <c r="CN494" t="s">
        <v>75</v>
      </c>
      <c r="CO494">
        <v>0.24684</v>
      </c>
      <c r="CP494" t="s">
        <v>75</v>
      </c>
      <c r="CQ494">
        <v>5.0056099999999999</v>
      </c>
      <c r="CR494" t="s">
        <v>75</v>
      </c>
      <c r="CS494">
        <v>98.292699999999996</v>
      </c>
      <c r="CT494" t="s">
        <v>75</v>
      </c>
      <c r="CV494" t="s">
        <v>76</v>
      </c>
      <c r="CW494">
        <v>11.17301</v>
      </c>
      <c r="CX494" t="s">
        <v>75</v>
      </c>
      <c r="DA494">
        <v>558.13944000000004</v>
      </c>
      <c r="DB494" t="s">
        <v>75</v>
      </c>
      <c r="DC494">
        <v>8.3700000000000007E-3</v>
      </c>
      <c r="DD494" t="s">
        <v>75</v>
      </c>
      <c r="DE494">
        <v>79.974999999999994</v>
      </c>
      <c r="DF494" t="s">
        <v>75</v>
      </c>
      <c r="DG494">
        <v>3.3858600000000001</v>
      </c>
      <c r="DH494" t="s">
        <v>75</v>
      </c>
      <c r="DI494">
        <v>5.5590299999999999</v>
      </c>
      <c r="DJ494" t="s">
        <v>75</v>
      </c>
      <c r="DL494" t="s">
        <v>76</v>
      </c>
      <c r="DN494" t="s">
        <v>76</v>
      </c>
      <c r="DO494">
        <v>11.259410000000001</v>
      </c>
      <c r="DP494" t="s">
        <v>75</v>
      </c>
    </row>
    <row r="495" spans="1:121" x14ac:dyDescent="0.2">
      <c r="D495" t="s">
        <v>64</v>
      </c>
      <c r="G495">
        <v>1.5200000000000001E-3</v>
      </c>
      <c r="H495" t="s">
        <v>75</v>
      </c>
      <c r="I495">
        <v>1.8600000000000001E-3</v>
      </c>
      <c r="J495" t="s">
        <v>75</v>
      </c>
      <c r="K495">
        <v>3.7940000000000002E-2</v>
      </c>
      <c r="L495" t="s">
        <v>75</v>
      </c>
      <c r="M495">
        <v>2.5200000000000001E-3</v>
      </c>
      <c r="N495" t="s">
        <v>75</v>
      </c>
      <c r="O495">
        <v>1.0000000000000001E-5</v>
      </c>
      <c r="P495" t="s">
        <v>75</v>
      </c>
      <c r="Q495">
        <v>2.4599999999999999E-3</v>
      </c>
      <c r="R495" t="s">
        <v>75</v>
      </c>
      <c r="S495">
        <v>1.2999999999999999E-4</v>
      </c>
      <c r="T495" t="s">
        <v>75</v>
      </c>
      <c r="U495">
        <v>6.8999999999999997E-4</v>
      </c>
      <c r="V495" t="s">
        <v>75</v>
      </c>
      <c r="W495">
        <v>1.47E-3</v>
      </c>
      <c r="X495" t="s">
        <v>75</v>
      </c>
      <c r="Y495">
        <v>1.166E-2</v>
      </c>
      <c r="Z495" t="s">
        <v>75</v>
      </c>
      <c r="AC495">
        <v>0.19511000000000001</v>
      </c>
      <c r="AD495" t="s">
        <v>75</v>
      </c>
      <c r="AE495">
        <v>0.17122999999999999</v>
      </c>
      <c r="AF495" t="s">
        <v>75</v>
      </c>
      <c r="AG495">
        <v>1.8400000000000001E-3</v>
      </c>
      <c r="AH495" t="s">
        <v>75</v>
      </c>
      <c r="AI495">
        <v>3.3360000000000001E-2</v>
      </c>
      <c r="AJ495" t="s">
        <v>75</v>
      </c>
      <c r="AK495">
        <v>2.0000000000000002E-5</v>
      </c>
      <c r="AL495" t="s">
        <v>75</v>
      </c>
      <c r="AM495">
        <v>1.3999999999999999E-4</v>
      </c>
      <c r="AN495" t="s">
        <v>75</v>
      </c>
      <c r="AO495">
        <v>5.0000000000000002E-5</v>
      </c>
      <c r="AP495" t="s">
        <v>75</v>
      </c>
      <c r="AQ495">
        <v>2.0000000000000002E-5</v>
      </c>
      <c r="AR495" t="s">
        <v>75</v>
      </c>
      <c r="AS495">
        <v>1.2E-4</v>
      </c>
      <c r="AT495" t="s">
        <v>75</v>
      </c>
      <c r="AU495">
        <v>1.0000000000000001E-5</v>
      </c>
      <c r="AV495" t="s">
        <v>75</v>
      </c>
      <c r="AW495">
        <v>4.0000000000000003E-5</v>
      </c>
      <c r="AX495" t="s">
        <v>75</v>
      </c>
      <c r="AY495">
        <v>2.1000000000000001E-4</v>
      </c>
      <c r="AZ495" t="s">
        <v>75</v>
      </c>
      <c r="BC495">
        <v>1.9000000000000001E-4</v>
      </c>
      <c r="BD495" t="s">
        <v>75</v>
      </c>
      <c r="BE495">
        <v>1.64E-3</v>
      </c>
      <c r="BF495" t="s">
        <v>75</v>
      </c>
      <c r="BG495">
        <v>8.4339999999999998E-2</v>
      </c>
      <c r="BH495" t="s">
        <v>75</v>
      </c>
      <c r="BI495">
        <v>0.10065</v>
      </c>
      <c r="BJ495" t="s">
        <v>75</v>
      </c>
      <c r="BK495">
        <v>8.4379999999999997E-2</v>
      </c>
      <c r="BL495" t="s">
        <v>75</v>
      </c>
      <c r="BM495">
        <v>4.7999999999999996E-3</v>
      </c>
      <c r="BN495" t="s">
        <v>75</v>
      </c>
      <c r="BO495">
        <v>0.54874999999999996</v>
      </c>
      <c r="BP495" t="s">
        <v>75</v>
      </c>
      <c r="BQ495">
        <v>9.7400000000000004E-3</v>
      </c>
      <c r="BR495" t="s">
        <v>75</v>
      </c>
      <c r="BS495">
        <v>8.2390000000000005E-2</v>
      </c>
      <c r="BT495" t="s">
        <v>75</v>
      </c>
      <c r="BU495">
        <v>0.42836000000000002</v>
      </c>
      <c r="BV495" t="s">
        <v>75</v>
      </c>
      <c r="BW495">
        <v>0.21956999999999999</v>
      </c>
      <c r="BX495" t="s">
        <v>75</v>
      </c>
      <c r="BY495">
        <v>10.355689999999999</v>
      </c>
      <c r="BZ495" t="s">
        <v>75</v>
      </c>
      <c r="CA495">
        <v>0.23619999999999999</v>
      </c>
      <c r="CB495" t="s">
        <v>75</v>
      </c>
      <c r="CC495">
        <v>4.0600000000000002E-3</v>
      </c>
      <c r="CD495" t="s">
        <v>75</v>
      </c>
      <c r="CE495">
        <v>2.3000000000000001E-4</v>
      </c>
      <c r="CF495" t="s">
        <v>75</v>
      </c>
      <c r="CG495">
        <v>7.9699999999999997E-3</v>
      </c>
      <c r="CH495" t="s">
        <v>75</v>
      </c>
      <c r="CI495">
        <v>1.1520000000000001E-2</v>
      </c>
      <c r="CJ495" t="s">
        <v>75</v>
      </c>
      <c r="CK495">
        <v>7.3020000000000002E-2</v>
      </c>
      <c r="CL495" t="s">
        <v>75</v>
      </c>
      <c r="CM495">
        <v>6.4000000000000005E-4</v>
      </c>
      <c r="CN495" t="s">
        <v>75</v>
      </c>
      <c r="CO495">
        <v>7.1199999999999996E-3</v>
      </c>
      <c r="CP495" t="s">
        <v>75</v>
      </c>
      <c r="CQ495">
        <v>8.7209999999999996E-2</v>
      </c>
      <c r="CR495" t="s">
        <v>75</v>
      </c>
      <c r="CS495">
        <v>1.55443</v>
      </c>
      <c r="CT495" t="s">
        <v>75</v>
      </c>
      <c r="CW495">
        <v>0.27883000000000002</v>
      </c>
      <c r="CX495" t="s">
        <v>75</v>
      </c>
      <c r="DA495">
        <v>17.862939999999998</v>
      </c>
      <c r="DB495" t="s">
        <v>75</v>
      </c>
      <c r="DC495">
        <v>4.3499999999999997E-3</v>
      </c>
      <c r="DD495" t="s">
        <v>75</v>
      </c>
      <c r="DE495">
        <v>2.8973200000000001</v>
      </c>
      <c r="DF495" t="s">
        <v>75</v>
      </c>
      <c r="DG495">
        <v>3.2559999999999999E-2</v>
      </c>
      <c r="DH495" t="s">
        <v>75</v>
      </c>
      <c r="DI495">
        <v>0.14616000000000001</v>
      </c>
      <c r="DJ495" t="s">
        <v>75</v>
      </c>
      <c r="DO495">
        <v>0.32174999999999998</v>
      </c>
      <c r="DP495" t="s">
        <v>75</v>
      </c>
    </row>
    <row r="496" spans="1:121" x14ac:dyDescent="0.2">
      <c r="D496" t="s">
        <v>65</v>
      </c>
      <c r="G496" t="s">
        <v>66</v>
      </c>
      <c r="I496" t="s">
        <v>66</v>
      </c>
      <c r="K496" t="s">
        <v>66</v>
      </c>
      <c r="M496" t="s">
        <v>66</v>
      </c>
      <c r="O496" t="s">
        <v>66</v>
      </c>
      <c r="Q496" t="s">
        <v>66</v>
      </c>
      <c r="S496" t="s">
        <v>66</v>
      </c>
      <c r="U496" t="s">
        <v>66</v>
      </c>
      <c r="W496" t="s">
        <v>66</v>
      </c>
      <c r="Y496" t="s">
        <v>66</v>
      </c>
      <c r="AA496" t="s">
        <v>66</v>
      </c>
      <c r="AC496" t="s">
        <v>66</v>
      </c>
      <c r="AE496" t="s">
        <v>66</v>
      </c>
      <c r="AG496" t="s">
        <v>66</v>
      </c>
      <c r="AI496" t="s">
        <v>66</v>
      </c>
      <c r="AK496" t="s">
        <v>66</v>
      </c>
      <c r="AM496" t="s">
        <v>66</v>
      </c>
      <c r="AO496" t="s">
        <v>66</v>
      </c>
      <c r="AQ496" t="s">
        <v>66</v>
      </c>
      <c r="AS496" t="s">
        <v>66</v>
      </c>
      <c r="AU496" t="s">
        <v>66</v>
      </c>
      <c r="AW496" t="s">
        <v>66</v>
      </c>
      <c r="AY496" t="s">
        <v>66</v>
      </c>
      <c r="BA496" t="s">
        <v>66</v>
      </c>
      <c r="BC496" t="s">
        <v>66</v>
      </c>
      <c r="BE496" t="s">
        <v>66</v>
      </c>
      <c r="BG496" t="s">
        <v>66</v>
      </c>
      <c r="BI496" t="s">
        <v>66</v>
      </c>
      <c r="BK496" t="s">
        <v>66</v>
      </c>
      <c r="BM496" t="s">
        <v>66</v>
      </c>
      <c r="BO496" t="s">
        <v>66</v>
      </c>
      <c r="BQ496" t="s">
        <v>66</v>
      </c>
      <c r="BS496" t="s">
        <v>66</v>
      </c>
      <c r="BU496" t="s">
        <v>66</v>
      </c>
      <c r="BW496" t="s">
        <v>66</v>
      </c>
      <c r="BY496" t="s">
        <v>66</v>
      </c>
      <c r="CA496" t="s">
        <v>66</v>
      </c>
      <c r="CC496" t="s">
        <v>66</v>
      </c>
      <c r="CE496" t="s">
        <v>66</v>
      </c>
      <c r="CG496" t="s">
        <v>66</v>
      </c>
      <c r="CI496" t="s">
        <v>66</v>
      </c>
      <c r="CK496" t="s">
        <v>66</v>
      </c>
      <c r="CM496" t="s">
        <v>66</v>
      </c>
      <c r="CO496" t="s">
        <v>66</v>
      </c>
      <c r="CQ496" t="s">
        <v>66</v>
      </c>
      <c r="CS496" t="s">
        <v>66</v>
      </c>
      <c r="CU496" t="s">
        <v>66</v>
      </c>
      <c r="CW496" t="s">
        <v>66</v>
      </c>
      <c r="CY496" t="s">
        <v>66</v>
      </c>
      <c r="DA496" t="s">
        <v>66</v>
      </c>
      <c r="DC496" t="s">
        <v>66</v>
      </c>
      <c r="DE496" t="s">
        <v>66</v>
      </c>
      <c r="DG496" t="s">
        <v>66</v>
      </c>
      <c r="DI496" t="s">
        <v>66</v>
      </c>
      <c r="DK496" t="s">
        <v>66</v>
      </c>
      <c r="DM496" t="s">
        <v>66</v>
      </c>
      <c r="DO496" t="s">
        <v>66</v>
      </c>
      <c r="DQ496" t="s">
        <v>66</v>
      </c>
    </row>
    <row r="497" spans="1:121" x14ac:dyDescent="0.2">
      <c r="A497" t="s">
        <v>669</v>
      </c>
      <c r="D497" t="s">
        <v>60</v>
      </c>
      <c r="E497" t="s">
        <v>61</v>
      </c>
      <c r="G497">
        <v>24843.8</v>
      </c>
      <c r="I497">
        <v>755.9</v>
      </c>
      <c r="K497">
        <v>1675299.8</v>
      </c>
      <c r="M497">
        <v>167151.9</v>
      </c>
      <c r="O497">
        <v>689.8</v>
      </c>
      <c r="Q497">
        <v>27583.8</v>
      </c>
      <c r="S497">
        <v>2190.4</v>
      </c>
      <c r="U497">
        <v>1183</v>
      </c>
      <c r="W497">
        <v>62360.7</v>
      </c>
      <c r="Y497">
        <v>41406.5</v>
      </c>
      <c r="AA497">
        <v>3084258.3</v>
      </c>
      <c r="AC497">
        <v>3577221</v>
      </c>
      <c r="AE497">
        <v>1616980.3</v>
      </c>
      <c r="AG497">
        <v>141708.20000000001</v>
      </c>
      <c r="AI497">
        <v>219633.3</v>
      </c>
      <c r="AK497">
        <v>31624.2</v>
      </c>
      <c r="AM497">
        <v>34504.6</v>
      </c>
      <c r="AO497">
        <v>289.60000000000002</v>
      </c>
      <c r="AQ497">
        <v>406.3</v>
      </c>
      <c r="AS497">
        <v>241.7</v>
      </c>
      <c r="AU497">
        <v>197.9</v>
      </c>
      <c r="AW497">
        <v>140.6</v>
      </c>
      <c r="AY497">
        <v>10849</v>
      </c>
      <c r="BA497">
        <v>681101.6</v>
      </c>
      <c r="BC497">
        <v>2069.4</v>
      </c>
      <c r="BE497">
        <v>179955.1</v>
      </c>
      <c r="BG497">
        <v>3202232.7</v>
      </c>
      <c r="BI497">
        <v>2594970.2999999998</v>
      </c>
      <c r="BK497">
        <v>5837475.2999999998</v>
      </c>
      <c r="BM497">
        <v>378335.9</v>
      </c>
      <c r="BO497">
        <v>7251234.0999999996</v>
      </c>
      <c r="BQ497">
        <v>62268.3</v>
      </c>
      <c r="BS497">
        <v>289744.40000000002</v>
      </c>
      <c r="BU497">
        <v>1654667.9</v>
      </c>
      <c r="BW497">
        <v>15092.9</v>
      </c>
      <c r="BY497">
        <v>2996948.1</v>
      </c>
      <c r="CA497">
        <v>53605</v>
      </c>
      <c r="CC497">
        <v>263</v>
      </c>
      <c r="CE497">
        <v>924.5</v>
      </c>
      <c r="CG497">
        <v>21660.6</v>
      </c>
      <c r="CI497">
        <v>84806.2</v>
      </c>
      <c r="CK497">
        <v>486253</v>
      </c>
      <c r="CM497">
        <v>564</v>
      </c>
      <c r="CO497">
        <v>2739.5</v>
      </c>
      <c r="CQ497">
        <v>205716</v>
      </c>
      <c r="CS497">
        <v>525731.1</v>
      </c>
      <c r="CU497">
        <v>268916.59999999998</v>
      </c>
      <c r="CW497">
        <v>348491.9</v>
      </c>
      <c r="CY497">
        <v>59485.3</v>
      </c>
      <c r="DA497">
        <v>11551621.5</v>
      </c>
      <c r="DC497">
        <v>17.8</v>
      </c>
      <c r="DE497">
        <v>86544.6</v>
      </c>
      <c r="DG497">
        <v>805.8</v>
      </c>
      <c r="DI497">
        <v>3863.8</v>
      </c>
      <c r="DK497">
        <v>721.8</v>
      </c>
      <c r="DM497">
        <v>67755.600000000006</v>
      </c>
      <c r="DO497">
        <v>80019.899999999994</v>
      </c>
      <c r="DQ497">
        <v>14451.7</v>
      </c>
    </row>
    <row r="498" spans="1:121" x14ac:dyDescent="0.2">
      <c r="D498" t="s">
        <v>62</v>
      </c>
      <c r="E498" t="s">
        <v>61</v>
      </c>
      <c r="G498">
        <v>427.2</v>
      </c>
      <c r="I498">
        <v>106.8</v>
      </c>
      <c r="K498">
        <v>23891.3</v>
      </c>
      <c r="M498">
        <v>471.3</v>
      </c>
      <c r="O498">
        <v>66.400000000000006</v>
      </c>
      <c r="Q498">
        <v>87.4</v>
      </c>
      <c r="S498">
        <v>115.5</v>
      </c>
      <c r="U498">
        <v>43.9</v>
      </c>
      <c r="W498">
        <v>931.9</v>
      </c>
      <c r="Y498">
        <v>339.1</v>
      </c>
      <c r="AA498">
        <v>25603.599999999999</v>
      </c>
      <c r="AC498">
        <v>27893.200000000001</v>
      </c>
      <c r="AE498">
        <v>10660.2</v>
      </c>
      <c r="AG498">
        <v>1999.8</v>
      </c>
      <c r="AI498">
        <v>3461.8</v>
      </c>
      <c r="AK498">
        <v>96.7</v>
      </c>
      <c r="AM498">
        <v>567.5</v>
      </c>
      <c r="AO498">
        <v>35.1</v>
      </c>
      <c r="AQ498">
        <v>66.900000000000006</v>
      </c>
      <c r="AS498">
        <v>48.8</v>
      </c>
      <c r="AU498">
        <v>10.1</v>
      </c>
      <c r="AW498">
        <v>33.799999999999997</v>
      </c>
      <c r="AY498">
        <v>177.2</v>
      </c>
      <c r="BA498">
        <v>9726.2000000000007</v>
      </c>
      <c r="BC498">
        <v>120</v>
      </c>
      <c r="BE498">
        <v>4038</v>
      </c>
      <c r="BG498">
        <v>18963.900000000001</v>
      </c>
      <c r="BI498">
        <v>33789.4</v>
      </c>
      <c r="BK498">
        <v>49955.1</v>
      </c>
      <c r="BM498">
        <v>1528.4</v>
      </c>
      <c r="BO498">
        <v>84145.2</v>
      </c>
      <c r="BQ498">
        <v>1106.2</v>
      </c>
      <c r="BS498">
        <v>4317.3999999999996</v>
      </c>
      <c r="BU498">
        <v>9928</v>
      </c>
      <c r="BW498">
        <v>513.5</v>
      </c>
      <c r="BY498">
        <v>29072.9</v>
      </c>
      <c r="CA498">
        <v>630.4</v>
      </c>
      <c r="CC498">
        <v>22.3</v>
      </c>
      <c r="CE498">
        <v>37</v>
      </c>
      <c r="CG498">
        <v>979.8</v>
      </c>
      <c r="CI498">
        <v>1748.5</v>
      </c>
      <c r="CK498">
        <v>445.9</v>
      </c>
      <c r="CM498">
        <v>31</v>
      </c>
      <c r="CO498">
        <v>104.5</v>
      </c>
      <c r="CQ498">
        <v>1730.2</v>
      </c>
      <c r="CS498">
        <v>10545.6</v>
      </c>
      <c r="CU498">
        <v>5340.7</v>
      </c>
      <c r="CW498">
        <v>5605.4</v>
      </c>
      <c r="CY498">
        <v>704.8</v>
      </c>
      <c r="DA498">
        <v>123501.1</v>
      </c>
      <c r="DC498">
        <v>5.9</v>
      </c>
      <c r="DE498">
        <v>455.6</v>
      </c>
      <c r="DG498">
        <v>55.6</v>
      </c>
      <c r="DI498">
        <v>57.7</v>
      </c>
      <c r="DK498">
        <v>35.1</v>
      </c>
      <c r="DM498">
        <v>859.7</v>
      </c>
      <c r="DO498">
        <v>500.8</v>
      </c>
      <c r="DQ498">
        <v>84.4</v>
      </c>
    </row>
    <row r="499" spans="1:121" x14ac:dyDescent="0.2">
      <c r="D499" t="s">
        <v>63</v>
      </c>
      <c r="G499">
        <v>0.16211999999999999</v>
      </c>
      <c r="H499" t="s">
        <v>75</v>
      </c>
      <c r="I499">
        <v>1.366E-2</v>
      </c>
      <c r="J499" t="s">
        <v>75</v>
      </c>
      <c r="K499">
        <v>2.1178300000000001</v>
      </c>
      <c r="L499" t="s">
        <v>75</v>
      </c>
      <c r="M499">
        <v>0.13483000000000001</v>
      </c>
      <c r="N499" t="s">
        <v>75</v>
      </c>
      <c r="O499">
        <v>3.5000000000000001E-3</v>
      </c>
      <c r="P499" t="s">
        <v>75</v>
      </c>
      <c r="Q499">
        <v>0.19828999999999999</v>
      </c>
      <c r="R499" t="s">
        <v>75</v>
      </c>
      <c r="S499">
        <v>1.2199999999999999E-3</v>
      </c>
      <c r="T499" t="s">
        <v>75</v>
      </c>
      <c r="U499">
        <v>1.052E-2</v>
      </c>
      <c r="V499" t="s">
        <v>75</v>
      </c>
      <c r="W499">
        <v>0.13522999999999999</v>
      </c>
      <c r="X499" t="s">
        <v>75</v>
      </c>
      <c r="Y499">
        <v>0.61204999999999998</v>
      </c>
      <c r="Z499" t="s">
        <v>75</v>
      </c>
      <c r="AB499" t="s">
        <v>76</v>
      </c>
      <c r="AC499">
        <v>12.708679999999999</v>
      </c>
      <c r="AD499" t="s">
        <v>75</v>
      </c>
      <c r="AE499">
        <v>6.0674000000000001</v>
      </c>
      <c r="AF499" t="s">
        <v>75</v>
      </c>
      <c r="AG499">
        <v>9.4390000000000002E-2</v>
      </c>
      <c r="AH499" t="s">
        <v>75</v>
      </c>
      <c r="AI499">
        <v>1.38205</v>
      </c>
      <c r="AJ499" t="s">
        <v>75</v>
      </c>
      <c r="AK499">
        <v>1.9460000000000002E-2</v>
      </c>
      <c r="AL499" t="s">
        <v>75</v>
      </c>
      <c r="AM499">
        <v>2.0119999999999999E-2</v>
      </c>
      <c r="AN499" t="s">
        <v>75</v>
      </c>
      <c r="AO499">
        <v>2.48E-3</v>
      </c>
      <c r="AP499" t="s">
        <v>75</v>
      </c>
      <c r="AQ499">
        <v>7.7999999999999999E-4</v>
      </c>
      <c r="AR499" t="s">
        <v>75</v>
      </c>
      <c r="AS499">
        <v>3.0000000000000001E-5</v>
      </c>
      <c r="AT499" t="s">
        <v>75</v>
      </c>
      <c r="AU499">
        <v>1.48E-3</v>
      </c>
      <c r="AV499" t="s">
        <v>75</v>
      </c>
      <c r="AW499">
        <v>-4.6000000000000001E-4</v>
      </c>
      <c r="AX499" t="s">
        <v>75</v>
      </c>
      <c r="AY499">
        <v>2.4490000000000001E-2</v>
      </c>
      <c r="AZ499" t="s">
        <v>75</v>
      </c>
      <c r="BC499">
        <v>-2.0537399999999999</v>
      </c>
      <c r="BD499" t="s">
        <v>75</v>
      </c>
      <c r="BE499">
        <v>0.17365</v>
      </c>
      <c r="BF499" t="s">
        <v>75</v>
      </c>
      <c r="BG499">
        <v>9.1262299999999996</v>
      </c>
      <c r="BH499" t="s">
        <v>75</v>
      </c>
      <c r="BI499">
        <v>8.5230899999999998</v>
      </c>
      <c r="BJ499" t="s">
        <v>75</v>
      </c>
      <c r="BK499">
        <v>8.4763800000000007</v>
      </c>
      <c r="BL499" t="s">
        <v>75</v>
      </c>
      <c r="BM499">
        <v>0.34397</v>
      </c>
      <c r="BN499" t="s">
        <v>75</v>
      </c>
      <c r="BO499">
        <v>158.75854000000001</v>
      </c>
      <c r="BP499" t="s">
        <v>75</v>
      </c>
      <c r="BQ499">
        <v>1.6930799999999999</v>
      </c>
      <c r="BR499" t="s">
        <v>75</v>
      </c>
      <c r="BS499">
        <v>6.0506599999999997</v>
      </c>
      <c r="BT499" t="s">
        <v>75</v>
      </c>
      <c r="BU499">
        <v>48.132179999999998</v>
      </c>
      <c r="BV499" t="s">
        <v>75</v>
      </c>
      <c r="BW499">
        <v>6.1719900000000001</v>
      </c>
      <c r="BX499" t="s">
        <v>75</v>
      </c>
      <c r="BY499">
        <v>835.87292000000002</v>
      </c>
      <c r="BZ499" t="s">
        <v>75</v>
      </c>
      <c r="CA499">
        <v>25.18629</v>
      </c>
      <c r="CB499" t="s">
        <v>75</v>
      </c>
      <c r="CC499">
        <v>4.2000000000000003E-2</v>
      </c>
      <c r="CD499" t="s">
        <v>75</v>
      </c>
      <c r="CE499">
        <v>1.2160000000000001E-2</v>
      </c>
      <c r="CF499" t="s">
        <v>75</v>
      </c>
      <c r="CG499">
        <v>0.35282999999999998</v>
      </c>
      <c r="CH499" t="s">
        <v>75</v>
      </c>
      <c r="CI499">
        <v>1.08057</v>
      </c>
      <c r="CJ499" t="s">
        <v>75</v>
      </c>
      <c r="CK499">
        <v>6.57193</v>
      </c>
      <c r="CL499" t="s">
        <v>75</v>
      </c>
      <c r="CM499">
        <v>1.0399999999999999E-3</v>
      </c>
      <c r="CN499" t="s">
        <v>75</v>
      </c>
      <c r="CO499">
        <v>0.16561000000000001</v>
      </c>
      <c r="CP499" t="s">
        <v>75</v>
      </c>
      <c r="CQ499">
        <v>6.2106300000000001</v>
      </c>
      <c r="CR499" t="s">
        <v>75</v>
      </c>
      <c r="CS499">
        <v>137.78022999999999</v>
      </c>
      <c r="CT499" t="s">
        <v>75</v>
      </c>
      <c r="CV499" t="s">
        <v>76</v>
      </c>
      <c r="CW499">
        <v>12.94431</v>
      </c>
      <c r="CX499" t="s">
        <v>75</v>
      </c>
      <c r="DA499">
        <v>776.63000999999997</v>
      </c>
      <c r="DB499" t="s">
        <v>75</v>
      </c>
      <c r="DC499">
        <v>7.7400000000000004E-3</v>
      </c>
      <c r="DD499" t="s">
        <v>75</v>
      </c>
      <c r="DE499">
        <v>44.168810000000001</v>
      </c>
      <c r="DF499" t="s">
        <v>75</v>
      </c>
      <c r="DG499">
        <v>4.7189399999999999</v>
      </c>
      <c r="DH499" t="s">
        <v>75</v>
      </c>
      <c r="DI499">
        <v>7.2270200000000004</v>
      </c>
      <c r="DJ499" t="s">
        <v>75</v>
      </c>
      <c r="DL499" t="s">
        <v>76</v>
      </c>
      <c r="DN499" t="s">
        <v>76</v>
      </c>
      <c r="DO499">
        <v>13.347149999999999</v>
      </c>
      <c r="DP499" t="s">
        <v>75</v>
      </c>
    </row>
    <row r="500" spans="1:121" x14ac:dyDescent="0.2">
      <c r="D500" t="s">
        <v>64</v>
      </c>
      <c r="G500">
        <v>6.2300000000000003E-3</v>
      </c>
      <c r="H500" t="s">
        <v>75</v>
      </c>
      <c r="I500">
        <v>3.9300000000000003E-3</v>
      </c>
      <c r="J500" t="s">
        <v>75</v>
      </c>
      <c r="K500">
        <v>5.9389999999999998E-2</v>
      </c>
      <c r="L500" t="s">
        <v>75</v>
      </c>
      <c r="M500">
        <v>1.99E-3</v>
      </c>
      <c r="N500" t="s">
        <v>75</v>
      </c>
      <c r="O500">
        <v>6.0000000000000002E-5</v>
      </c>
      <c r="P500" t="s">
        <v>75</v>
      </c>
      <c r="Q500">
        <v>2.99E-3</v>
      </c>
      <c r="R500" t="s">
        <v>75</v>
      </c>
      <c r="S500">
        <v>1.1E-4</v>
      </c>
      <c r="T500" t="s">
        <v>75</v>
      </c>
      <c r="U500">
        <v>1.2999999999999999E-4</v>
      </c>
      <c r="V500" t="s">
        <v>75</v>
      </c>
      <c r="W500">
        <v>3.8800000000000002E-3</v>
      </c>
      <c r="X500" t="s">
        <v>75</v>
      </c>
      <c r="Y500">
        <v>1.1780000000000001E-2</v>
      </c>
      <c r="Z500" t="s">
        <v>75</v>
      </c>
      <c r="AC500">
        <v>0.11955</v>
      </c>
      <c r="AD500" t="s">
        <v>75</v>
      </c>
      <c r="AE500">
        <v>6.472E-2</v>
      </c>
      <c r="AF500" t="s">
        <v>75</v>
      </c>
      <c r="AG500">
        <v>2.49E-3</v>
      </c>
      <c r="AH500" t="s">
        <v>75</v>
      </c>
      <c r="AI500">
        <v>4.0070000000000001E-2</v>
      </c>
      <c r="AJ500" t="s">
        <v>75</v>
      </c>
      <c r="AK500">
        <v>3.6999999999999999E-4</v>
      </c>
      <c r="AL500" t="s">
        <v>75</v>
      </c>
      <c r="AM500">
        <v>7.3999999999999999E-4</v>
      </c>
      <c r="AN500" t="s">
        <v>75</v>
      </c>
      <c r="AO500">
        <v>1.2999999999999999E-4</v>
      </c>
      <c r="AP500" t="s">
        <v>75</v>
      </c>
      <c r="AQ500">
        <v>3.1E-4</v>
      </c>
      <c r="AR500" t="s">
        <v>75</v>
      </c>
      <c r="AS500">
        <v>2.1000000000000001E-4</v>
      </c>
      <c r="AT500" t="s">
        <v>75</v>
      </c>
      <c r="AU500">
        <v>1.0000000000000001E-5</v>
      </c>
      <c r="AV500" t="s">
        <v>75</v>
      </c>
      <c r="AW500">
        <v>8.0000000000000007E-5</v>
      </c>
      <c r="AX500" t="s">
        <v>75</v>
      </c>
      <c r="AY500">
        <v>1.0499999999999999E-3</v>
      </c>
      <c r="AZ500" t="s">
        <v>75</v>
      </c>
      <c r="BC500">
        <v>3.8999999999999999E-4</v>
      </c>
      <c r="BD500" t="s">
        <v>75</v>
      </c>
      <c r="BE500">
        <v>6.28E-3</v>
      </c>
      <c r="BF500" t="s">
        <v>75</v>
      </c>
      <c r="BG500">
        <v>0.16137000000000001</v>
      </c>
      <c r="BH500" t="s">
        <v>75</v>
      </c>
      <c r="BI500">
        <v>0.23447999999999999</v>
      </c>
      <c r="BJ500" t="s">
        <v>75</v>
      </c>
      <c r="BK500">
        <v>0.18861</v>
      </c>
      <c r="BL500" t="s">
        <v>75</v>
      </c>
      <c r="BM500">
        <v>6.1700000000000001E-3</v>
      </c>
      <c r="BN500" t="s">
        <v>75</v>
      </c>
      <c r="BO500">
        <v>3.5421499999999999</v>
      </c>
      <c r="BP500" t="s">
        <v>75</v>
      </c>
      <c r="BQ500">
        <v>6.1260000000000002E-2</v>
      </c>
      <c r="BR500" t="s">
        <v>75</v>
      </c>
      <c r="BS500">
        <v>0.17363999999999999</v>
      </c>
      <c r="BT500" t="s">
        <v>75</v>
      </c>
      <c r="BU500">
        <v>1.1912199999999999</v>
      </c>
      <c r="BV500" t="s">
        <v>75</v>
      </c>
      <c r="BW500">
        <v>0.28888999999999998</v>
      </c>
      <c r="BX500" t="s">
        <v>75</v>
      </c>
      <c r="BY500">
        <v>17.079719999999998</v>
      </c>
      <c r="BZ500" t="s">
        <v>75</v>
      </c>
      <c r="CA500">
        <v>0.60270000000000001</v>
      </c>
      <c r="CB500" t="s">
        <v>75</v>
      </c>
      <c r="CC500">
        <v>5.1200000000000004E-3</v>
      </c>
      <c r="CD500" t="s">
        <v>75</v>
      </c>
      <c r="CE500">
        <v>5.1000000000000004E-4</v>
      </c>
      <c r="CF500" t="s">
        <v>75</v>
      </c>
      <c r="CG500">
        <v>2.0449999999999999E-2</v>
      </c>
      <c r="CH500" t="s">
        <v>75</v>
      </c>
      <c r="CI500">
        <v>3.4229999999999997E-2</v>
      </c>
      <c r="CJ500" t="s">
        <v>75</v>
      </c>
      <c r="CK500">
        <v>8.7359999999999993E-2</v>
      </c>
      <c r="CL500" t="s">
        <v>75</v>
      </c>
      <c r="CM500">
        <v>3.8000000000000002E-4</v>
      </c>
      <c r="CN500" t="s">
        <v>75</v>
      </c>
      <c r="CO500">
        <v>7.2300000000000003E-3</v>
      </c>
      <c r="CP500" t="s">
        <v>75</v>
      </c>
      <c r="CQ500">
        <v>0.11272</v>
      </c>
      <c r="CR500" t="s">
        <v>75</v>
      </c>
      <c r="CS500">
        <v>4.1441100000000004</v>
      </c>
      <c r="CT500" t="s">
        <v>75</v>
      </c>
      <c r="CW500">
        <v>0.36144999999999999</v>
      </c>
      <c r="CX500" t="s">
        <v>75</v>
      </c>
      <c r="DA500">
        <v>6.4706999999999999</v>
      </c>
      <c r="DB500" t="s">
        <v>75</v>
      </c>
      <c r="DC500">
        <v>2.8600000000000001E-3</v>
      </c>
      <c r="DD500" t="s">
        <v>75</v>
      </c>
      <c r="DE500">
        <v>0.48254000000000002</v>
      </c>
      <c r="DF500" t="s">
        <v>75</v>
      </c>
      <c r="DG500">
        <v>0.3075</v>
      </c>
      <c r="DH500" t="s">
        <v>75</v>
      </c>
      <c r="DI500">
        <v>6.8339999999999998E-2</v>
      </c>
      <c r="DJ500" t="s">
        <v>75</v>
      </c>
      <c r="DO500">
        <v>0.15225</v>
      </c>
      <c r="DP500" t="s">
        <v>75</v>
      </c>
    </row>
    <row r="501" spans="1:121" x14ac:dyDescent="0.2">
      <c r="D501" t="s">
        <v>65</v>
      </c>
      <c r="G501" t="s">
        <v>66</v>
      </c>
      <c r="I501" t="s">
        <v>66</v>
      </c>
      <c r="K501" t="s">
        <v>66</v>
      </c>
      <c r="M501" t="s">
        <v>66</v>
      </c>
      <c r="O501" t="s">
        <v>66</v>
      </c>
      <c r="Q501" t="s">
        <v>66</v>
      </c>
      <c r="S501" t="s">
        <v>66</v>
      </c>
      <c r="U501" t="s">
        <v>66</v>
      </c>
      <c r="W501" t="s">
        <v>66</v>
      </c>
      <c r="Y501" t="s">
        <v>66</v>
      </c>
      <c r="AA501" t="s">
        <v>66</v>
      </c>
      <c r="AC501" t="s">
        <v>66</v>
      </c>
      <c r="AE501" t="s">
        <v>66</v>
      </c>
      <c r="AG501" t="s">
        <v>66</v>
      </c>
      <c r="AI501" t="s">
        <v>66</v>
      </c>
      <c r="AK501" t="s">
        <v>66</v>
      </c>
      <c r="AM501" t="s">
        <v>66</v>
      </c>
      <c r="AO501" t="s">
        <v>66</v>
      </c>
      <c r="AQ501" t="s">
        <v>66</v>
      </c>
      <c r="AS501" t="s">
        <v>66</v>
      </c>
      <c r="AU501" t="s">
        <v>66</v>
      </c>
      <c r="AW501" t="s">
        <v>66</v>
      </c>
      <c r="AY501" t="s">
        <v>66</v>
      </c>
      <c r="BA501" t="s">
        <v>66</v>
      </c>
      <c r="BC501" t="s">
        <v>66</v>
      </c>
      <c r="BE501" t="s">
        <v>66</v>
      </c>
      <c r="BG501" t="s">
        <v>66</v>
      </c>
      <c r="BI501" t="s">
        <v>66</v>
      </c>
      <c r="BK501" t="s">
        <v>66</v>
      </c>
      <c r="BM501" t="s">
        <v>66</v>
      </c>
      <c r="BO501" t="s">
        <v>66</v>
      </c>
      <c r="BQ501" t="s">
        <v>66</v>
      </c>
      <c r="BS501" t="s">
        <v>66</v>
      </c>
      <c r="BU501" t="s">
        <v>66</v>
      </c>
      <c r="BW501" t="s">
        <v>66</v>
      </c>
      <c r="BY501" t="s">
        <v>66</v>
      </c>
      <c r="CA501" t="s">
        <v>66</v>
      </c>
      <c r="CC501" t="s">
        <v>66</v>
      </c>
      <c r="CE501" t="s">
        <v>66</v>
      </c>
      <c r="CG501" t="s">
        <v>66</v>
      </c>
      <c r="CI501" t="s">
        <v>66</v>
      </c>
      <c r="CK501" t="s">
        <v>66</v>
      </c>
      <c r="CM501" t="s">
        <v>66</v>
      </c>
      <c r="CO501" t="s">
        <v>66</v>
      </c>
      <c r="CQ501" t="s">
        <v>66</v>
      </c>
      <c r="CS501" t="s">
        <v>66</v>
      </c>
      <c r="CU501" t="s">
        <v>66</v>
      </c>
      <c r="CW501" t="s">
        <v>66</v>
      </c>
      <c r="CY501" t="s">
        <v>66</v>
      </c>
      <c r="DA501" t="s">
        <v>66</v>
      </c>
      <c r="DC501" t="s">
        <v>66</v>
      </c>
      <c r="DE501" t="s">
        <v>66</v>
      </c>
      <c r="DG501" t="s">
        <v>66</v>
      </c>
      <c r="DI501" t="s">
        <v>66</v>
      </c>
      <c r="DK501" t="s">
        <v>66</v>
      </c>
      <c r="DM501" t="s">
        <v>66</v>
      </c>
      <c r="DO501" t="s">
        <v>66</v>
      </c>
      <c r="DQ501" t="s">
        <v>66</v>
      </c>
    </row>
    <row r="502" spans="1:121" x14ac:dyDescent="0.2">
      <c r="A502" t="s">
        <v>670</v>
      </c>
      <c r="D502" t="s">
        <v>60</v>
      </c>
      <c r="E502" t="s">
        <v>61</v>
      </c>
      <c r="G502">
        <v>26216.799999999999</v>
      </c>
      <c r="I502">
        <v>779.6</v>
      </c>
      <c r="K502">
        <v>1941056.5</v>
      </c>
      <c r="M502">
        <v>169406</v>
      </c>
      <c r="O502">
        <v>890</v>
      </c>
      <c r="Q502">
        <v>33633.5</v>
      </c>
      <c r="S502">
        <v>2126.8000000000002</v>
      </c>
      <c r="U502">
        <v>1194.5</v>
      </c>
      <c r="W502">
        <v>61677.2</v>
      </c>
      <c r="Y502">
        <v>45114.7</v>
      </c>
      <c r="AA502">
        <v>3160007</v>
      </c>
      <c r="AC502">
        <v>5089284.9000000004</v>
      </c>
      <c r="AE502">
        <v>1489893.7</v>
      </c>
      <c r="AG502">
        <v>157674</v>
      </c>
      <c r="AI502">
        <v>274287</v>
      </c>
      <c r="AK502">
        <v>2309.3000000000002</v>
      </c>
      <c r="AM502">
        <v>3096.6</v>
      </c>
      <c r="AO502">
        <v>246.9</v>
      </c>
      <c r="AQ502">
        <v>423</v>
      </c>
      <c r="AS502">
        <v>291.7</v>
      </c>
      <c r="AU502">
        <v>213.6</v>
      </c>
      <c r="AW502">
        <v>167.7</v>
      </c>
      <c r="AY502">
        <v>12480.9</v>
      </c>
      <c r="BA502">
        <v>680725.1</v>
      </c>
      <c r="BC502">
        <v>2107.9</v>
      </c>
      <c r="BE502">
        <v>218593.9</v>
      </c>
      <c r="BG502">
        <v>3261692</v>
      </c>
      <c r="BI502">
        <v>2659929.7000000002</v>
      </c>
      <c r="BK502">
        <v>6001259.4000000004</v>
      </c>
      <c r="BM502">
        <v>364077.4</v>
      </c>
      <c r="BO502">
        <v>8016231.5999999996</v>
      </c>
      <c r="BQ502">
        <v>39563.199999999997</v>
      </c>
      <c r="BS502">
        <v>952166.1</v>
      </c>
      <c r="BU502">
        <v>1981159.7</v>
      </c>
      <c r="BW502">
        <v>15179.2</v>
      </c>
      <c r="BY502">
        <v>3494001</v>
      </c>
      <c r="CA502">
        <v>33228</v>
      </c>
      <c r="CC502">
        <v>511.2</v>
      </c>
      <c r="CE502">
        <v>1355.5</v>
      </c>
      <c r="CG502">
        <v>44275.8</v>
      </c>
      <c r="CI502">
        <v>101131.1</v>
      </c>
      <c r="CK502">
        <v>509910.4</v>
      </c>
      <c r="CM502">
        <v>722.5</v>
      </c>
      <c r="CO502">
        <v>3982.6</v>
      </c>
      <c r="CQ502">
        <v>216512.7</v>
      </c>
      <c r="CS502">
        <v>517429.9</v>
      </c>
      <c r="CU502">
        <v>269912</v>
      </c>
      <c r="CW502">
        <v>540046.1</v>
      </c>
      <c r="CY502">
        <v>60713.8</v>
      </c>
      <c r="DA502">
        <v>16711763.5</v>
      </c>
      <c r="DC502">
        <v>23.9</v>
      </c>
      <c r="DE502">
        <v>37505.1</v>
      </c>
      <c r="DG502">
        <v>971</v>
      </c>
      <c r="DI502">
        <v>4595.8</v>
      </c>
      <c r="DK502">
        <v>776.9</v>
      </c>
      <c r="DM502">
        <v>69896.399999999994</v>
      </c>
      <c r="DO502">
        <v>120787.4</v>
      </c>
      <c r="DQ502">
        <v>14704.2</v>
      </c>
    </row>
    <row r="503" spans="1:121" x14ac:dyDescent="0.2">
      <c r="D503" t="s">
        <v>62</v>
      </c>
      <c r="E503" t="s">
        <v>61</v>
      </c>
      <c r="G503">
        <v>284.2</v>
      </c>
      <c r="I503">
        <v>69.400000000000006</v>
      </c>
      <c r="K503">
        <v>20489</v>
      </c>
      <c r="M503">
        <v>250.6</v>
      </c>
      <c r="O503">
        <v>44.7</v>
      </c>
      <c r="Q503">
        <v>219.2</v>
      </c>
      <c r="S503">
        <v>95.2</v>
      </c>
      <c r="U503">
        <v>17.399999999999999</v>
      </c>
      <c r="W503">
        <v>558.4</v>
      </c>
      <c r="Y503">
        <v>448.9</v>
      </c>
      <c r="AA503">
        <v>25902.7</v>
      </c>
      <c r="AC503">
        <v>61501.5</v>
      </c>
      <c r="AE503">
        <v>8815.2000000000007</v>
      </c>
      <c r="AG503">
        <v>1315.6</v>
      </c>
      <c r="AI503">
        <v>1164.0999999999999</v>
      </c>
      <c r="AK503">
        <v>85.4</v>
      </c>
      <c r="AM503">
        <v>173.9</v>
      </c>
      <c r="AO503">
        <v>54.1</v>
      </c>
      <c r="AQ503">
        <v>74.599999999999994</v>
      </c>
      <c r="AS503">
        <v>41.3</v>
      </c>
      <c r="AU503">
        <v>36.200000000000003</v>
      </c>
      <c r="AW503">
        <v>23.7</v>
      </c>
      <c r="AY503">
        <v>476.3</v>
      </c>
      <c r="BA503">
        <v>3229.2</v>
      </c>
      <c r="BC503">
        <v>144.30000000000001</v>
      </c>
      <c r="BE503">
        <v>845.4</v>
      </c>
      <c r="BG503">
        <v>58780.4</v>
      </c>
      <c r="BI503">
        <v>9213.2000000000007</v>
      </c>
      <c r="BK503">
        <v>47905.4</v>
      </c>
      <c r="BM503">
        <v>5742.6</v>
      </c>
      <c r="BO503">
        <v>26489.9</v>
      </c>
      <c r="BQ503">
        <v>402.7</v>
      </c>
      <c r="BS503">
        <v>5973.3</v>
      </c>
      <c r="BU503">
        <v>8474.1</v>
      </c>
      <c r="BW503">
        <v>359.8</v>
      </c>
      <c r="BY503">
        <v>45242.2</v>
      </c>
      <c r="CA503">
        <v>656.3</v>
      </c>
      <c r="CC503">
        <v>36.5</v>
      </c>
      <c r="CE503">
        <v>69.599999999999994</v>
      </c>
      <c r="CG503">
        <v>531.79999999999995</v>
      </c>
      <c r="CI503">
        <v>714.7</v>
      </c>
      <c r="CK503">
        <v>3271.7</v>
      </c>
      <c r="CM503">
        <v>38.200000000000003</v>
      </c>
      <c r="CO503">
        <v>19.8</v>
      </c>
      <c r="CQ503">
        <v>4405.8999999999996</v>
      </c>
      <c r="CS503">
        <v>4883.5</v>
      </c>
      <c r="CU503">
        <v>3449.5</v>
      </c>
      <c r="CW503">
        <v>3395.7</v>
      </c>
      <c r="CY503">
        <v>627.70000000000005</v>
      </c>
      <c r="DA503">
        <v>341182.6</v>
      </c>
      <c r="DC503">
        <v>5.9</v>
      </c>
      <c r="DE503">
        <v>506.5</v>
      </c>
      <c r="DG503">
        <v>75.400000000000006</v>
      </c>
      <c r="DI503">
        <v>20.399999999999999</v>
      </c>
      <c r="DK503">
        <v>20.8</v>
      </c>
      <c r="DM503">
        <v>1948.7</v>
      </c>
      <c r="DO503">
        <v>2131.1999999999998</v>
      </c>
      <c r="DQ503">
        <v>231.3</v>
      </c>
    </row>
    <row r="504" spans="1:121" x14ac:dyDescent="0.2">
      <c r="D504" t="s">
        <v>63</v>
      </c>
      <c r="G504">
        <v>0.17302999999999999</v>
      </c>
      <c r="H504" t="s">
        <v>75</v>
      </c>
      <c r="I504">
        <v>1.447E-2</v>
      </c>
      <c r="J504" t="s">
        <v>75</v>
      </c>
      <c r="K504">
        <v>2.4550900000000002</v>
      </c>
      <c r="L504" t="s">
        <v>75</v>
      </c>
      <c r="M504">
        <v>0.13718</v>
      </c>
      <c r="N504" t="s">
        <v>75</v>
      </c>
      <c r="O504">
        <v>3.6700000000000001E-3</v>
      </c>
      <c r="P504" t="s">
        <v>75</v>
      </c>
      <c r="Q504">
        <v>0.23726</v>
      </c>
      <c r="R504" t="s">
        <v>75</v>
      </c>
      <c r="S504">
        <v>1.16E-3</v>
      </c>
      <c r="T504" t="s">
        <v>75</v>
      </c>
      <c r="U504">
        <v>1.057E-2</v>
      </c>
      <c r="V504" t="s">
        <v>75</v>
      </c>
      <c r="W504">
        <v>0.13383</v>
      </c>
      <c r="X504" t="s">
        <v>75</v>
      </c>
      <c r="Y504">
        <v>0.66713999999999996</v>
      </c>
      <c r="Z504" t="s">
        <v>75</v>
      </c>
      <c r="AB504" t="s">
        <v>76</v>
      </c>
      <c r="AC504">
        <v>18.071079999999998</v>
      </c>
      <c r="AD504" t="s">
        <v>75</v>
      </c>
      <c r="AE504">
        <v>5.5963599999999998</v>
      </c>
      <c r="AF504" t="s">
        <v>75</v>
      </c>
      <c r="AG504">
        <v>0.10692</v>
      </c>
      <c r="AH504" t="s">
        <v>75</v>
      </c>
      <c r="AI504">
        <v>1.72651</v>
      </c>
      <c r="AJ504" t="s">
        <v>75</v>
      </c>
      <c r="AK504">
        <v>-5.6999999999999998E-4</v>
      </c>
      <c r="AL504" t="s">
        <v>75</v>
      </c>
      <c r="AM504">
        <v>-3.3700000000000002E-3</v>
      </c>
      <c r="AN504" t="s">
        <v>75</v>
      </c>
      <c r="AO504">
        <v>2.33E-3</v>
      </c>
      <c r="AP504" t="s">
        <v>75</v>
      </c>
      <c r="AQ504">
        <v>8.4999999999999995E-4</v>
      </c>
      <c r="AR504" t="s">
        <v>75</v>
      </c>
      <c r="AS504">
        <v>2.5999999999999998E-4</v>
      </c>
      <c r="AT504" t="s">
        <v>75</v>
      </c>
      <c r="AU504">
        <v>1.49E-3</v>
      </c>
      <c r="AV504" t="s">
        <v>75</v>
      </c>
      <c r="AW504">
        <v>-4.0000000000000002E-4</v>
      </c>
      <c r="AX504" t="s">
        <v>75</v>
      </c>
      <c r="AY504">
        <v>2.9739999999999999E-2</v>
      </c>
      <c r="AZ504" t="s">
        <v>75</v>
      </c>
      <c r="BC504">
        <v>-2.0536300000000001</v>
      </c>
      <c r="BD504" t="s">
        <v>75</v>
      </c>
      <c r="BE504">
        <v>0.21043000000000001</v>
      </c>
      <c r="BF504" t="s">
        <v>75</v>
      </c>
      <c r="BG504">
        <v>9.2996999999999996</v>
      </c>
      <c r="BH504" t="s">
        <v>75</v>
      </c>
      <c r="BI504">
        <v>8.7395800000000001</v>
      </c>
      <c r="BJ504" t="s">
        <v>75</v>
      </c>
      <c r="BK504">
        <v>8.6904599999999999</v>
      </c>
      <c r="BL504" t="s">
        <v>75</v>
      </c>
      <c r="BM504">
        <v>0.33078000000000002</v>
      </c>
      <c r="BN504" t="s">
        <v>75</v>
      </c>
      <c r="BO504">
        <v>172.08365000000001</v>
      </c>
      <c r="BP504" t="s">
        <v>75</v>
      </c>
      <c r="BQ504">
        <v>0.89532</v>
      </c>
      <c r="BR504" t="s">
        <v>75</v>
      </c>
      <c r="BS504">
        <v>20.499120000000001</v>
      </c>
      <c r="BT504" t="s">
        <v>75</v>
      </c>
      <c r="BU504">
        <v>60.002630000000003</v>
      </c>
      <c r="BV504" t="s">
        <v>75</v>
      </c>
      <c r="BW504">
        <v>6.07653</v>
      </c>
      <c r="BX504" t="s">
        <v>75</v>
      </c>
      <c r="BY504">
        <v>955.85352</v>
      </c>
      <c r="BZ504" t="s">
        <v>75</v>
      </c>
      <c r="CA504">
        <v>13.87988</v>
      </c>
      <c r="CB504" t="s">
        <v>75</v>
      </c>
      <c r="CC504">
        <v>9.2910000000000006E-2</v>
      </c>
      <c r="CD504" t="s">
        <v>75</v>
      </c>
      <c r="CE504">
        <v>1.8190000000000001E-2</v>
      </c>
      <c r="CF504" t="s">
        <v>75</v>
      </c>
      <c r="CG504">
        <v>0.72384000000000004</v>
      </c>
      <c r="CH504" t="s">
        <v>75</v>
      </c>
      <c r="CI504">
        <v>1.26715</v>
      </c>
      <c r="CJ504" t="s">
        <v>75</v>
      </c>
      <c r="CK504">
        <v>6.7609700000000004</v>
      </c>
      <c r="CL504" t="s">
        <v>75</v>
      </c>
      <c r="CM504">
        <v>3.0899999999999999E-3</v>
      </c>
      <c r="CN504" t="s">
        <v>75</v>
      </c>
      <c r="CO504">
        <v>0.23147999999999999</v>
      </c>
      <c r="CP504" t="s">
        <v>75</v>
      </c>
      <c r="CQ504">
        <v>6.4056100000000002</v>
      </c>
      <c r="CR504" t="s">
        <v>75</v>
      </c>
      <c r="CS504">
        <v>132.84717000000001</v>
      </c>
      <c r="CT504" t="s">
        <v>75</v>
      </c>
      <c r="CV504" t="s">
        <v>76</v>
      </c>
      <c r="CW504">
        <v>19.664400000000001</v>
      </c>
      <c r="CX504" t="s">
        <v>75</v>
      </c>
      <c r="DA504">
        <v>1104.7070900000001</v>
      </c>
      <c r="DB504" t="s">
        <v>75</v>
      </c>
      <c r="DC504">
        <v>1.059E-2</v>
      </c>
      <c r="DD504" t="s">
        <v>75</v>
      </c>
      <c r="DE504">
        <v>18.801559999999998</v>
      </c>
      <c r="DF504" t="s">
        <v>75</v>
      </c>
      <c r="DG504">
        <v>5.5998299999999999</v>
      </c>
      <c r="DH504" t="s">
        <v>75</v>
      </c>
      <c r="DI504">
        <v>8.5240299999999998</v>
      </c>
      <c r="DJ504" t="s">
        <v>75</v>
      </c>
      <c r="DL504" t="s">
        <v>76</v>
      </c>
      <c r="DN504" t="s">
        <v>76</v>
      </c>
      <c r="DO504">
        <v>19.80931</v>
      </c>
      <c r="DP504" t="s">
        <v>75</v>
      </c>
    </row>
    <row r="505" spans="1:121" x14ac:dyDescent="0.2">
      <c r="D505" t="s">
        <v>64</v>
      </c>
      <c r="G505">
        <v>1.91E-3</v>
      </c>
      <c r="H505" t="s">
        <v>75</v>
      </c>
      <c r="I505">
        <v>2.3999999999999998E-3</v>
      </c>
      <c r="J505" t="s">
        <v>75</v>
      </c>
      <c r="K505">
        <v>2.7179999999999999E-2</v>
      </c>
      <c r="L505" t="s">
        <v>75</v>
      </c>
      <c r="M505">
        <v>5.9999999999999995E-4</v>
      </c>
      <c r="N505" t="s">
        <v>75</v>
      </c>
      <c r="O505">
        <v>4.0000000000000003E-5</v>
      </c>
      <c r="P505" t="s">
        <v>75</v>
      </c>
      <c r="Q505">
        <v>5.0000000000000001E-4</v>
      </c>
      <c r="R505" t="s">
        <v>75</v>
      </c>
      <c r="S505">
        <v>8.0000000000000007E-5</v>
      </c>
      <c r="T505" t="s">
        <v>75</v>
      </c>
      <c r="U505">
        <v>5.0000000000000002E-5</v>
      </c>
      <c r="V505" t="s">
        <v>75</v>
      </c>
      <c r="W505">
        <v>5.9000000000000003E-4</v>
      </c>
      <c r="X505" t="s">
        <v>75</v>
      </c>
      <c r="Y505">
        <v>8.8800000000000007E-3</v>
      </c>
      <c r="Z505" t="s">
        <v>75</v>
      </c>
      <c r="AC505">
        <v>0.13836000000000001</v>
      </c>
      <c r="AD505" t="s">
        <v>75</v>
      </c>
      <c r="AE505">
        <v>5.8990000000000001E-2</v>
      </c>
      <c r="AF505" t="s">
        <v>75</v>
      </c>
      <c r="AG505">
        <v>6.6E-4</v>
      </c>
      <c r="AH505" t="s">
        <v>75</v>
      </c>
      <c r="AI505">
        <v>1.529E-2</v>
      </c>
      <c r="AJ505" t="s">
        <v>75</v>
      </c>
      <c r="AK505">
        <v>5.0000000000000002E-5</v>
      </c>
      <c r="AL505" t="s">
        <v>75</v>
      </c>
      <c r="AM505">
        <v>1.2999999999999999E-4</v>
      </c>
      <c r="AN505" t="s">
        <v>75</v>
      </c>
      <c r="AO505">
        <v>2.0000000000000001E-4</v>
      </c>
      <c r="AP505" t="s">
        <v>75</v>
      </c>
      <c r="AQ505">
        <v>3.2000000000000003E-4</v>
      </c>
      <c r="AR505" t="s">
        <v>75</v>
      </c>
      <c r="AS505">
        <v>1.9000000000000001E-4</v>
      </c>
      <c r="AT505" t="s">
        <v>75</v>
      </c>
      <c r="AU505">
        <v>2.0000000000000002E-5</v>
      </c>
      <c r="AV505" t="s">
        <v>75</v>
      </c>
      <c r="AW505">
        <v>6.0000000000000002E-5</v>
      </c>
      <c r="AX505" t="s">
        <v>75</v>
      </c>
      <c r="AY505">
        <v>1.3500000000000001E-3</v>
      </c>
      <c r="AZ505" t="s">
        <v>75</v>
      </c>
      <c r="BC505">
        <v>4.6000000000000001E-4</v>
      </c>
      <c r="BD505" t="s">
        <v>75</v>
      </c>
      <c r="BE505">
        <v>1.5900000000000001E-3</v>
      </c>
      <c r="BF505" t="s">
        <v>75</v>
      </c>
      <c r="BG505">
        <v>0.12548999999999999</v>
      </c>
      <c r="BH505" t="s">
        <v>75</v>
      </c>
      <c r="BI505">
        <v>5.9729999999999998E-2</v>
      </c>
      <c r="BJ505" t="s">
        <v>75</v>
      </c>
      <c r="BK505">
        <v>3.5970000000000002E-2</v>
      </c>
      <c r="BL505" t="s">
        <v>75</v>
      </c>
      <c r="BM505">
        <v>6.4000000000000003E-3</v>
      </c>
      <c r="BN505" t="s">
        <v>75</v>
      </c>
      <c r="BO505">
        <v>1.80603</v>
      </c>
      <c r="BP505" t="s">
        <v>75</v>
      </c>
      <c r="BQ505">
        <v>1.1560000000000001E-2</v>
      </c>
      <c r="BR505" t="s">
        <v>75</v>
      </c>
      <c r="BS505">
        <v>0.18856000000000001</v>
      </c>
      <c r="BT505" t="s">
        <v>75</v>
      </c>
      <c r="BU505">
        <v>1.0052399999999999</v>
      </c>
      <c r="BV505" t="s">
        <v>75</v>
      </c>
      <c r="BW505">
        <v>0.17741999999999999</v>
      </c>
      <c r="BX505" t="s">
        <v>75</v>
      </c>
      <c r="BY505">
        <v>14.77422</v>
      </c>
      <c r="BZ505" t="s">
        <v>75</v>
      </c>
      <c r="CA505">
        <v>0.44641999999999998</v>
      </c>
      <c r="CB505" t="s">
        <v>75</v>
      </c>
      <c r="CC505">
        <v>8.7500000000000008E-3</v>
      </c>
      <c r="CD505" t="s">
        <v>75</v>
      </c>
      <c r="CE505">
        <v>1.1299999999999999E-3</v>
      </c>
      <c r="CF505" t="s">
        <v>75</v>
      </c>
      <c r="CG505">
        <v>1.5910000000000001E-2</v>
      </c>
      <c r="CH505" t="s">
        <v>75</v>
      </c>
      <c r="CI505">
        <v>1.6990000000000002E-2</v>
      </c>
      <c r="CJ505" t="s">
        <v>75</v>
      </c>
      <c r="CK505">
        <v>7.349E-2</v>
      </c>
      <c r="CL505" t="s">
        <v>75</v>
      </c>
      <c r="CM505">
        <v>4.8000000000000001E-4</v>
      </c>
      <c r="CN505" t="s">
        <v>75</v>
      </c>
      <c r="CO505">
        <v>1.7600000000000001E-3</v>
      </c>
      <c r="CP505" t="s">
        <v>75</v>
      </c>
      <c r="CQ505">
        <v>0.19323000000000001</v>
      </c>
      <c r="CR505" t="s">
        <v>75</v>
      </c>
      <c r="CS505">
        <v>2.6073300000000001</v>
      </c>
      <c r="CT505" t="s">
        <v>75</v>
      </c>
      <c r="CW505">
        <v>0.29419000000000001</v>
      </c>
      <c r="CX505" t="s">
        <v>75</v>
      </c>
      <c r="DA505">
        <v>36.607810000000001</v>
      </c>
      <c r="DB505" t="s">
        <v>75</v>
      </c>
      <c r="DC505">
        <v>2.97E-3</v>
      </c>
      <c r="DD505" t="s">
        <v>75</v>
      </c>
      <c r="DE505">
        <v>5.4330000000000003E-2</v>
      </c>
      <c r="DF505" t="s">
        <v>75</v>
      </c>
      <c r="DG505">
        <v>0.39716000000000001</v>
      </c>
      <c r="DH505" t="s">
        <v>75</v>
      </c>
      <c r="DI505">
        <v>0.11055</v>
      </c>
      <c r="DJ505" t="s">
        <v>75</v>
      </c>
      <c r="DO505">
        <v>0.57260999999999995</v>
      </c>
      <c r="DP505" t="s">
        <v>75</v>
      </c>
    </row>
    <row r="506" spans="1:121" x14ac:dyDescent="0.2">
      <c r="D506" t="s">
        <v>65</v>
      </c>
      <c r="G506" t="s">
        <v>66</v>
      </c>
      <c r="I506" t="s">
        <v>66</v>
      </c>
      <c r="K506" t="s">
        <v>66</v>
      </c>
      <c r="M506" t="s">
        <v>66</v>
      </c>
      <c r="O506" t="s">
        <v>66</v>
      </c>
      <c r="Q506" t="s">
        <v>66</v>
      </c>
      <c r="S506" t="s">
        <v>66</v>
      </c>
      <c r="U506" t="s">
        <v>66</v>
      </c>
      <c r="W506" t="s">
        <v>66</v>
      </c>
      <c r="Y506" t="s">
        <v>66</v>
      </c>
      <c r="AA506" t="s">
        <v>66</v>
      </c>
      <c r="AC506" t="s">
        <v>66</v>
      </c>
      <c r="AE506" t="s">
        <v>66</v>
      </c>
      <c r="AG506" t="s">
        <v>66</v>
      </c>
      <c r="AI506" t="s">
        <v>66</v>
      </c>
      <c r="AK506" t="s">
        <v>66</v>
      </c>
      <c r="AM506" t="s">
        <v>66</v>
      </c>
      <c r="AO506" t="s">
        <v>66</v>
      </c>
      <c r="AQ506" t="s">
        <v>66</v>
      </c>
      <c r="AS506" t="s">
        <v>66</v>
      </c>
      <c r="AU506" t="s">
        <v>66</v>
      </c>
      <c r="AW506" t="s">
        <v>66</v>
      </c>
      <c r="AY506" t="s">
        <v>66</v>
      </c>
      <c r="BA506" t="s">
        <v>66</v>
      </c>
      <c r="BC506" t="s">
        <v>66</v>
      </c>
      <c r="BE506" t="s">
        <v>66</v>
      </c>
      <c r="BG506" t="s">
        <v>66</v>
      </c>
      <c r="BI506" t="s">
        <v>66</v>
      </c>
      <c r="BK506" t="s">
        <v>66</v>
      </c>
      <c r="BM506" t="s">
        <v>66</v>
      </c>
      <c r="BO506" t="s">
        <v>66</v>
      </c>
      <c r="BQ506" t="s">
        <v>66</v>
      </c>
      <c r="BS506" t="s">
        <v>66</v>
      </c>
      <c r="BU506" t="s">
        <v>66</v>
      </c>
      <c r="BW506" t="s">
        <v>66</v>
      </c>
      <c r="BY506" t="s">
        <v>66</v>
      </c>
      <c r="CA506" t="s">
        <v>66</v>
      </c>
      <c r="CC506" t="s">
        <v>66</v>
      </c>
      <c r="CE506" t="s">
        <v>66</v>
      </c>
      <c r="CG506" t="s">
        <v>66</v>
      </c>
      <c r="CI506" t="s">
        <v>66</v>
      </c>
      <c r="CK506" t="s">
        <v>66</v>
      </c>
      <c r="CM506" t="s">
        <v>66</v>
      </c>
      <c r="CO506" t="s">
        <v>66</v>
      </c>
      <c r="CQ506" t="s">
        <v>66</v>
      </c>
      <c r="CS506" t="s">
        <v>66</v>
      </c>
      <c r="CU506" t="s">
        <v>66</v>
      </c>
      <c r="CW506" t="s">
        <v>66</v>
      </c>
      <c r="CY506" t="s">
        <v>66</v>
      </c>
      <c r="DA506" t="s">
        <v>66</v>
      </c>
      <c r="DC506" t="s">
        <v>66</v>
      </c>
      <c r="DE506" t="s">
        <v>66</v>
      </c>
      <c r="DG506" t="s">
        <v>66</v>
      </c>
      <c r="DI506" t="s">
        <v>66</v>
      </c>
      <c r="DK506" t="s">
        <v>66</v>
      </c>
      <c r="DM506" t="s">
        <v>66</v>
      </c>
      <c r="DO506" t="s">
        <v>66</v>
      </c>
      <c r="DQ506" t="s">
        <v>66</v>
      </c>
    </row>
    <row r="507" spans="1:121" x14ac:dyDescent="0.2">
      <c r="A507" t="s">
        <v>671</v>
      </c>
      <c r="D507" t="s">
        <v>60</v>
      </c>
      <c r="E507" t="s">
        <v>61</v>
      </c>
      <c r="G507">
        <v>23419.599999999999</v>
      </c>
      <c r="I507">
        <v>797.6</v>
      </c>
      <c r="K507">
        <v>1596810</v>
      </c>
      <c r="M507">
        <v>178512.6</v>
      </c>
      <c r="O507">
        <v>408.4</v>
      </c>
      <c r="Q507">
        <v>29397.9</v>
      </c>
      <c r="S507">
        <v>2000.6</v>
      </c>
      <c r="U507">
        <v>1114.2</v>
      </c>
      <c r="W507">
        <v>70237.600000000006</v>
      </c>
      <c r="Y507">
        <v>46538.6</v>
      </c>
      <c r="AA507">
        <v>3114400</v>
      </c>
      <c r="AC507">
        <v>3814439.4</v>
      </c>
      <c r="AE507">
        <v>1389284.3</v>
      </c>
      <c r="AG507">
        <v>131048.1</v>
      </c>
      <c r="AI507">
        <v>270422.5</v>
      </c>
      <c r="AK507">
        <v>1436.4</v>
      </c>
      <c r="AM507">
        <v>1300.8</v>
      </c>
      <c r="AO507">
        <v>139.6</v>
      </c>
      <c r="AQ507">
        <v>367.8</v>
      </c>
      <c r="AS507">
        <v>232.3</v>
      </c>
      <c r="AU507">
        <v>160.4</v>
      </c>
      <c r="AW507">
        <v>86.5</v>
      </c>
      <c r="AY507">
        <v>5955.4</v>
      </c>
      <c r="BA507">
        <v>690560.3</v>
      </c>
      <c r="BC507">
        <v>2216.4</v>
      </c>
      <c r="BE507">
        <v>155957.20000000001</v>
      </c>
      <c r="BG507">
        <v>2983066.3</v>
      </c>
      <c r="BI507">
        <v>2477656</v>
      </c>
      <c r="BK507">
        <v>5509241.4000000004</v>
      </c>
      <c r="BM507">
        <v>315006.7</v>
      </c>
      <c r="BO507">
        <v>6899820.2999999998</v>
      </c>
      <c r="BQ507">
        <v>33617.1</v>
      </c>
      <c r="BS507">
        <v>52131.9</v>
      </c>
      <c r="BU507">
        <v>1716772.1</v>
      </c>
      <c r="BW507">
        <v>16053</v>
      </c>
      <c r="BY507">
        <v>2416010.1</v>
      </c>
      <c r="CA507">
        <v>27291.599999999999</v>
      </c>
      <c r="CC507">
        <v>234.3</v>
      </c>
      <c r="CE507">
        <v>1050.5999999999999</v>
      </c>
      <c r="CG507">
        <v>38028.9</v>
      </c>
      <c r="CI507">
        <v>85590.5</v>
      </c>
      <c r="CK507">
        <v>221663</v>
      </c>
      <c r="CM507">
        <v>559.4</v>
      </c>
      <c r="CO507">
        <v>1789.3</v>
      </c>
      <c r="CQ507">
        <v>214080.4</v>
      </c>
      <c r="CS507">
        <v>542231.4</v>
      </c>
      <c r="CU507">
        <v>278806.40000000002</v>
      </c>
      <c r="CW507">
        <v>390639</v>
      </c>
      <c r="CY507">
        <v>61308.4</v>
      </c>
      <c r="DA507">
        <v>15328931</v>
      </c>
      <c r="DC507">
        <v>195.8</v>
      </c>
      <c r="DE507">
        <v>25312.1</v>
      </c>
      <c r="DG507">
        <v>779.1</v>
      </c>
      <c r="DI507">
        <v>3906.9</v>
      </c>
      <c r="DK507">
        <v>784.1</v>
      </c>
      <c r="DM507">
        <v>67688.800000000003</v>
      </c>
      <c r="DO507">
        <v>90293.2</v>
      </c>
      <c r="DQ507">
        <v>14290.7</v>
      </c>
    </row>
    <row r="508" spans="1:121" x14ac:dyDescent="0.2">
      <c r="D508" t="s">
        <v>62</v>
      </c>
      <c r="E508" t="s">
        <v>61</v>
      </c>
      <c r="G508">
        <v>230.8</v>
      </c>
      <c r="I508">
        <v>46.1</v>
      </c>
      <c r="K508">
        <v>9180.1</v>
      </c>
      <c r="M508">
        <v>330.2</v>
      </c>
      <c r="O508">
        <v>88.1</v>
      </c>
      <c r="Q508">
        <v>616.6</v>
      </c>
      <c r="S508">
        <v>53.8</v>
      </c>
      <c r="U508">
        <v>118.5</v>
      </c>
      <c r="W508">
        <v>1197.0999999999999</v>
      </c>
      <c r="Y508">
        <v>674.2</v>
      </c>
      <c r="AA508">
        <v>20271.3</v>
      </c>
      <c r="AC508">
        <v>55190.3</v>
      </c>
      <c r="AE508">
        <v>12691.2</v>
      </c>
      <c r="AG508">
        <v>2243.3000000000002</v>
      </c>
      <c r="AI508">
        <v>5594.7</v>
      </c>
      <c r="AK508">
        <v>79.2</v>
      </c>
      <c r="AM508">
        <v>30.1</v>
      </c>
      <c r="AO508">
        <v>10</v>
      </c>
      <c r="AQ508">
        <v>46.9</v>
      </c>
      <c r="AS508">
        <v>11</v>
      </c>
      <c r="AU508">
        <v>7.9</v>
      </c>
      <c r="AW508">
        <v>12.6</v>
      </c>
      <c r="AY508">
        <v>146.1</v>
      </c>
      <c r="BA508">
        <v>7325.6</v>
      </c>
      <c r="BC508">
        <v>76.3</v>
      </c>
      <c r="BE508">
        <v>893.9</v>
      </c>
      <c r="BG508">
        <v>41308.400000000001</v>
      </c>
      <c r="BI508">
        <v>26284.5</v>
      </c>
      <c r="BK508">
        <v>39566.5</v>
      </c>
      <c r="BM508">
        <v>4777.3</v>
      </c>
      <c r="BO508">
        <v>49799.3</v>
      </c>
      <c r="BQ508">
        <v>368.9</v>
      </c>
      <c r="BS508">
        <v>290.8</v>
      </c>
      <c r="BU508">
        <v>4048.8</v>
      </c>
      <c r="BW508">
        <v>493.9</v>
      </c>
      <c r="BY508">
        <v>32137.3</v>
      </c>
      <c r="CA508">
        <v>735.5</v>
      </c>
      <c r="CC508">
        <v>8.9</v>
      </c>
      <c r="CE508">
        <v>12.8</v>
      </c>
      <c r="CG508">
        <v>859.2</v>
      </c>
      <c r="CI508">
        <v>1457.9</v>
      </c>
      <c r="CK508">
        <v>3796.2</v>
      </c>
      <c r="CM508">
        <v>88.9</v>
      </c>
      <c r="CO508">
        <v>17.7</v>
      </c>
      <c r="CQ508">
        <v>524.70000000000005</v>
      </c>
      <c r="CS508">
        <v>5819.7</v>
      </c>
      <c r="CU508">
        <v>4356.2</v>
      </c>
      <c r="CW508">
        <v>9107.4</v>
      </c>
      <c r="CY508">
        <v>1096.8</v>
      </c>
      <c r="DA508">
        <v>329808</v>
      </c>
      <c r="DC508">
        <v>303.10000000000002</v>
      </c>
      <c r="DE508">
        <v>360.7</v>
      </c>
      <c r="DG508">
        <v>69.8</v>
      </c>
      <c r="DI508">
        <v>226.4</v>
      </c>
      <c r="DK508">
        <v>36.1</v>
      </c>
      <c r="DM508">
        <v>781.8</v>
      </c>
      <c r="DO508">
        <v>453.8</v>
      </c>
      <c r="DQ508">
        <v>89.8</v>
      </c>
    </row>
    <row r="509" spans="1:121" x14ac:dyDescent="0.2">
      <c r="D509" t="s">
        <v>63</v>
      </c>
      <c r="G509">
        <v>0.14827000000000001</v>
      </c>
      <c r="H509" t="s">
        <v>75</v>
      </c>
      <c r="I509">
        <v>1.47E-2</v>
      </c>
      <c r="J509" t="s">
        <v>75</v>
      </c>
      <c r="K509">
        <v>1.99034</v>
      </c>
      <c r="L509" t="s">
        <v>75</v>
      </c>
      <c r="M509">
        <v>0.14384</v>
      </c>
      <c r="N509" t="s">
        <v>75</v>
      </c>
      <c r="O509">
        <v>3.2599999999999999E-3</v>
      </c>
      <c r="P509" t="s">
        <v>75</v>
      </c>
      <c r="Q509">
        <v>0.20737</v>
      </c>
      <c r="R509" t="s">
        <v>75</v>
      </c>
      <c r="S509">
        <v>1.0300000000000001E-3</v>
      </c>
      <c r="T509" t="s">
        <v>75</v>
      </c>
      <c r="U509">
        <v>1.017E-2</v>
      </c>
      <c r="V509" t="s">
        <v>75</v>
      </c>
      <c r="W509">
        <v>0.14979999999999999</v>
      </c>
      <c r="X509" t="s">
        <v>75</v>
      </c>
      <c r="Y509">
        <v>0.67844000000000004</v>
      </c>
      <c r="Z509" t="s">
        <v>75</v>
      </c>
      <c r="AB509" t="s">
        <v>76</v>
      </c>
      <c r="AC509">
        <v>13.36355</v>
      </c>
      <c r="AD509" t="s">
        <v>75</v>
      </c>
      <c r="AE509">
        <v>5.1473100000000001</v>
      </c>
      <c r="AF509" t="s">
        <v>75</v>
      </c>
      <c r="AG509">
        <v>8.4640000000000007E-2</v>
      </c>
      <c r="AH509" t="s">
        <v>75</v>
      </c>
      <c r="AI509">
        <v>1.67777</v>
      </c>
      <c r="AJ509" t="s">
        <v>75</v>
      </c>
      <c r="AK509">
        <v>-1.1800000000000001E-3</v>
      </c>
      <c r="AL509" t="s">
        <v>75</v>
      </c>
      <c r="AM509">
        <v>-4.7299999999999998E-3</v>
      </c>
      <c r="AN509" t="s">
        <v>75</v>
      </c>
      <c r="AO509">
        <v>1.9300000000000001E-3</v>
      </c>
      <c r="AP509" t="s">
        <v>75</v>
      </c>
      <c r="AQ509">
        <v>5.9000000000000003E-4</v>
      </c>
      <c r="AR509" t="s">
        <v>75</v>
      </c>
      <c r="AS509">
        <v>-2.0000000000000002E-5</v>
      </c>
      <c r="AT509" t="s">
        <v>75</v>
      </c>
      <c r="AU509">
        <v>1.4499999999999999E-3</v>
      </c>
      <c r="AV509" t="s">
        <v>75</v>
      </c>
      <c r="AW509">
        <v>-5.9000000000000003E-4</v>
      </c>
      <c r="AX509" t="s">
        <v>75</v>
      </c>
      <c r="AY509">
        <v>8.5000000000000006E-3</v>
      </c>
      <c r="AZ509" t="s">
        <v>75</v>
      </c>
      <c r="BC509">
        <v>-2.0533999999999999</v>
      </c>
      <c r="BD509" t="s">
        <v>75</v>
      </c>
      <c r="BE509">
        <v>0.14877000000000001</v>
      </c>
      <c r="BF509" t="s">
        <v>75</v>
      </c>
      <c r="BG509">
        <v>8.3820200000000007</v>
      </c>
      <c r="BH509" t="s">
        <v>75</v>
      </c>
      <c r="BI509">
        <v>8.0244700000000009</v>
      </c>
      <c r="BJ509" t="s">
        <v>75</v>
      </c>
      <c r="BK509">
        <v>7.8786399999999999</v>
      </c>
      <c r="BL509" t="s">
        <v>75</v>
      </c>
      <c r="BM509">
        <v>0.28069</v>
      </c>
      <c r="BN509" t="s">
        <v>75</v>
      </c>
      <c r="BO509">
        <v>146.46020999999999</v>
      </c>
      <c r="BP509" t="s">
        <v>75</v>
      </c>
      <c r="BQ509">
        <v>0.68720999999999999</v>
      </c>
      <c r="BR509" t="s">
        <v>75</v>
      </c>
      <c r="BS509">
        <v>0.67657</v>
      </c>
      <c r="BT509" t="s">
        <v>75</v>
      </c>
      <c r="BU509">
        <v>48.598030000000001</v>
      </c>
      <c r="BV509" t="s">
        <v>75</v>
      </c>
      <c r="BW509">
        <v>6.3763199999999998</v>
      </c>
      <c r="BX509" t="s">
        <v>75</v>
      </c>
      <c r="BY509">
        <v>651.98359000000005</v>
      </c>
      <c r="BZ509" t="s">
        <v>75</v>
      </c>
      <c r="CA509">
        <v>10.61651</v>
      </c>
      <c r="CB509" t="s">
        <v>75</v>
      </c>
      <c r="CC509">
        <v>3.4349999999999999E-2</v>
      </c>
      <c r="CD509" t="s">
        <v>75</v>
      </c>
      <c r="CE509">
        <v>1.358E-2</v>
      </c>
      <c r="CF509" t="s">
        <v>75</v>
      </c>
      <c r="CG509">
        <v>0.61316000000000004</v>
      </c>
      <c r="CH509" t="s">
        <v>75</v>
      </c>
      <c r="CI509">
        <v>1.0575399999999999</v>
      </c>
      <c r="CJ509" t="s">
        <v>75</v>
      </c>
      <c r="CK509">
        <v>2.7234699999999998</v>
      </c>
      <c r="CL509" t="s">
        <v>75</v>
      </c>
      <c r="CM509">
        <v>7.2999999999999996E-4</v>
      </c>
      <c r="CN509" t="s">
        <v>75</v>
      </c>
      <c r="CO509">
        <v>0.10872999999999999</v>
      </c>
      <c r="CP509" t="s">
        <v>75</v>
      </c>
      <c r="CQ509">
        <v>6.2715899999999998</v>
      </c>
      <c r="CR509" t="s">
        <v>75</v>
      </c>
      <c r="CS509">
        <v>137.8776</v>
      </c>
      <c r="CT509" t="s">
        <v>75</v>
      </c>
      <c r="CV509" t="s">
        <v>76</v>
      </c>
      <c r="CW509">
        <v>14.083679999999999</v>
      </c>
      <c r="CX509" t="s">
        <v>75</v>
      </c>
      <c r="DA509">
        <v>1042.3418999999999</v>
      </c>
      <c r="DB509" t="s">
        <v>75</v>
      </c>
      <c r="DC509">
        <v>9.776E-2</v>
      </c>
      <c r="DD509" t="s">
        <v>75</v>
      </c>
      <c r="DE509">
        <v>13.050800000000001</v>
      </c>
      <c r="DF509" t="s">
        <v>75</v>
      </c>
      <c r="DG509">
        <v>4.6122800000000002</v>
      </c>
      <c r="DH509" t="s">
        <v>75</v>
      </c>
      <c r="DI509">
        <v>7.3970900000000004</v>
      </c>
      <c r="DJ509" t="s">
        <v>75</v>
      </c>
      <c r="DL509" t="s">
        <v>76</v>
      </c>
      <c r="DN509" t="s">
        <v>76</v>
      </c>
      <c r="DO509">
        <v>15.231640000000001</v>
      </c>
      <c r="DP509" t="s">
        <v>75</v>
      </c>
    </row>
    <row r="510" spans="1:121" x14ac:dyDescent="0.2">
      <c r="D510" t="s">
        <v>64</v>
      </c>
      <c r="G510">
        <v>2.3500000000000001E-3</v>
      </c>
      <c r="H510" t="s">
        <v>75</v>
      </c>
      <c r="I510">
        <v>1.48E-3</v>
      </c>
      <c r="J510" t="s">
        <v>75</v>
      </c>
      <c r="K510">
        <v>1.8159999999999999E-2</v>
      </c>
      <c r="L510" t="s">
        <v>75</v>
      </c>
      <c r="M510">
        <v>2.2100000000000002E-3</v>
      </c>
      <c r="N510" t="s">
        <v>75</v>
      </c>
      <c r="O510">
        <v>6.9999999999999994E-5</v>
      </c>
      <c r="P510" t="s">
        <v>75</v>
      </c>
      <c r="Q510">
        <v>5.5799999999999999E-3</v>
      </c>
      <c r="R510" t="s">
        <v>75</v>
      </c>
      <c r="S510">
        <v>4.0000000000000003E-5</v>
      </c>
      <c r="T510" t="s">
        <v>75</v>
      </c>
      <c r="U510">
        <v>5.1999999999999995E-4</v>
      </c>
      <c r="V510" t="s">
        <v>75</v>
      </c>
      <c r="W510">
        <v>2.2799999999999999E-3</v>
      </c>
      <c r="X510" t="s">
        <v>75</v>
      </c>
      <c r="Y510">
        <v>1.3440000000000001E-2</v>
      </c>
      <c r="Z510" t="s">
        <v>75</v>
      </c>
      <c r="AC510">
        <v>0.23186000000000001</v>
      </c>
      <c r="AD510" t="s">
        <v>75</v>
      </c>
      <c r="AE510">
        <v>4.5190000000000001E-2</v>
      </c>
      <c r="AF510" t="s">
        <v>75</v>
      </c>
      <c r="AG510">
        <v>1.17E-3</v>
      </c>
      <c r="AH510" t="s">
        <v>75</v>
      </c>
      <c r="AI510">
        <v>1.737E-2</v>
      </c>
      <c r="AJ510" t="s">
        <v>75</v>
      </c>
      <c r="AK510">
        <v>4.0000000000000003E-5</v>
      </c>
      <c r="AL510" t="s">
        <v>75</v>
      </c>
      <c r="AM510">
        <v>1.0000000000000001E-5</v>
      </c>
      <c r="AN510" t="s">
        <v>75</v>
      </c>
      <c r="AO510">
        <v>4.0000000000000003E-5</v>
      </c>
      <c r="AP510" t="s">
        <v>75</v>
      </c>
      <c r="AQ510">
        <v>2.0000000000000001E-4</v>
      </c>
      <c r="AR510" t="s">
        <v>75</v>
      </c>
      <c r="AS510">
        <v>4.0000000000000003E-5</v>
      </c>
      <c r="AT510" t="s">
        <v>75</v>
      </c>
      <c r="AU510">
        <v>0</v>
      </c>
      <c r="AV510" t="s">
        <v>75</v>
      </c>
      <c r="AW510">
        <v>3.0000000000000001E-5</v>
      </c>
      <c r="AX510" t="s">
        <v>75</v>
      </c>
      <c r="AY510">
        <v>6.2E-4</v>
      </c>
      <c r="AZ510" t="s">
        <v>75</v>
      </c>
      <c r="BC510">
        <v>1.6000000000000001E-4</v>
      </c>
      <c r="BD510" t="s">
        <v>75</v>
      </c>
      <c r="BE510">
        <v>1.98E-3</v>
      </c>
      <c r="BF510" t="s">
        <v>75</v>
      </c>
      <c r="BG510">
        <v>0.19950999999999999</v>
      </c>
      <c r="BH510" t="s">
        <v>75</v>
      </c>
      <c r="BI510">
        <v>0.16975000000000001</v>
      </c>
      <c r="BJ510" t="s">
        <v>75</v>
      </c>
      <c r="BK510">
        <v>0.14709</v>
      </c>
      <c r="BL510" t="s">
        <v>75</v>
      </c>
      <c r="BM510">
        <v>7.43E-3</v>
      </c>
      <c r="BN510" t="s">
        <v>75</v>
      </c>
      <c r="BO510">
        <v>3.7428400000000002</v>
      </c>
      <c r="BP510" t="s">
        <v>75</v>
      </c>
      <c r="BQ510">
        <v>3.227E-2</v>
      </c>
      <c r="BR510" t="s">
        <v>75</v>
      </c>
      <c r="BS510">
        <v>1.417E-2</v>
      </c>
      <c r="BT510" t="s">
        <v>75</v>
      </c>
      <c r="BU510">
        <v>1.4129799999999999</v>
      </c>
      <c r="BV510" t="s">
        <v>75</v>
      </c>
      <c r="BW510">
        <v>0.22209999999999999</v>
      </c>
      <c r="BX510" t="s">
        <v>75</v>
      </c>
      <c r="BY510">
        <v>5.6075999999999997</v>
      </c>
      <c r="BZ510" t="s">
        <v>75</v>
      </c>
      <c r="CA510">
        <v>0.38674999999999998</v>
      </c>
      <c r="CB510" t="s">
        <v>75</v>
      </c>
      <c r="CC510">
        <v>1.7099999999999999E-3</v>
      </c>
      <c r="CD510" t="s">
        <v>75</v>
      </c>
      <c r="CE510">
        <v>1.2E-4</v>
      </c>
      <c r="CF510" t="s">
        <v>75</v>
      </c>
      <c r="CG510">
        <v>1.9550000000000001E-2</v>
      </c>
      <c r="CH510" t="s">
        <v>75</v>
      </c>
      <c r="CI510">
        <v>2.7689999999999999E-2</v>
      </c>
      <c r="CJ510" t="s">
        <v>75</v>
      </c>
      <c r="CK510">
        <v>8.4879999999999997E-2</v>
      </c>
      <c r="CL510" t="s">
        <v>75</v>
      </c>
      <c r="CM510">
        <v>1.1199999999999999E-3</v>
      </c>
      <c r="CN510" t="s">
        <v>75</v>
      </c>
      <c r="CO510">
        <v>2.7599999999999999E-3</v>
      </c>
      <c r="CP510" t="s">
        <v>75</v>
      </c>
      <c r="CQ510">
        <v>9.9470000000000003E-2</v>
      </c>
      <c r="CR510" t="s">
        <v>75</v>
      </c>
      <c r="CS510">
        <v>2.7460900000000001</v>
      </c>
      <c r="CT510" t="s">
        <v>75</v>
      </c>
      <c r="CW510">
        <v>0.55464000000000002</v>
      </c>
      <c r="CX510" t="s">
        <v>75</v>
      </c>
      <c r="DA510">
        <v>25.68676</v>
      </c>
      <c r="DB510" t="s">
        <v>75</v>
      </c>
      <c r="DC510">
        <v>0.15314</v>
      </c>
      <c r="DD510" t="s">
        <v>75</v>
      </c>
      <c r="DE510">
        <v>0.20437</v>
      </c>
      <c r="DF510" t="s">
        <v>75</v>
      </c>
      <c r="DG510">
        <v>0.39612999999999998</v>
      </c>
      <c r="DH510" t="s">
        <v>75</v>
      </c>
      <c r="DI510">
        <v>0.47255000000000003</v>
      </c>
      <c r="DJ510" t="s">
        <v>75</v>
      </c>
      <c r="DO510">
        <v>0.16647000000000001</v>
      </c>
      <c r="DP510" t="s">
        <v>75</v>
      </c>
    </row>
    <row r="511" spans="1:121" x14ac:dyDescent="0.2">
      <c r="D511" t="s">
        <v>65</v>
      </c>
      <c r="G511" t="s">
        <v>66</v>
      </c>
      <c r="I511" t="s">
        <v>66</v>
      </c>
      <c r="K511" t="s">
        <v>66</v>
      </c>
      <c r="M511" t="s">
        <v>66</v>
      </c>
      <c r="O511" t="s">
        <v>66</v>
      </c>
      <c r="Q511" t="s">
        <v>66</v>
      </c>
      <c r="S511" t="s">
        <v>66</v>
      </c>
      <c r="U511" t="s">
        <v>66</v>
      </c>
      <c r="W511" t="s">
        <v>66</v>
      </c>
      <c r="Y511" t="s">
        <v>66</v>
      </c>
      <c r="AA511" t="s">
        <v>66</v>
      </c>
      <c r="AC511" t="s">
        <v>66</v>
      </c>
      <c r="AE511" t="s">
        <v>66</v>
      </c>
      <c r="AG511" t="s">
        <v>66</v>
      </c>
      <c r="AI511" t="s">
        <v>66</v>
      </c>
      <c r="AK511" t="s">
        <v>66</v>
      </c>
      <c r="AM511" t="s">
        <v>66</v>
      </c>
      <c r="AO511" t="s">
        <v>66</v>
      </c>
      <c r="AQ511" t="s">
        <v>66</v>
      </c>
      <c r="AS511" t="s">
        <v>66</v>
      </c>
      <c r="AU511" t="s">
        <v>66</v>
      </c>
      <c r="AW511" t="s">
        <v>66</v>
      </c>
      <c r="AY511" t="s">
        <v>66</v>
      </c>
      <c r="BA511" t="s">
        <v>66</v>
      </c>
      <c r="BC511" t="s">
        <v>66</v>
      </c>
      <c r="BE511" t="s">
        <v>66</v>
      </c>
      <c r="BG511" t="s">
        <v>66</v>
      </c>
      <c r="BI511" t="s">
        <v>66</v>
      </c>
      <c r="BK511" t="s">
        <v>66</v>
      </c>
      <c r="BM511" t="s">
        <v>66</v>
      </c>
      <c r="BO511" t="s">
        <v>66</v>
      </c>
      <c r="BQ511" t="s">
        <v>66</v>
      </c>
      <c r="BS511" t="s">
        <v>66</v>
      </c>
      <c r="BU511" t="s">
        <v>66</v>
      </c>
      <c r="BW511" t="s">
        <v>66</v>
      </c>
      <c r="BY511" t="s">
        <v>66</v>
      </c>
      <c r="CA511" t="s">
        <v>66</v>
      </c>
      <c r="CC511" t="s">
        <v>66</v>
      </c>
      <c r="CE511" t="s">
        <v>66</v>
      </c>
      <c r="CG511" t="s">
        <v>66</v>
      </c>
      <c r="CI511" t="s">
        <v>66</v>
      </c>
      <c r="CK511" t="s">
        <v>66</v>
      </c>
      <c r="CM511" t="s">
        <v>66</v>
      </c>
      <c r="CO511" t="s">
        <v>66</v>
      </c>
      <c r="CQ511" t="s">
        <v>66</v>
      </c>
      <c r="CS511" t="s">
        <v>66</v>
      </c>
      <c r="CU511" t="s">
        <v>66</v>
      </c>
      <c r="CW511" t="s">
        <v>66</v>
      </c>
      <c r="CY511" t="s">
        <v>66</v>
      </c>
      <c r="DA511" t="s">
        <v>66</v>
      </c>
      <c r="DC511" t="s">
        <v>66</v>
      </c>
      <c r="DE511" t="s">
        <v>66</v>
      </c>
      <c r="DG511" t="s">
        <v>66</v>
      </c>
      <c r="DI511" t="s">
        <v>66</v>
      </c>
      <c r="DK511" t="s">
        <v>66</v>
      </c>
      <c r="DM511" t="s">
        <v>66</v>
      </c>
      <c r="DO511" t="s">
        <v>66</v>
      </c>
      <c r="DQ511" t="s">
        <v>66</v>
      </c>
    </row>
    <row r="512" spans="1:121" x14ac:dyDescent="0.2">
      <c r="A512" t="s">
        <v>672</v>
      </c>
      <c r="D512" t="s">
        <v>60</v>
      </c>
      <c r="E512" t="s">
        <v>61</v>
      </c>
      <c r="G512">
        <v>26201.3</v>
      </c>
      <c r="I512">
        <v>719.3</v>
      </c>
      <c r="K512">
        <v>1878635.5</v>
      </c>
      <c r="M512">
        <v>244674.1</v>
      </c>
      <c r="O512">
        <v>531.4</v>
      </c>
      <c r="Q512">
        <v>36141</v>
      </c>
      <c r="S512">
        <v>1997.4</v>
      </c>
      <c r="U512">
        <v>1195.5</v>
      </c>
      <c r="W512">
        <v>72770.600000000006</v>
      </c>
      <c r="Y512">
        <v>50747.9</v>
      </c>
      <c r="AA512">
        <v>3073302.7</v>
      </c>
      <c r="AC512">
        <v>3018767.7</v>
      </c>
      <c r="AE512">
        <v>1116209.7</v>
      </c>
      <c r="AG512">
        <v>158963.29999999999</v>
      </c>
      <c r="AI512">
        <v>398858.9</v>
      </c>
      <c r="AK512">
        <v>1238.3</v>
      </c>
      <c r="AM512">
        <v>1145.5</v>
      </c>
      <c r="AO512">
        <v>160.4</v>
      </c>
      <c r="AQ512">
        <v>344.8</v>
      </c>
      <c r="AS512">
        <v>267.7</v>
      </c>
      <c r="AU512">
        <v>163.5</v>
      </c>
      <c r="AW512">
        <v>124</v>
      </c>
      <c r="AY512">
        <v>22962</v>
      </c>
      <c r="BA512">
        <v>683982.2</v>
      </c>
      <c r="BC512">
        <v>1937</v>
      </c>
      <c r="BE512">
        <v>198883.3</v>
      </c>
      <c r="BG512">
        <v>3414310.7</v>
      </c>
      <c r="BI512">
        <v>2786111</v>
      </c>
      <c r="BK512">
        <v>6206696.5</v>
      </c>
      <c r="BM512">
        <v>342387.20000000001</v>
      </c>
      <c r="BO512">
        <v>8187800.0999999996</v>
      </c>
      <c r="BQ512">
        <v>40202.400000000001</v>
      </c>
      <c r="BS512">
        <v>69627.600000000006</v>
      </c>
      <c r="BU512">
        <v>1439217.5</v>
      </c>
      <c r="BW512">
        <v>13946.5</v>
      </c>
      <c r="BY512">
        <v>2609563.9</v>
      </c>
      <c r="CA512">
        <v>27396.400000000001</v>
      </c>
      <c r="CC512">
        <v>141.69999999999999</v>
      </c>
      <c r="CE512">
        <v>1112.7</v>
      </c>
      <c r="CG512">
        <v>38265</v>
      </c>
      <c r="CI512">
        <v>99321.3</v>
      </c>
      <c r="CK512">
        <v>219418.8</v>
      </c>
      <c r="CM512">
        <v>559.4</v>
      </c>
      <c r="CO512">
        <v>1759.6</v>
      </c>
      <c r="CQ512">
        <v>295848.7</v>
      </c>
      <c r="CS512">
        <v>659744.30000000005</v>
      </c>
      <c r="CU512">
        <v>264645.8</v>
      </c>
      <c r="CW512">
        <v>282052.59999999998</v>
      </c>
      <c r="CY512">
        <v>60318.3</v>
      </c>
      <c r="DA512">
        <v>16560874.4</v>
      </c>
      <c r="DC512">
        <v>183.2</v>
      </c>
      <c r="DE512">
        <v>20075.599999999999</v>
      </c>
      <c r="DG512">
        <v>846.4</v>
      </c>
      <c r="DI512">
        <v>3850.4</v>
      </c>
      <c r="DK512">
        <v>750.7</v>
      </c>
      <c r="DM512">
        <v>68580.7</v>
      </c>
      <c r="DO512">
        <v>64508</v>
      </c>
      <c r="DQ512">
        <v>14396.7</v>
      </c>
    </row>
    <row r="513" spans="1:121" x14ac:dyDescent="0.2">
      <c r="D513" t="s">
        <v>62</v>
      </c>
      <c r="E513" t="s">
        <v>61</v>
      </c>
      <c r="G513">
        <v>212.5</v>
      </c>
      <c r="I513">
        <v>88.4</v>
      </c>
      <c r="K513">
        <v>11592.5</v>
      </c>
      <c r="M513">
        <v>2520.1</v>
      </c>
      <c r="O513">
        <v>87.6</v>
      </c>
      <c r="Q513">
        <v>473.1</v>
      </c>
      <c r="S513">
        <v>83.2</v>
      </c>
      <c r="U513">
        <v>13</v>
      </c>
      <c r="W513">
        <v>632.20000000000005</v>
      </c>
      <c r="Y513">
        <v>558.5</v>
      </c>
      <c r="AA513">
        <v>38255</v>
      </c>
      <c r="AC513">
        <v>41675.300000000003</v>
      </c>
      <c r="AE513">
        <v>15721.2</v>
      </c>
      <c r="AG513">
        <v>910.1</v>
      </c>
      <c r="AI513">
        <v>5781.9</v>
      </c>
      <c r="AK513">
        <v>136.1</v>
      </c>
      <c r="AM513">
        <v>46.8</v>
      </c>
      <c r="AO513">
        <v>51.4</v>
      </c>
      <c r="AQ513">
        <v>15.8</v>
      </c>
      <c r="AS513">
        <v>17.2</v>
      </c>
      <c r="AU513">
        <v>35.9</v>
      </c>
      <c r="AW513">
        <v>9.5</v>
      </c>
      <c r="AY513">
        <v>234.7</v>
      </c>
      <c r="BA513">
        <v>9099.1</v>
      </c>
      <c r="BC513">
        <v>122.3</v>
      </c>
      <c r="BE513">
        <v>1222.5999999999999</v>
      </c>
      <c r="BG513">
        <v>37515.800000000003</v>
      </c>
      <c r="BI513">
        <v>6519.5</v>
      </c>
      <c r="BK513">
        <v>20581.900000000001</v>
      </c>
      <c r="BM513">
        <v>3552</v>
      </c>
      <c r="BO513">
        <v>52400.5</v>
      </c>
      <c r="BQ513">
        <v>283</v>
      </c>
      <c r="BS513">
        <v>969.4</v>
      </c>
      <c r="BU513">
        <v>8683.7000000000007</v>
      </c>
      <c r="BW513">
        <v>362.3</v>
      </c>
      <c r="BY513">
        <v>48491.3</v>
      </c>
      <c r="CA513">
        <v>348.4</v>
      </c>
      <c r="CC513">
        <v>22.7</v>
      </c>
      <c r="CE513">
        <v>13.2</v>
      </c>
      <c r="CG513">
        <v>1383.7</v>
      </c>
      <c r="CI513">
        <v>2347.1</v>
      </c>
      <c r="CK513">
        <v>6410.6</v>
      </c>
      <c r="CM513">
        <v>15.8</v>
      </c>
      <c r="CO513">
        <v>34.799999999999997</v>
      </c>
      <c r="CQ513">
        <v>3315</v>
      </c>
      <c r="CS513">
        <v>9732.7000000000007</v>
      </c>
      <c r="CU513">
        <v>2813</v>
      </c>
      <c r="CW513">
        <v>3664.5</v>
      </c>
      <c r="CY513">
        <v>1032.7</v>
      </c>
      <c r="DA513">
        <v>154683.1</v>
      </c>
      <c r="DC513">
        <v>279.89999999999998</v>
      </c>
      <c r="DE513">
        <v>320.7</v>
      </c>
      <c r="DG513">
        <v>49.2</v>
      </c>
      <c r="DI513">
        <v>191.9</v>
      </c>
      <c r="DK513">
        <v>24.6</v>
      </c>
      <c r="DM513">
        <v>2519.3000000000002</v>
      </c>
      <c r="DO513">
        <v>786.9</v>
      </c>
      <c r="DQ513">
        <v>167.3</v>
      </c>
    </row>
    <row r="514" spans="1:121" x14ac:dyDescent="0.2">
      <c r="D514" t="s">
        <v>63</v>
      </c>
      <c r="G514">
        <v>0.17193</v>
      </c>
      <c r="H514" t="s">
        <v>75</v>
      </c>
      <c r="I514">
        <v>1.225E-2</v>
      </c>
      <c r="J514" t="s">
        <v>75</v>
      </c>
      <c r="K514">
        <v>2.3648899999999999</v>
      </c>
      <c r="L514" t="s">
        <v>75</v>
      </c>
      <c r="M514">
        <v>0.21218000000000001</v>
      </c>
      <c r="N514" t="s">
        <v>75</v>
      </c>
      <c r="O514">
        <v>3.3700000000000002E-3</v>
      </c>
      <c r="P514" t="s">
        <v>75</v>
      </c>
      <c r="Q514">
        <v>0.25229000000000001</v>
      </c>
      <c r="R514" t="s">
        <v>75</v>
      </c>
      <c r="S514">
        <v>1.0399999999999999E-3</v>
      </c>
      <c r="T514" t="s">
        <v>75</v>
      </c>
      <c r="U514">
        <v>1.055E-2</v>
      </c>
      <c r="V514" t="s">
        <v>75</v>
      </c>
      <c r="W514">
        <v>0.15653</v>
      </c>
      <c r="X514" t="s">
        <v>75</v>
      </c>
      <c r="Y514">
        <v>0.74687999999999999</v>
      </c>
      <c r="Z514" t="s">
        <v>75</v>
      </c>
      <c r="AB514" t="s">
        <v>76</v>
      </c>
      <c r="AC514">
        <v>10.6853</v>
      </c>
      <c r="AD514" t="s">
        <v>75</v>
      </c>
      <c r="AE514">
        <v>4.1825700000000001</v>
      </c>
      <c r="AF514" t="s">
        <v>75</v>
      </c>
      <c r="AG514">
        <v>0.10735</v>
      </c>
      <c r="AH514" t="s">
        <v>75</v>
      </c>
      <c r="AI514">
        <v>2.4986999999999999</v>
      </c>
      <c r="AJ514" t="s">
        <v>75</v>
      </c>
      <c r="AK514">
        <v>-1.2999999999999999E-3</v>
      </c>
      <c r="AL514" t="s">
        <v>75</v>
      </c>
      <c r="AM514">
        <v>-4.8300000000000001E-3</v>
      </c>
      <c r="AN514" t="s">
        <v>75</v>
      </c>
      <c r="AO514">
        <v>2.0100000000000001E-3</v>
      </c>
      <c r="AP514" t="s">
        <v>75</v>
      </c>
      <c r="AQ514">
        <v>5.1000000000000004E-4</v>
      </c>
      <c r="AR514" t="s">
        <v>75</v>
      </c>
      <c r="AS514">
        <v>1.3999999999999999E-4</v>
      </c>
      <c r="AT514" t="s">
        <v>75</v>
      </c>
      <c r="AU514">
        <v>1.4599999999999999E-3</v>
      </c>
      <c r="AV514" t="s">
        <v>75</v>
      </c>
      <c r="AW514">
        <v>-5.0000000000000001E-4</v>
      </c>
      <c r="AX514" t="s">
        <v>75</v>
      </c>
      <c r="AY514">
        <v>6.3079999999999997E-2</v>
      </c>
      <c r="AZ514" t="s">
        <v>75</v>
      </c>
      <c r="BC514">
        <v>-2.05416</v>
      </c>
      <c r="BD514" t="s">
        <v>75</v>
      </c>
      <c r="BE514">
        <v>0.19081000000000001</v>
      </c>
      <c r="BF514" t="s">
        <v>75</v>
      </c>
      <c r="BG514">
        <v>9.6925699999999999</v>
      </c>
      <c r="BH514" t="s">
        <v>75</v>
      </c>
      <c r="BI514">
        <v>9.1121200000000009</v>
      </c>
      <c r="BJ514" t="s">
        <v>75</v>
      </c>
      <c r="BK514">
        <v>9.0033100000000008</v>
      </c>
      <c r="BL514" t="s">
        <v>75</v>
      </c>
      <c r="BM514">
        <v>0.30897000000000002</v>
      </c>
      <c r="BN514" t="s">
        <v>75</v>
      </c>
      <c r="BO514">
        <v>176.97744</v>
      </c>
      <c r="BP514" t="s">
        <v>75</v>
      </c>
      <c r="BQ514">
        <v>0.92547000000000001</v>
      </c>
      <c r="BR514" t="s">
        <v>75</v>
      </c>
      <c r="BS514">
        <v>1.0827899999999999</v>
      </c>
      <c r="BT514" t="s">
        <v>75</v>
      </c>
      <c r="BU514">
        <v>38.375480000000003</v>
      </c>
      <c r="BV514" t="s">
        <v>75</v>
      </c>
      <c r="BW514">
        <v>5.5999299999999996</v>
      </c>
      <c r="BX514" t="s">
        <v>75</v>
      </c>
      <c r="BY514">
        <v>716.50720999999999</v>
      </c>
      <c r="BZ514" t="s">
        <v>75</v>
      </c>
      <c r="CA514">
        <v>10.9049</v>
      </c>
      <c r="CB514" t="s">
        <v>75</v>
      </c>
      <c r="CC514">
        <v>1.562E-2</v>
      </c>
      <c r="CD514" t="s">
        <v>75</v>
      </c>
      <c r="CE514">
        <v>1.474E-2</v>
      </c>
      <c r="CF514" t="s">
        <v>75</v>
      </c>
      <c r="CG514">
        <v>0.62722999999999995</v>
      </c>
      <c r="CH514" t="s">
        <v>75</v>
      </c>
      <c r="CI514">
        <v>1.2524299999999999</v>
      </c>
      <c r="CJ514" t="s">
        <v>75</v>
      </c>
      <c r="CK514">
        <v>2.7415600000000002</v>
      </c>
      <c r="CL514" t="s">
        <v>75</v>
      </c>
      <c r="CM514">
        <v>8.7000000000000001E-4</v>
      </c>
      <c r="CN514" t="s">
        <v>75</v>
      </c>
      <c r="CO514">
        <v>0.10868999999999999</v>
      </c>
      <c r="CP514" t="s">
        <v>75</v>
      </c>
      <c r="CQ514">
        <v>8.8206799999999994</v>
      </c>
      <c r="CR514" t="s">
        <v>75</v>
      </c>
      <c r="CS514">
        <v>170.55301</v>
      </c>
      <c r="CT514" t="s">
        <v>75</v>
      </c>
      <c r="CV514" t="s">
        <v>76</v>
      </c>
      <c r="CW514">
        <v>10.32741</v>
      </c>
      <c r="CX514" t="s">
        <v>75</v>
      </c>
      <c r="DA514">
        <v>1117.7951399999999</v>
      </c>
      <c r="DB514" t="s">
        <v>75</v>
      </c>
      <c r="DC514">
        <v>9.0700000000000003E-2</v>
      </c>
      <c r="DD514" t="s">
        <v>75</v>
      </c>
      <c r="DE514">
        <v>10.27022</v>
      </c>
      <c r="DF514" t="s">
        <v>75</v>
      </c>
      <c r="DG514">
        <v>4.9785399999999997</v>
      </c>
      <c r="DH514" t="s">
        <v>75</v>
      </c>
      <c r="DI514">
        <v>7.2258300000000002</v>
      </c>
      <c r="DJ514" t="s">
        <v>75</v>
      </c>
      <c r="DL514" t="s">
        <v>76</v>
      </c>
      <c r="DN514" t="s">
        <v>76</v>
      </c>
      <c r="DO514">
        <v>10.799799999999999</v>
      </c>
      <c r="DP514" t="s">
        <v>75</v>
      </c>
    </row>
    <row r="515" spans="1:121" x14ac:dyDescent="0.2">
      <c r="D515" t="s">
        <v>64</v>
      </c>
      <c r="G515">
        <v>1.5200000000000001E-3</v>
      </c>
      <c r="H515" t="s">
        <v>75</v>
      </c>
      <c r="I515">
        <v>3.0300000000000001E-3</v>
      </c>
      <c r="J515" t="s">
        <v>75</v>
      </c>
      <c r="K515">
        <v>2.86E-2</v>
      </c>
      <c r="L515" t="s">
        <v>75</v>
      </c>
      <c r="M515">
        <v>4.0099999999999997E-3</v>
      </c>
      <c r="N515" t="s">
        <v>75</v>
      </c>
      <c r="O515">
        <v>8.0000000000000007E-5</v>
      </c>
      <c r="P515" t="s">
        <v>75</v>
      </c>
      <c r="Q515">
        <v>3.0999999999999999E-3</v>
      </c>
      <c r="R515" t="s">
        <v>75</v>
      </c>
      <c r="S515">
        <v>9.0000000000000006E-5</v>
      </c>
      <c r="T515" t="s">
        <v>75</v>
      </c>
      <c r="U515">
        <v>2.0000000000000002E-5</v>
      </c>
      <c r="V515" t="s">
        <v>75</v>
      </c>
      <c r="W515">
        <v>8.4000000000000003E-4</v>
      </c>
      <c r="X515" t="s">
        <v>75</v>
      </c>
      <c r="Y515">
        <v>7.2500000000000004E-3</v>
      </c>
      <c r="Z515" t="s">
        <v>75</v>
      </c>
      <c r="AC515">
        <v>5.8300000000000001E-3</v>
      </c>
      <c r="AD515" t="s">
        <v>75</v>
      </c>
      <c r="AE515">
        <v>5.7800000000000004E-3</v>
      </c>
      <c r="AF515" t="s">
        <v>75</v>
      </c>
      <c r="AG515">
        <v>1.3799999999999999E-3</v>
      </c>
      <c r="AH515" t="s">
        <v>75</v>
      </c>
      <c r="AI515">
        <v>3.0519999999999999E-2</v>
      </c>
      <c r="AJ515" t="s">
        <v>75</v>
      </c>
      <c r="AK515">
        <v>9.0000000000000006E-5</v>
      </c>
      <c r="AL515" t="s">
        <v>75</v>
      </c>
      <c r="AM515">
        <v>2.0000000000000002E-5</v>
      </c>
      <c r="AN515" t="s">
        <v>75</v>
      </c>
      <c r="AO515">
        <v>1.8000000000000001E-4</v>
      </c>
      <c r="AP515" t="s">
        <v>75</v>
      </c>
      <c r="AQ515">
        <v>5.0000000000000002E-5</v>
      </c>
      <c r="AR515" t="s">
        <v>75</v>
      </c>
      <c r="AS515">
        <v>9.0000000000000006E-5</v>
      </c>
      <c r="AT515" t="s">
        <v>75</v>
      </c>
      <c r="AU515">
        <v>2.0000000000000002E-5</v>
      </c>
      <c r="AV515" t="s">
        <v>75</v>
      </c>
      <c r="AW515">
        <v>2.0000000000000002E-5</v>
      </c>
      <c r="AX515" t="s">
        <v>75</v>
      </c>
      <c r="AY515">
        <v>4.2999999999999999E-4</v>
      </c>
      <c r="AZ515" t="s">
        <v>75</v>
      </c>
      <c r="BC515">
        <v>4.2999999999999999E-4</v>
      </c>
      <c r="BD515" t="s">
        <v>75</v>
      </c>
      <c r="BE515">
        <v>3.0899999999999999E-3</v>
      </c>
      <c r="BF515" t="s">
        <v>75</v>
      </c>
      <c r="BG515">
        <v>0.23344999999999999</v>
      </c>
      <c r="BH515" t="s">
        <v>75</v>
      </c>
      <c r="BI515">
        <v>0.11878</v>
      </c>
      <c r="BJ515" t="s">
        <v>75</v>
      </c>
      <c r="BK515">
        <v>0.13319</v>
      </c>
      <c r="BL515" t="s">
        <v>75</v>
      </c>
      <c r="BM515">
        <v>4.79E-3</v>
      </c>
      <c r="BN515" t="s">
        <v>75</v>
      </c>
      <c r="BO515">
        <v>1.9262900000000001</v>
      </c>
      <c r="BP515" t="s">
        <v>75</v>
      </c>
      <c r="BQ515">
        <v>1.772E-2</v>
      </c>
      <c r="BR515" t="s">
        <v>75</v>
      </c>
      <c r="BS515">
        <v>1.7639999999999999E-2</v>
      </c>
      <c r="BT515" t="s">
        <v>75</v>
      </c>
      <c r="BU515">
        <v>0.73880000000000001</v>
      </c>
      <c r="BV515" t="s">
        <v>75</v>
      </c>
      <c r="BW515">
        <v>0.10131999999999999</v>
      </c>
      <c r="BX515" t="s">
        <v>75</v>
      </c>
      <c r="BY515">
        <v>1.6861999999999999</v>
      </c>
      <c r="BZ515" t="s">
        <v>75</v>
      </c>
      <c r="CA515">
        <v>0.14176</v>
      </c>
      <c r="CB515" t="s">
        <v>75</v>
      </c>
      <c r="CC515">
        <v>4.8799999999999998E-3</v>
      </c>
      <c r="CD515" t="s">
        <v>75</v>
      </c>
      <c r="CE515">
        <v>2.5999999999999998E-4</v>
      </c>
      <c r="CF515" t="s">
        <v>75</v>
      </c>
      <c r="CG515">
        <v>1.593E-2</v>
      </c>
      <c r="CH515" t="s">
        <v>75</v>
      </c>
      <c r="CI515">
        <v>3.5830000000000001E-2</v>
      </c>
      <c r="CJ515" t="s">
        <v>75</v>
      </c>
      <c r="CK515">
        <v>8.5589999999999999E-2</v>
      </c>
      <c r="CL515" t="s">
        <v>75</v>
      </c>
      <c r="CM515">
        <v>1.9000000000000001E-4</v>
      </c>
      <c r="CN515" t="s">
        <v>75</v>
      </c>
      <c r="CO515">
        <v>3.3800000000000002E-3</v>
      </c>
      <c r="CP515" t="s">
        <v>75</v>
      </c>
      <c r="CQ515">
        <v>0.19706000000000001</v>
      </c>
      <c r="CR515" t="s">
        <v>75</v>
      </c>
      <c r="CS515">
        <v>4.9026500000000004</v>
      </c>
      <c r="CT515" t="s">
        <v>75</v>
      </c>
      <c r="CW515">
        <v>0.28381000000000001</v>
      </c>
      <c r="CX515" t="s">
        <v>75</v>
      </c>
      <c r="DA515">
        <v>5.4283999999999999</v>
      </c>
      <c r="DB515" t="s">
        <v>75</v>
      </c>
      <c r="DC515">
        <v>0.14033999999999999</v>
      </c>
      <c r="DD515" t="s">
        <v>75</v>
      </c>
      <c r="DE515">
        <v>6.8409999999999999E-2</v>
      </c>
      <c r="DF515" t="s">
        <v>75</v>
      </c>
      <c r="DG515">
        <v>0.24326999999999999</v>
      </c>
      <c r="DH515" t="s">
        <v>75</v>
      </c>
      <c r="DI515">
        <v>0.30074000000000001</v>
      </c>
      <c r="DJ515" t="s">
        <v>75</v>
      </c>
      <c r="DO515">
        <v>0.17419000000000001</v>
      </c>
      <c r="DP515" t="s">
        <v>75</v>
      </c>
    </row>
    <row r="516" spans="1:121" x14ac:dyDescent="0.2">
      <c r="D516" t="s">
        <v>65</v>
      </c>
      <c r="G516" t="s">
        <v>66</v>
      </c>
      <c r="I516" t="s">
        <v>66</v>
      </c>
      <c r="K516" t="s">
        <v>66</v>
      </c>
      <c r="M516" t="s">
        <v>66</v>
      </c>
      <c r="O516" t="s">
        <v>66</v>
      </c>
      <c r="Q516" t="s">
        <v>66</v>
      </c>
      <c r="S516" t="s">
        <v>66</v>
      </c>
      <c r="U516" t="s">
        <v>66</v>
      </c>
      <c r="W516" t="s">
        <v>66</v>
      </c>
      <c r="Y516" t="s">
        <v>66</v>
      </c>
      <c r="AA516" t="s">
        <v>66</v>
      </c>
      <c r="AC516" t="s">
        <v>66</v>
      </c>
      <c r="AE516" t="s">
        <v>66</v>
      </c>
      <c r="AG516" t="s">
        <v>66</v>
      </c>
      <c r="AI516" t="s">
        <v>66</v>
      </c>
      <c r="AK516" t="s">
        <v>66</v>
      </c>
      <c r="AM516" t="s">
        <v>66</v>
      </c>
      <c r="AO516" t="s">
        <v>66</v>
      </c>
      <c r="AQ516" t="s">
        <v>66</v>
      </c>
      <c r="AS516" t="s">
        <v>66</v>
      </c>
      <c r="AU516" t="s">
        <v>66</v>
      </c>
      <c r="AW516" t="s">
        <v>66</v>
      </c>
      <c r="AY516" t="s">
        <v>66</v>
      </c>
      <c r="BA516" t="s">
        <v>66</v>
      </c>
      <c r="BC516" t="s">
        <v>66</v>
      </c>
      <c r="BE516" t="s">
        <v>66</v>
      </c>
      <c r="BG516" t="s">
        <v>66</v>
      </c>
      <c r="BI516" t="s">
        <v>66</v>
      </c>
      <c r="BK516" t="s">
        <v>66</v>
      </c>
      <c r="BM516" t="s">
        <v>66</v>
      </c>
      <c r="BO516" t="s">
        <v>66</v>
      </c>
      <c r="BQ516" t="s">
        <v>66</v>
      </c>
      <c r="BS516" t="s">
        <v>66</v>
      </c>
      <c r="BU516" t="s">
        <v>66</v>
      </c>
      <c r="BW516" t="s">
        <v>66</v>
      </c>
      <c r="BY516" t="s">
        <v>66</v>
      </c>
      <c r="CA516" t="s">
        <v>66</v>
      </c>
      <c r="CC516" t="s">
        <v>66</v>
      </c>
      <c r="CE516" t="s">
        <v>66</v>
      </c>
      <c r="CG516" t="s">
        <v>66</v>
      </c>
      <c r="CI516" t="s">
        <v>66</v>
      </c>
      <c r="CK516" t="s">
        <v>66</v>
      </c>
      <c r="CM516" t="s">
        <v>66</v>
      </c>
      <c r="CO516" t="s">
        <v>66</v>
      </c>
      <c r="CQ516" t="s">
        <v>66</v>
      </c>
      <c r="CS516" t="s">
        <v>66</v>
      </c>
      <c r="CU516" t="s">
        <v>66</v>
      </c>
      <c r="CW516" t="s">
        <v>66</v>
      </c>
      <c r="CY516" t="s">
        <v>66</v>
      </c>
      <c r="DA516" t="s">
        <v>66</v>
      </c>
      <c r="DC516" t="s">
        <v>66</v>
      </c>
      <c r="DE516" t="s">
        <v>66</v>
      </c>
      <c r="DG516" t="s">
        <v>66</v>
      </c>
      <c r="DI516" t="s">
        <v>66</v>
      </c>
      <c r="DK516" t="s">
        <v>66</v>
      </c>
      <c r="DM516" t="s">
        <v>66</v>
      </c>
      <c r="DO516" t="s">
        <v>66</v>
      </c>
      <c r="DQ516" t="s">
        <v>66</v>
      </c>
    </row>
    <row r="517" spans="1:121" x14ac:dyDescent="0.2">
      <c r="A517" t="s">
        <v>673</v>
      </c>
      <c r="D517" t="s">
        <v>60</v>
      </c>
      <c r="E517" t="s">
        <v>61</v>
      </c>
      <c r="G517">
        <v>14747.9</v>
      </c>
      <c r="I517">
        <v>700.3</v>
      </c>
      <c r="K517">
        <v>645340.4</v>
      </c>
      <c r="M517">
        <v>282854.8</v>
      </c>
      <c r="O517">
        <v>1225.8</v>
      </c>
      <c r="Q517">
        <v>13694.6</v>
      </c>
      <c r="S517">
        <v>1824.3</v>
      </c>
      <c r="U517">
        <v>1218.4000000000001</v>
      </c>
      <c r="W517">
        <v>34047.300000000003</v>
      </c>
      <c r="Y517">
        <v>20311.5</v>
      </c>
      <c r="AA517">
        <v>3018753</v>
      </c>
      <c r="AC517">
        <v>2225419</v>
      </c>
      <c r="AE517">
        <v>1132592.2</v>
      </c>
      <c r="AG517">
        <v>61014.8</v>
      </c>
      <c r="AI517">
        <v>275117.5</v>
      </c>
      <c r="AK517">
        <v>30906.3</v>
      </c>
      <c r="AM517">
        <v>28446.6</v>
      </c>
      <c r="AO517">
        <v>3215.6</v>
      </c>
      <c r="AQ517">
        <v>413.6</v>
      </c>
      <c r="AS517">
        <v>470.9</v>
      </c>
      <c r="AU517">
        <v>234.4</v>
      </c>
      <c r="AW517">
        <v>145.80000000000001</v>
      </c>
      <c r="AY517">
        <v>3697.3</v>
      </c>
      <c r="BA517">
        <v>677347.4</v>
      </c>
      <c r="BC517">
        <v>2272.6999999999998</v>
      </c>
      <c r="BE517">
        <v>57796.9</v>
      </c>
      <c r="BG517">
        <v>1365513.8</v>
      </c>
      <c r="BI517">
        <v>1115781.7</v>
      </c>
      <c r="BK517">
        <v>2923486.7</v>
      </c>
      <c r="BM517">
        <v>177959.9</v>
      </c>
      <c r="BO517">
        <v>3367167.4</v>
      </c>
      <c r="BQ517">
        <v>159662.6</v>
      </c>
      <c r="BS517">
        <v>169388.79999999999</v>
      </c>
      <c r="BU517">
        <v>1324360.3</v>
      </c>
      <c r="BW517">
        <v>12595.1</v>
      </c>
      <c r="BY517">
        <v>1061952.8999999999</v>
      </c>
      <c r="CA517">
        <v>59501.4</v>
      </c>
      <c r="CC517">
        <v>678</v>
      </c>
      <c r="CE517">
        <v>685.4</v>
      </c>
      <c r="CG517">
        <v>16596.599999999999</v>
      </c>
      <c r="CI517">
        <v>103330.9</v>
      </c>
      <c r="CK517">
        <v>786828.3</v>
      </c>
      <c r="CM517">
        <v>918</v>
      </c>
      <c r="CO517">
        <v>3765.7</v>
      </c>
      <c r="CQ517">
        <v>113847.7</v>
      </c>
      <c r="CS517">
        <v>227849.2</v>
      </c>
      <c r="CU517">
        <v>262248</v>
      </c>
      <c r="CW517">
        <v>209256</v>
      </c>
      <c r="CY517">
        <v>59213.3</v>
      </c>
      <c r="DA517">
        <v>4844773.8</v>
      </c>
      <c r="DC517">
        <v>8.9</v>
      </c>
      <c r="DE517">
        <v>321295</v>
      </c>
      <c r="DG517">
        <v>487.7</v>
      </c>
      <c r="DI517">
        <v>3076.5</v>
      </c>
      <c r="DK517">
        <v>769</v>
      </c>
      <c r="DM517">
        <v>66389</v>
      </c>
      <c r="DO517">
        <v>48307</v>
      </c>
      <c r="DQ517">
        <v>14342</v>
      </c>
    </row>
    <row r="518" spans="1:121" x14ac:dyDescent="0.2">
      <c r="D518" t="s">
        <v>62</v>
      </c>
      <c r="E518" t="s">
        <v>61</v>
      </c>
      <c r="G518">
        <v>134.9</v>
      </c>
      <c r="I518">
        <v>66.7</v>
      </c>
      <c r="K518">
        <v>2926.1</v>
      </c>
      <c r="M518">
        <v>3751.9</v>
      </c>
      <c r="O518">
        <v>27.8</v>
      </c>
      <c r="Q518">
        <v>262.10000000000002</v>
      </c>
      <c r="S518">
        <v>127.1</v>
      </c>
      <c r="U518">
        <v>22.6</v>
      </c>
      <c r="W518">
        <v>463.2</v>
      </c>
      <c r="Y518">
        <v>447.4</v>
      </c>
      <c r="AA518">
        <v>41156</v>
      </c>
      <c r="AC518">
        <v>11502.7</v>
      </c>
      <c r="AE518">
        <v>8569.6</v>
      </c>
      <c r="AG518">
        <v>673.4</v>
      </c>
      <c r="AI518">
        <v>1913.9</v>
      </c>
      <c r="AK518">
        <v>156.69999999999999</v>
      </c>
      <c r="AM518">
        <v>442.5</v>
      </c>
      <c r="AO518">
        <v>144</v>
      </c>
      <c r="AQ518">
        <v>90.7</v>
      </c>
      <c r="AS518">
        <v>21.3</v>
      </c>
      <c r="AU518">
        <v>49.6</v>
      </c>
      <c r="AW518">
        <v>12.6</v>
      </c>
      <c r="AY518">
        <v>60.4</v>
      </c>
      <c r="BA518">
        <v>9258.7999999999993</v>
      </c>
      <c r="BC518">
        <v>201.4</v>
      </c>
      <c r="BE518">
        <v>613.6</v>
      </c>
      <c r="BG518">
        <v>13989.4</v>
      </c>
      <c r="BI518">
        <v>10191.700000000001</v>
      </c>
      <c r="BK518">
        <v>17041.900000000001</v>
      </c>
      <c r="BM518">
        <v>1758.7</v>
      </c>
      <c r="BO518">
        <v>44754.7</v>
      </c>
      <c r="BQ518">
        <v>2101</v>
      </c>
      <c r="BS518">
        <v>1976.9</v>
      </c>
      <c r="BU518">
        <v>16759</v>
      </c>
      <c r="BW518">
        <v>179.4</v>
      </c>
      <c r="BY518">
        <v>3833.8</v>
      </c>
      <c r="CA518">
        <v>541.4</v>
      </c>
      <c r="CC518">
        <v>32.799999999999997</v>
      </c>
      <c r="CE518">
        <v>17</v>
      </c>
      <c r="CG518">
        <v>555.5</v>
      </c>
      <c r="CI518">
        <v>1418.7</v>
      </c>
      <c r="CK518">
        <v>13326.3</v>
      </c>
      <c r="CM518">
        <v>55.2</v>
      </c>
      <c r="CO518">
        <v>217</v>
      </c>
      <c r="CQ518">
        <v>1436.1</v>
      </c>
      <c r="CS518">
        <v>3548.4</v>
      </c>
      <c r="CU518">
        <v>4093.3</v>
      </c>
      <c r="CW518">
        <v>2130.8000000000002</v>
      </c>
      <c r="CY518">
        <v>2274.1999999999998</v>
      </c>
      <c r="DA518">
        <v>88294.5</v>
      </c>
      <c r="DC518">
        <v>6.3</v>
      </c>
      <c r="DE518">
        <v>7019.1</v>
      </c>
      <c r="DG518">
        <v>61.3</v>
      </c>
      <c r="DI518">
        <v>251.6</v>
      </c>
      <c r="DK518">
        <v>26.9</v>
      </c>
      <c r="DM518">
        <v>751.4</v>
      </c>
      <c r="DO518">
        <v>562.6</v>
      </c>
      <c r="DQ518">
        <v>499.2</v>
      </c>
    </row>
    <row r="519" spans="1:121" x14ac:dyDescent="0.2">
      <c r="D519" t="s">
        <v>63</v>
      </c>
      <c r="G519">
        <v>8.2900000000000001E-2</v>
      </c>
      <c r="H519" t="s">
        <v>75</v>
      </c>
      <c r="I519">
        <v>1.1820000000000001E-2</v>
      </c>
      <c r="J519" t="s">
        <v>75</v>
      </c>
      <c r="K519">
        <v>0.81808999999999998</v>
      </c>
      <c r="L519" t="s">
        <v>75</v>
      </c>
      <c r="M519">
        <v>0.25345000000000001</v>
      </c>
      <c r="N519" t="s">
        <v>75</v>
      </c>
      <c r="O519">
        <v>3.9500000000000004E-3</v>
      </c>
      <c r="P519" t="s">
        <v>75</v>
      </c>
      <c r="Q519">
        <v>0.10952000000000001</v>
      </c>
      <c r="R519" t="s">
        <v>75</v>
      </c>
      <c r="S519">
        <v>9.1E-4</v>
      </c>
      <c r="T519" t="s">
        <v>75</v>
      </c>
      <c r="U519">
        <v>1.069E-2</v>
      </c>
      <c r="V519" t="s">
        <v>75</v>
      </c>
      <c r="W519">
        <v>7.5840000000000005E-2</v>
      </c>
      <c r="X519" t="s">
        <v>75</v>
      </c>
      <c r="Y519">
        <v>0.30187999999999998</v>
      </c>
      <c r="Z519" t="s">
        <v>75</v>
      </c>
      <c r="AB519" t="s">
        <v>76</v>
      </c>
      <c r="AC519">
        <v>7.96584</v>
      </c>
      <c r="AD519" t="s">
        <v>75</v>
      </c>
      <c r="AE519">
        <v>4.2854000000000001</v>
      </c>
      <c r="AF519" t="s">
        <v>75</v>
      </c>
      <c r="AG519">
        <v>3.159E-2</v>
      </c>
      <c r="AH519" t="s">
        <v>75</v>
      </c>
      <c r="AI519">
        <v>1.7405600000000001</v>
      </c>
      <c r="AJ519" t="s">
        <v>75</v>
      </c>
      <c r="AK519">
        <v>1.908E-2</v>
      </c>
      <c r="AL519" t="s">
        <v>75</v>
      </c>
      <c r="AM519">
        <v>1.5699999999999999E-2</v>
      </c>
      <c r="AN519" t="s">
        <v>75</v>
      </c>
      <c r="AO519">
        <v>1.3180000000000001E-2</v>
      </c>
      <c r="AP519" t="s">
        <v>75</v>
      </c>
      <c r="AQ519">
        <v>8.1999999999999998E-4</v>
      </c>
      <c r="AR519" t="s">
        <v>75</v>
      </c>
      <c r="AS519">
        <v>1.06E-3</v>
      </c>
      <c r="AT519" t="s">
        <v>75</v>
      </c>
      <c r="AU519">
        <v>1.5E-3</v>
      </c>
      <c r="AV519" t="s">
        <v>75</v>
      </c>
      <c r="AW519">
        <v>-4.4999999999999999E-4</v>
      </c>
      <c r="AX519" t="s">
        <v>75</v>
      </c>
      <c r="AY519">
        <v>1.58E-3</v>
      </c>
      <c r="AZ519" t="s">
        <v>75</v>
      </c>
      <c r="BC519">
        <v>-2.0531000000000001</v>
      </c>
      <c r="BD519" t="s">
        <v>75</v>
      </c>
      <c r="BE519">
        <v>5.781E-2</v>
      </c>
      <c r="BF519" t="s">
        <v>75</v>
      </c>
      <c r="BG519">
        <v>3.89107</v>
      </c>
      <c r="BH519" t="s">
        <v>75</v>
      </c>
      <c r="BI519">
        <v>3.6755</v>
      </c>
      <c r="BJ519" t="s">
        <v>75</v>
      </c>
      <c r="BK519">
        <v>3.9335499999999999</v>
      </c>
      <c r="BL519" t="s">
        <v>75</v>
      </c>
      <c r="BM519">
        <v>0.15742999999999999</v>
      </c>
      <c r="BN519" t="s">
        <v>75</v>
      </c>
      <c r="BO519">
        <v>73.221519999999998</v>
      </c>
      <c r="BP519" t="s">
        <v>75</v>
      </c>
      <c r="BQ519">
        <v>5.0283300000000004</v>
      </c>
      <c r="BR519" t="s">
        <v>75</v>
      </c>
      <c r="BS519">
        <v>3.3677299999999999</v>
      </c>
      <c r="BT519" t="s">
        <v>75</v>
      </c>
      <c r="BU519">
        <v>34.725360000000002</v>
      </c>
      <c r="BV519" t="s">
        <v>75</v>
      </c>
      <c r="BW519">
        <v>5.1388600000000002</v>
      </c>
      <c r="BX519" t="s">
        <v>75</v>
      </c>
      <c r="BY519">
        <v>292.58314000000001</v>
      </c>
      <c r="BZ519" t="s">
        <v>75</v>
      </c>
      <c r="CA519">
        <v>28.534490000000002</v>
      </c>
      <c r="CB519" t="s">
        <v>75</v>
      </c>
      <c r="CC519">
        <v>0.13169</v>
      </c>
      <c r="CD519" t="s">
        <v>75</v>
      </c>
      <c r="CE519">
        <v>8.6599999999999993E-3</v>
      </c>
      <c r="CF519" t="s">
        <v>75</v>
      </c>
      <c r="CG519">
        <v>0.26783000000000001</v>
      </c>
      <c r="CH519" t="s">
        <v>75</v>
      </c>
      <c r="CI519">
        <v>1.3305</v>
      </c>
      <c r="CJ519" t="s">
        <v>75</v>
      </c>
      <c r="CK519">
        <v>10.90269</v>
      </c>
      <c r="CL519" t="s">
        <v>75</v>
      </c>
      <c r="CM519">
        <v>6.1500000000000001E-3</v>
      </c>
      <c r="CN519" t="s">
        <v>75</v>
      </c>
      <c r="CO519">
        <v>0.22498000000000001</v>
      </c>
      <c r="CP519" t="s">
        <v>75</v>
      </c>
      <c r="CQ519">
        <v>3.4447999999999999</v>
      </c>
      <c r="CR519" t="s">
        <v>75</v>
      </c>
      <c r="CS519">
        <v>59.998080000000002</v>
      </c>
      <c r="CT519" t="s">
        <v>75</v>
      </c>
      <c r="CV519" t="s">
        <v>76</v>
      </c>
      <c r="CW519">
        <v>7.80572</v>
      </c>
      <c r="CX519" t="s">
        <v>75</v>
      </c>
      <c r="DA519">
        <v>328.47210999999999</v>
      </c>
      <c r="DB519" t="s">
        <v>75</v>
      </c>
      <c r="DC519">
        <v>3.3999999999999998E-3</v>
      </c>
      <c r="DD519" t="s">
        <v>75</v>
      </c>
      <c r="DE519">
        <v>165.48473999999999</v>
      </c>
      <c r="DF519" t="s">
        <v>75</v>
      </c>
      <c r="DG519">
        <v>2.8642400000000001</v>
      </c>
      <c r="DH519" t="s">
        <v>75</v>
      </c>
      <c r="DI519">
        <v>5.6991100000000001</v>
      </c>
      <c r="DJ519" t="s">
        <v>75</v>
      </c>
      <c r="DL519" t="s">
        <v>76</v>
      </c>
      <c r="DN519" t="s">
        <v>76</v>
      </c>
      <c r="DO519">
        <v>8.1242599999999996</v>
      </c>
      <c r="DP519" t="s">
        <v>75</v>
      </c>
    </row>
    <row r="520" spans="1:121" x14ac:dyDescent="0.2">
      <c r="D520" t="s">
        <v>64</v>
      </c>
      <c r="G520">
        <v>2.3400000000000001E-3</v>
      </c>
      <c r="H520" t="s">
        <v>75</v>
      </c>
      <c r="I520">
        <v>2.0200000000000001E-3</v>
      </c>
      <c r="J520" t="s">
        <v>75</v>
      </c>
      <c r="K520">
        <v>1.2749999999999999E-2</v>
      </c>
      <c r="L520" t="s">
        <v>75</v>
      </c>
      <c r="M520">
        <v>7.2399999999999999E-3</v>
      </c>
      <c r="N520" t="s">
        <v>75</v>
      </c>
      <c r="O520">
        <v>2.0000000000000002E-5</v>
      </c>
      <c r="P520" t="s">
        <v>75</v>
      </c>
      <c r="Q520">
        <v>2.9099999999999998E-3</v>
      </c>
      <c r="R520" t="s">
        <v>75</v>
      </c>
      <c r="S520">
        <v>1.2999999999999999E-4</v>
      </c>
      <c r="T520" t="s">
        <v>75</v>
      </c>
      <c r="U520">
        <v>1.6000000000000001E-4</v>
      </c>
      <c r="V520" t="s">
        <v>75</v>
      </c>
      <c r="W520">
        <v>1.9599999999999999E-3</v>
      </c>
      <c r="X520" t="s">
        <v>75</v>
      </c>
      <c r="Y520">
        <v>7.5300000000000002E-3</v>
      </c>
      <c r="Z520" t="s">
        <v>75</v>
      </c>
      <c r="AC520">
        <v>9.987E-2</v>
      </c>
      <c r="AD520" t="s">
        <v>75</v>
      </c>
      <c r="AE520">
        <v>8.9560000000000001E-2</v>
      </c>
      <c r="AF520" t="s">
        <v>75</v>
      </c>
      <c r="AG520">
        <v>1.4999999999999999E-4</v>
      </c>
      <c r="AH520" t="s">
        <v>75</v>
      </c>
      <c r="AI520">
        <v>2.879E-2</v>
      </c>
      <c r="AJ520" t="s">
        <v>75</v>
      </c>
      <c r="AK520">
        <v>2.9E-4</v>
      </c>
      <c r="AL520" t="s">
        <v>75</v>
      </c>
      <c r="AM520">
        <v>3.5E-4</v>
      </c>
      <c r="AN520" t="s">
        <v>75</v>
      </c>
      <c r="AO520">
        <v>5.1999999999999995E-4</v>
      </c>
      <c r="AP520" t="s">
        <v>75</v>
      </c>
      <c r="AQ520">
        <v>4.0999999999999999E-4</v>
      </c>
      <c r="AR520" t="s">
        <v>75</v>
      </c>
      <c r="AS520">
        <v>1.2E-4</v>
      </c>
      <c r="AT520" t="s">
        <v>75</v>
      </c>
      <c r="AU520">
        <v>3.0000000000000001E-5</v>
      </c>
      <c r="AV520" t="s">
        <v>75</v>
      </c>
      <c r="AW520">
        <v>3.0000000000000001E-5</v>
      </c>
      <c r="AX520" t="s">
        <v>75</v>
      </c>
      <c r="AY520">
        <v>3.3E-4</v>
      </c>
      <c r="AZ520" t="s">
        <v>75</v>
      </c>
      <c r="BC520">
        <v>6.3000000000000003E-4</v>
      </c>
      <c r="BD520" t="s">
        <v>75</v>
      </c>
      <c r="BE520">
        <v>9.7000000000000005E-4</v>
      </c>
      <c r="BF520" t="s">
        <v>75</v>
      </c>
      <c r="BG520">
        <v>7.9280000000000003E-2</v>
      </c>
      <c r="BH520" t="s">
        <v>75</v>
      </c>
      <c r="BI520">
        <v>6.9290000000000004E-2</v>
      </c>
      <c r="BJ520" t="s">
        <v>75</v>
      </c>
      <c r="BK520">
        <v>5.7529999999999998E-2</v>
      </c>
      <c r="BL520" t="s">
        <v>75</v>
      </c>
      <c r="BM520">
        <v>3.9699999999999996E-3</v>
      </c>
      <c r="BN520" t="s">
        <v>75</v>
      </c>
      <c r="BO520">
        <v>3.83684</v>
      </c>
      <c r="BP520" t="s">
        <v>75</v>
      </c>
      <c r="BQ520">
        <v>0.27939000000000003</v>
      </c>
      <c r="BR520" t="s">
        <v>75</v>
      </c>
      <c r="BS520">
        <v>0.18872</v>
      </c>
      <c r="BT520" t="s">
        <v>75</v>
      </c>
      <c r="BU520">
        <v>1.77298</v>
      </c>
      <c r="BV520" t="s">
        <v>75</v>
      </c>
      <c r="BW520">
        <v>0.28215000000000001</v>
      </c>
      <c r="BX520" t="s">
        <v>75</v>
      </c>
      <c r="BY520">
        <v>12.435890000000001</v>
      </c>
      <c r="BZ520" t="s">
        <v>75</v>
      </c>
      <c r="CA520">
        <v>1.5272600000000001</v>
      </c>
      <c r="CB520" t="s">
        <v>75</v>
      </c>
      <c r="CC520">
        <v>1.18E-2</v>
      </c>
      <c r="CD520" t="s">
        <v>75</v>
      </c>
      <c r="CE520">
        <v>6.4999999999999997E-4</v>
      </c>
      <c r="CF520" t="s">
        <v>75</v>
      </c>
      <c r="CG520">
        <v>1.634E-2</v>
      </c>
      <c r="CH520" t="s">
        <v>75</v>
      </c>
      <c r="CI520">
        <v>6.8339999999999998E-2</v>
      </c>
      <c r="CJ520" t="s">
        <v>75</v>
      </c>
      <c r="CK520">
        <v>0.57609999999999995</v>
      </c>
      <c r="CL520" t="s">
        <v>75</v>
      </c>
      <c r="CM520">
        <v>7.7999999999999999E-4</v>
      </c>
      <c r="CN520" t="s">
        <v>75</v>
      </c>
      <c r="CO520">
        <v>1.5730000000000001E-2</v>
      </c>
      <c r="CP520" t="s">
        <v>75</v>
      </c>
      <c r="CQ520">
        <v>0.17691000000000001</v>
      </c>
      <c r="CR520" t="s">
        <v>75</v>
      </c>
      <c r="CS520">
        <v>3.1206399999999999</v>
      </c>
      <c r="CT520" t="s">
        <v>75</v>
      </c>
      <c r="CW520">
        <v>0.36807000000000001</v>
      </c>
      <c r="CX520" t="s">
        <v>75</v>
      </c>
      <c r="DA520">
        <v>17.09244</v>
      </c>
      <c r="DB520" t="s">
        <v>75</v>
      </c>
      <c r="DC520">
        <v>3.1700000000000001E-3</v>
      </c>
      <c r="DD520" t="s">
        <v>75</v>
      </c>
      <c r="DE520">
        <v>9.2537699999999994</v>
      </c>
      <c r="DF520" t="s">
        <v>75</v>
      </c>
      <c r="DG520">
        <v>0.45863999999999999</v>
      </c>
      <c r="DH520" t="s">
        <v>75</v>
      </c>
      <c r="DI520">
        <v>0.29633999999999999</v>
      </c>
      <c r="DJ520" t="s">
        <v>75</v>
      </c>
      <c r="DO520">
        <v>0.37520999999999999</v>
      </c>
      <c r="DP520" t="s">
        <v>75</v>
      </c>
    </row>
    <row r="521" spans="1:121" x14ac:dyDescent="0.2">
      <c r="D521" t="s">
        <v>65</v>
      </c>
      <c r="G521" t="s">
        <v>66</v>
      </c>
      <c r="I521" t="s">
        <v>66</v>
      </c>
      <c r="K521" t="s">
        <v>66</v>
      </c>
      <c r="M521" t="s">
        <v>66</v>
      </c>
      <c r="O521" t="s">
        <v>66</v>
      </c>
      <c r="Q521" t="s">
        <v>66</v>
      </c>
      <c r="S521" t="s">
        <v>66</v>
      </c>
      <c r="U521" t="s">
        <v>66</v>
      </c>
      <c r="W521" t="s">
        <v>66</v>
      </c>
      <c r="Y521" t="s">
        <v>66</v>
      </c>
      <c r="AA521" t="s">
        <v>66</v>
      </c>
      <c r="AC521" t="s">
        <v>66</v>
      </c>
      <c r="AE521" t="s">
        <v>66</v>
      </c>
      <c r="AG521" t="s">
        <v>66</v>
      </c>
      <c r="AI521" t="s">
        <v>66</v>
      </c>
      <c r="AK521" t="s">
        <v>66</v>
      </c>
      <c r="AM521" t="s">
        <v>66</v>
      </c>
      <c r="AO521" t="s">
        <v>66</v>
      </c>
      <c r="AQ521" t="s">
        <v>66</v>
      </c>
      <c r="AS521" t="s">
        <v>66</v>
      </c>
      <c r="AU521" t="s">
        <v>66</v>
      </c>
      <c r="AW521" t="s">
        <v>66</v>
      </c>
      <c r="AY521" t="s">
        <v>66</v>
      </c>
      <c r="BA521" t="s">
        <v>66</v>
      </c>
      <c r="BC521" t="s">
        <v>66</v>
      </c>
      <c r="BE521" t="s">
        <v>66</v>
      </c>
      <c r="BG521" t="s">
        <v>66</v>
      </c>
      <c r="BI521" t="s">
        <v>66</v>
      </c>
      <c r="BK521" t="s">
        <v>66</v>
      </c>
      <c r="BM521" t="s">
        <v>66</v>
      </c>
      <c r="BO521" t="s">
        <v>66</v>
      </c>
      <c r="BQ521" t="s">
        <v>66</v>
      </c>
      <c r="BS521" t="s">
        <v>66</v>
      </c>
      <c r="BU521" t="s">
        <v>66</v>
      </c>
      <c r="BW521" t="s">
        <v>66</v>
      </c>
      <c r="BY521" t="s">
        <v>66</v>
      </c>
      <c r="CA521" t="s">
        <v>66</v>
      </c>
      <c r="CC521" t="s">
        <v>66</v>
      </c>
      <c r="CE521" t="s">
        <v>66</v>
      </c>
      <c r="CG521" t="s">
        <v>66</v>
      </c>
      <c r="CI521" t="s">
        <v>66</v>
      </c>
      <c r="CK521" t="s">
        <v>66</v>
      </c>
      <c r="CM521" t="s">
        <v>66</v>
      </c>
      <c r="CO521" t="s">
        <v>66</v>
      </c>
      <c r="CQ521" t="s">
        <v>66</v>
      </c>
      <c r="CS521" t="s">
        <v>66</v>
      </c>
      <c r="CU521" t="s">
        <v>66</v>
      </c>
      <c r="CW521" t="s">
        <v>66</v>
      </c>
      <c r="CY521" t="s">
        <v>66</v>
      </c>
      <c r="DA521" t="s">
        <v>66</v>
      </c>
      <c r="DC521" t="s">
        <v>66</v>
      </c>
      <c r="DE521" t="s">
        <v>66</v>
      </c>
      <c r="DG521" t="s">
        <v>66</v>
      </c>
      <c r="DI521" t="s">
        <v>66</v>
      </c>
      <c r="DK521" t="s">
        <v>66</v>
      </c>
      <c r="DM521" t="s">
        <v>66</v>
      </c>
      <c r="DO521" t="s">
        <v>66</v>
      </c>
      <c r="DQ521" t="s">
        <v>66</v>
      </c>
    </row>
    <row r="522" spans="1:121" x14ac:dyDescent="0.2">
      <c r="A522" t="s">
        <v>674</v>
      </c>
      <c r="D522" t="s">
        <v>60</v>
      </c>
      <c r="E522" t="s">
        <v>61</v>
      </c>
      <c r="G522">
        <v>10141.6</v>
      </c>
      <c r="I522">
        <v>793.4</v>
      </c>
      <c r="K522">
        <v>232526.8</v>
      </c>
      <c r="M522">
        <v>71559</v>
      </c>
      <c r="O522">
        <v>386.5</v>
      </c>
      <c r="Q522">
        <v>6539.6</v>
      </c>
      <c r="S522">
        <v>1347.8</v>
      </c>
      <c r="U522">
        <v>970.3</v>
      </c>
      <c r="W522">
        <v>18445.099999999999</v>
      </c>
      <c r="Y522">
        <v>6994.4</v>
      </c>
      <c r="AA522">
        <v>2942341.3</v>
      </c>
      <c r="AC522">
        <v>639815.9</v>
      </c>
      <c r="AE522">
        <v>221606</v>
      </c>
      <c r="AG522">
        <v>21853.5</v>
      </c>
      <c r="AI522">
        <v>88036.4</v>
      </c>
      <c r="AK522">
        <v>920.3</v>
      </c>
      <c r="AM522">
        <v>1345.7</v>
      </c>
      <c r="AO522">
        <v>640.9</v>
      </c>
      <c r="AQ522">
        <v>336.5</v>
      </c>
      <c r="AS522">
        <v>200</v>
      </c>
      <c r="AU522">
        <v>197.9</v>
      </c>
      <c r="AW522">
        <v>290.60000000000002</v>
      </c>
      <c r="AY522">
        <v>3092.4</v>
      </c>
      <c r="BA522">
        <v>674019.4</v>
      </c>
      <c r="BC522">
        <v>2043.3</v>
      </c>
      <c r="BE522">
        <v>33364.5</v>
      </c>
      <c r="BG522">
        <v>391829.7</v>
      </c>
      <c r="BI522">
        <v>323211.5</v>
      </c>
      <c r="BK522">
        <v>808667.7</v>
      </c>
      <c r="BM522">
        <v>48782.8</v>
      </c>
      <c r="BO522">
        <v>1114035</v>
      </c>
      <c r="BQ522">
        <v>25478.5</v>
      </c>
      <c r="BS522">
        <v>312937.90000000002</v>
      </c>
      <c r="BU522">
        <v>655824.69999999995</v>
      </c>
      <c r="BW522">
        <v>10331.200000000001</v>
      </c>
      <c r="BY522">
        <v>410212.3</v>
      </c>
      <c r="CA522">
        <v>21671.1</v>
      </c>
      <c r="CC522">
        <v>100.9</v>
      </c>
      <c r="CE522">
        <v>357.4</v>
      </c>
      <c r="CG522">
        <v>9728.5</v>
      </c>
      <c r="CI522">
        <v>15439</v>
      </c>
      <c r="CK522">
        <v>166150.5</v>
      </c>
      <c r="CM522">
        <v>464</v>
      </c>
      <c r="CO522">
        <v>1300.9000000000001</v>
      </c>
      <c r="CQ522">
        <v>38177.800000000003</v>
      </c>
      <c r="CS522">
        <v>84317.2</v>
      </c>
      <c r="CU522">
        <v>257442.6</v>
      </c>
      <c r="CW522">
        <v>64531.5</v>
      </c>
      <c r="CY522">
        <v>59645.7</v>
      </c>
      <c r="DA522">
        <v>2191288.9</v>
      </c>
      <c r="DC522">
        <v>4.8</v>
      </c>
      <c r="DE522">
        <v>2455.1</v>
      </c>
      <c r="DG522">
        <v>323.39999999999998</v>
      </c>
      <c r="DI522">
        <v>2699.7</v>
      </c>
      <c r="DK522">
        <v>754</v>
      </c>
      <c r="DM522">
        <v>64817.3</v>
      </c>
      <c r="DO522">
        <v>14898.6</v>
      </c>
      <c r="DQ522">
        <v>14115.1</v>
      </c>
    </row>
    <row r="523" spans="1:121" x14ac:dyDescent="0.2">
      <c r="D523" t="s">
        <v>62</v>
      </c>
      <c r="E523" t="s">
        <v>61</v>
      </c>
      <c r="G523">
        <v>82.8</v>
      </c>
      <c r="I523">
        <v>46.3</v>
      </c>
      <c r="K523">
        <v>2211.4</v>
      </c>
      <c r="M523">
        <v>893.8</v>
      </c>
      <c r="O523">
        <v>46.9</v>
      </c>
      <c r="Q523">
        <v>137.80000000000001</v>
      </c>
      <c r="S523">
        <v>117.8</v>
      </c>
      <c r="U523">
        <v>93</v>
      </c>
      <c r="W523">
        <v>125.2</v>
      </c>
      <c r="Y523">
        <v>205.1</v>
      </c>
      <c r="AA523">
        <v>11386.1</v>
      </c>
      <c r="AC523">
        <v>5225.6000000000004</v>
      </c>
      <c r="AE523">
        <v>3030.8</v>
      </c>
      <c r="AG523">
        <v>289</v>
      </c>
      <c r="AI523">
        <v>1658.7</v>
      </c>
      <c r="AK523">
        <v>161.4</v>
      </c>
      <c r="AM523">
        <v>127.3</v>
      </c>
      <c r="AO523">
        <v>127.4</v>
      </c>
      <c r="AQ523">
        <v>47.5</v>
      </c>
      <c r="AS523">
        <v>43.3</v>
      </c>
      <c r="AU523">
        <v>50.9</v>
      </c>
      <c r="AW523">
        <v>62.3</v>
      </c>
      <c r="AY523">
        <v>142.30000000000001</v>
      </c>
      <c r="BA523">
        <v>8642.6</v>
      </c>
      <c r="BC523">
        <v>178</v>
      </c>
      <c r="BE523">
        <v>447.9</v>
      </c>
      <c r="BG523">
        <v>5825.8</v>
      </c>
      <c r="BI523">
        <v>4810.2</v>
      </c>
      <c r="BK523">
        <v>5064.6000000000004</v>
      </c>
      <c r="BM523">
        <v>737.7</v>
      </c>
      <c r="BO523">
        <v>11114.8</v>
      </c>
      <c r="BQ523">
        <v>422.3</v>
      </c>
      <c r="BS523">
        <v>8085.5</v>
      </c>
      <c r="BU523">
        <v>5770.5</v>
      </c>
      <c r="BW523">
        <v>212</v>
      </c>
      <c r="BY523">
        <v>8511.2000000000007</v>
      </c>
      <c r="CA523">
        <v>583.20000000000005</v>
      </c>
      <c r="CC523">
        <v>9.8000000000000007</v>
      </c>
      <c r="CE523">
        <v>28.4</v>
      </c>
      <c r="CG523">
        <v>13.9</v>
      </c>
      <c r="CI523">
        <v>532.6</v>
      </c>
      <c r="CK523">
        <v>2630.7</v>
      </c>
      <c r="CM523">
        <v>61</v>
      </c>
      <c r="CO523">
        <v>68.900000000000006</v>
      </c>
      <c r="CQ523">
        <v>123.1</v>
      </c>
      <c r="CS523">
        <v>448.8</v>
      </c>
      <c r="CU523">
        <v>2577</v>
      </c>
      <c r="CW523">
        <v>506.5</v>
      </c>
      <c r="CY523">
        <v>824.1</v>
      </c>
      <c r="DA523">
        <v>11959.2</v>
      </c>
      <c r="DC523">
        <v>1.7</v>
      </c>
      <c r="DE523">
        <v>39.299999999999997</v>
      </c>
      <c r="DG523">
        <v>51.9</v>
      </c>
      <c r="DI523">
        <v>89.8</v>
      </c>
      <c r="DK523">
        <v>86.2</v>
      </c>
      <c r="DM523">
        <v>193.8</v>
      </c>
      <c r="DO523">
        <v>140.6</v>
      </c>
      <c r="DQ523">
        <v>389.9</v>
      </c>
    </row>
    <row r="524" spans="1:121" x14ac:dyDescent="0.2">
      <c r="D524" t="s">
        <v>63</v>
      </c>
      <c r="G524">
        <v>4.6670000000000003E-2</v>
      </c>
      <c r="H524" t="s">
        <v>75</v>
      </c>
      <c r="I524">
        <v>1.5219999999999999E-2</v>
      </c>
      <c r="J524" t="s">
        <v>75</v>
      </c>
      <c r="K524">
        <v>0.29402</v>
      </c>
      <c r="L524" t="s">
        <v>75</v>
      </c>
      <c r="M524">
        <v>3.8920000000000003E-2</v>
      </c>
      <c r="N524" t="s">
        <v>75</v>
      </c>
      <c r="O524">
        <v>3.2499999999999999E-3</v>
      </c>
      <c r="P524" t="s">
        <v>75</v>
      </c>
      <c r="Q524">
        <v>6.3479999999999995E-2</v>
      </c>
      <c r="R524" t="s">
        <v>75</v>
      </c>
      <c r="S524">
        <v>4.8999999999999998E-4</v>
      </c>
      <c r="T524" t="s">
        <v>75</v>
      </c>
      <c r="U524">
        <v>9.6900000000000007E-3</v>
      </c>
      <c r="V524" t="s">
        <v>75</v>
      </c>
      <c r="W524">
        <v>4.2900000000000001E-2</v>
      </c>
      <c r="X524" t="s">
        <v>75</v>
      </c>
      <c r="Y524">
        <v>0.10449</v>
      </c>
      <c r="Z524" t="s">
        <v>75</v>
      </c>
      <c r="AB524" t="s">
        <v>76</v>
      </c>
      <c r="AC524">
        <v>2.33114</v>
      </c>
      <c r="AD524" t="s">
        <v>75</v>
      </c>
      <c r="AE524">
        <v>0.87397999999999998</v>
      </c>
      <c r="AF524" t="s">
        <v>75</v>
      </c>
      <c r="AG524">
        <v>8.9999999999999998E-4</v>
      </c>
      <c r="AH524" t="s">
        <v>75</v>
      </c>
      <c r="AI524">
        <v>0.55964000000000003</v>
      </c>
      <c r="AJ524" t="s">
        <v>75</v>
      </c>
      <c r="AK524">
        <v>-1.5100000000000001E-3</v>
      </c>
      <c r="AL524" t="s">
        <v>75</v>
      </c>
      <c r="AM524">
        <v>-4.6699999999999997E-3</v>
      </c>
      <c r="AN524" t="s">
        <v>75</v>
      </c>
      <c r="AO524">
        <v>3.7799999999999999E-3</v>
      </c>
      <c r="AP524" t="s">
        <v>75</v>
      </c>
      <c r="AQ524">
        <v>4.8999999999999998E-4</v>
      </c>
      <c r="AR524" t="s">
        <v>75</v>
      </c>
      <c r="AS524">
        <v>-1.3999999999999999E-4</v>
      </c>
      <c r="AT524" t="s">
        <v>75</v>
      </c>
      <c r="AU524">
        <v>1.48E-3</v>
      </c>
      <c r="AV524" t="s">
        <v>75</v>
      </c>
      <c r="AW524">
        <v>-9.0000000000000006E-5</v>
      </c>
      <c r="AX524" t="s">
        <v>75</v>
      </c>
      <c r="AY524">
        <v>-3.3E-4</v>
      </c>
      <c r="AZ524" t="s">
        <v>75</v>
      </c>
      <c r="BC524">
        <v>-2.05375</v>
      </c>
      <c r="BD524" t="s">
        <v>75</v>
      </c>
      <c r="BE524">
        <v>3.4610000000000002E-2</v>
      </c>
      <c r="BF524" t="s">
        <v>75</v>
      </c>
      <c r="BG524">
        <v>1.0944400000000001</v>
      </c>
      <c r="BH524" t="s">
        <v>75</v>
      </c>
      <c r="BI524">
        <v>1.0584800000000001</v>
      </c>
      <c r="BJ524" t="s">
        <v>75</v>
      </c>
      <c r="BK524">
        <v>1.07999</v>
      </c>
      <c r="BL524" t="s">
        <v>75</v>
      </c>
      <c r="BM524">
        <v>3.6119999999999999E-2</v>
      </c>
      <c r="BN524" t="s">
        <v>75</v>
      </c>
      <c r="BO524">
        <v>22.857430000000001</v>
      </c>
      <c r="BP524" t="s">
        <v>75</v>
      </c>
      <c r="BQ524">
        <v>0.44231999999999999</v>
      </c>
      <c r="BR524" t="s">
        <v>75</v>
      </c>
      <c r="BS524">
        <v>6.5506700000000002</v>
      </c>
      <c r="BT524" t="s">
        <v>75</v>
      </c>
      <c r="BU524">
        <v>6.64534</v>
      </c>
      <c r="BV524" t="s">
        <v>75</v>
      </c>
      <c r="BW524">
        <v>4.1326599999999996</v>
      </c>
      <c r="BX524" t="s">
        <v>75</v>
      </c>
      <c r="BY524">
        <v>107.06672</v>
      </c>
      <c r="BZ524" t="s">
        <v>75</v>
      </c>
      <c r="CA524">
        <v>8.0001599999999993</v>
      </c>
      <c r="CB524" t="s">
        <v>75</v>
      </c>
      <c r="CC524">
        <v>7.2700000000000004E-3</v>
      </c>
      <c r="CD524" t="s">
        <v>75</v>
      </c>
      <c r="CE524">
        <v>3.6800000000000001E-3</v>
      </c>
      <c r="CF524" t="s">
        <v>75</v>
      </c>
      <c r="CG524">
        <v>0.14840999999999999</v>
      </c>
      <c r="CH524" t="s">
        <v>75</v>
      </c>
      <c r="CI524">
        <v>0.17272000000000001</v>
      </c>
      <c r="CJ524" t="s">
        <v>75</v>
      </c>
      <c r="CK524">
        <v>2.02264</v>
      </c>
      <c r="CL524" t="s">
        <v>75</v>
      </c>
      <c r="CM524">
        <v>-4.0000000000000002E-4</v>
      </c>
      <c r="CN524" t="s">
        <v>75</v>
      </c>
      <c r="CO524">
        <v>8.3830000000000002E-2</v>
      </c>
      <c r="CP524" t="s">
        <v>75</v>
      </c>
      <c r="CQ524">
        <v>1.1272</v>
      </c>
      <c r="CR524" t="s">
        <v>75</v>
      </c>
      <c r="CS524">
        <v>21.95365</v>
      </c>
      <c r="CT524" t="s">
        <v>75</v>
      </c>
      <c r="CV524" t="s">
        <v>76</v>
      </c>
      <c r="CW524">
        <v>2.3694799999999998</v>
      </c>
      <c r="CX524" t="s">
        <v>75</v>
      </c>
      <c r="DA524">
        <v>150.74668</v>
      </c>
      <c r="DB524" t="s">
        <v>75</v>
      </c>
      <c r="DC524">
        <v>1.3699999999999999E-3</v>
      </c>
      <c r="DD524" t="s">
        <v>75</v>
      </c>
      <c r="DE524">
        <v>1.26579</v>
      </c>
      <c r="DF524" t="s">
        <v>75</v>
      </c>
      <c r="DG524">
        <v>1.90151</v>
      </c>
      <c r="DH524" t="s">
        <v>75</v>
      </c>
      <c r="DI524">
        <v>5.0430099999999998</v>
      </c>
      <c r="DJ524" t="s">
        <v>75</v>
      </c>
      <c r="DL524" t="s">
        <v>76</v>
      </c>
      <c r="DN524" t="s">
        <v>76</v>
      </c>
      <c r="DO524">
        <v>2.5386000000000002</v>
      </c>
      <c r="DP524" t="s">
        <v>75</v>
      </c>
    </row>
    <row r="525" spans="1:121" x14ac:dyDescent="0.2">
      <c r="D525" t="s">
        <v>64</v>
      </c>
      <c r="G525">
        <v>7.6999999999999996E-4</v>
      </c>
      <c r="H525" t="s">
        <v>75</v>
      </c>
      <c r="I525">
        <v>1.2999999999999999E-3</v>
      </c>
      <c r="J525" t="s">
        <v>75</v>
      </c>
      <c r="K525">
        <v>6.4799999999999996E-3</v>
      </c>
      <c r="L525" t="s">
        <v>75</v>
      </c>
      <c r="M525">
        <v>1.33E-3</v>
      </c>
      <c r="N525" t="s">
        <v>75</v>
      </c>
      <c r="O525">
        <v>4.0000000000000003E-5</v>
      </c>
      <c r="P525" t="s">
        <v>75</v>
      </c>
      <c r="Q525">
        <v>1.3500000000000001E-3</v>
      </c>
      <c r="R525" t="s">
        <v>75</v>
      </c>
      <c r="S525">
        <v>1E-4</v>
      </c>
      <c r="T525" t="s">
        <v>75</v>
      </c>
      <c r="U525">
        <v>4.2999999999999999E-4</v>
      </c>
      <c r="V525" t="s">
        <v>75</v>
      </c>
      <c r="W525">
        <v>2.7E-4</v>
      </c>
      <c r="X525" t="s">
        <v>75</v>
      </c>
      <c r="Y525">
        <v>4.3499999999999997E-3</v>
      </c>
      <c r="Z525" t="s">
        <v>75</v>
      </c>
      <c r="AC525">
        <v>3.0679999999999999E-2</v>
      </c>
      <c r="AD525" t="s">
        <v>75</v>
      </c>
      <c r="AE525">
        <v>4.0699999999999998E-3</v>
      </c>
      <c r="AF525" t="s">
        <v>75</v>
      </c>
      <c r="AG525">
        <v>2.3000000000000001E-4</v>
      </c>
      <c r="AH525" t="s">
        <v>75</v>
      </c>
      <c r="AI525">
        <v>7.7499999999999999E-3</v>
      </c>
      <c r="AJ525" t="s">
        <v>75</v>
      </c>
      <c r="AK525">
        <v>1E-4</v>
      </c>
      <c r="AL525" t="s">
        <v>75</v>
      </c>
      <c r="AM525">
        <v>1E-4</v>
      </c>
      <c r="AN525" t="s">
        <v>75</v>
      </c>
      <c r="AO525">
        <v>4.4000000000000002E-4</v>
      </c>
      <c r="AP525" t="s">
        <v>75</v>
      </c>
      <c r="AQ525">
        <v>2.1000000000000001E-4</v>
      </c>
      <c r="AR525" t="s">
        <v>75</v>
      </c>
      <c r="AS525">
        <v>1.8000000000000001E-4</v>
      </c>
      <c r="AT525" t="s">
        <v>75</v>
      </c>
      <c r="AU525">
        <v>3.0000000000000001E-5</v>
      </c>
      <c r="AV525" t="s">
        <v>75</v>
      </c>
      <c r="AW525">
        <v>1.4999999999999999E-4</v>
      </c>
      <c r="AX525" t="s">
        <v>75</v>
      </c>
      <c r="AY525">
        <v>3.5E-4</v>
      </c>
      <c r="AZ525" t="s">
        <v>75</v>
      </c>
      <c r="BC525">
        <v>5.9999999999999995E-4</v>
      </c>
      <c r="BD525" t="s">
        <v>75</v>
      </c>
      <c r="BE525">
        <v>2.9999999999999997E-4</v>
      </c>
      <c r="BF525" t="s">
        <v>75</v>
      </c>
      <c r="BG525">
        <v>2.7210000000000002E-2</v>
      </c>
      <c r="BH525" t="s">
        <v>75</v>
      </c>
      <c r="BI525">
        <v>2.18E-2</v>
      </c>
      <c r="BJ525" t="s">
        <v>75</v>
      </c>
      <c r="BK525">
        <v>1.5740000000000001E-2</v>
      </c>
      <c r="BL525" t="s">
        <v>75</v>
      </c>
      <c r="BM525">
        <v>3.1E-4</v>
      </c>
      <c r="BN525" t="s">
        <v>75</v>
      </c>
      <c r="BO525">
        <v>0.255</v>
      </c>
      <c r="BP525" t="s">
        <v>75</v>
      </c>
      <c r="BQ525">
        <v>2.3999999999999998E-3</v>
      </c>
      <c r="BR525" t="s">
        <v>75</v>
      </c>
      <c r="BS525">
        <v>8.4330000000000002E-2</v>
      </c>
      <c r="BT525" t="s">
        <v>75</v>
      </c>
      <c r="BU525">
        <v>0.41504000000000002</v>
      </c>
      <c r="BV525" t="s">
        <v>75</v>
      </c>
      <c r="BW525">
        <v>0.11203</v>
      </c>
      <c r="BX525" t="s">
        <v>75</v>
      </c>
      <c r="BY525">
        <v>1.86774</v>
      </c>
      <c r="BZ525" t="s">
        <v>75</v>
      </c>
      <c r="CA525">
        <v>0.20835999999999999</v>
      </c>
      <c r="CB525" t="s">
        <v>75</v>
      </c>
      <c r="CC525">
        <v>2.2499999999999998E-3</v>
      </c>
      <c r="CD525" t="s">
        <v>75</v>
      </c>
      <c r="CE525">
        <v>4.2999999999999999E-4</v>
      </c>
      <c r="CF525" t="s">
        <v>75</v>
      </c>
      <c r="CG525">
        <v>2.5200000000000001E-3</v>
      </c>
      <c r="CH525" t="s">
        <v>75</v>
      </c>
      <c r="CI525">
        <v>9.2899999999999996E-3</v>
      </c>
      <c r="CJ525" t="s">
        <v>75</v>
      </c>
      <c r="CK525">
        <v>6.8129999999999996E-2</v>
      </c>
      <c r="CL525" t="s">
        <v>75</v>
      </c>
      <c r="CM525">
        <v>9.2000000000000003E-4</v>
      </c>
      <c r="CN525" t="s">
        <v>75</v>
      </c>
      <c r="CO525">
        <v>3.65E-3</v>
      </c>
      <c r="CP525" t="s">
        <v>75</v>
      </c>
      <c r="CQ525">
        <v>1.7610000000000001E-2</v>
      </c>
      <c r="CR525" t="s">
        <v>75</v>
      </c>
      <c r="CS525">
        <v>0.40144000000000002</v>
      </c>
      <c r="CT525" t="s">
        <v>75</v>
      </c>
      <c r="CW525">
        <v>5.1619999999999999E-2</v>
      </c>
      <c r="CX525" t="s">
        <v>75</v>
      </c>
      <c r="DA525">
        <v>5.0577100000000002</v>
      </c>
      <c r="DB525" t="s">
        <v>75</v>
      </c>
      <c r="DC525">
        <v>9.3999999999999997E-4</v>
      </c>
      <c r="DD525" t="s">
        <v>75</v>
      </c>
      <c r="DE525">
        <v>4.5030000000000001E-2</v>
      </c>
      <c r="DF525" t="s">
        <v>75</v>
      </c>
      <c r="DG525">
        <v>0.29443000000000003</v>
      </c>
      <c r="DH525" t="s">
        <v>75</v>
      </c>
      <c r="DI525">
        <v>0.29041</v>
      </c>
      <c r="DJ525" t="s">
        <v>75</v>
      </c>
      <c r="DO525">
        <v>5.6469999999999999E-2</v>
      </c>
      <c r="DP525" t="s">
        <v>75</v>
      </c>
    </row>
    <row r="526" spans="1:121" x14ac:dyDescent="0.2">
      <c r="D526" t="s">
        <v>65</v>
      </c>
      <c r="G526" t="s">
        <v>66</v>
      </c>
      <c r="I526" t="s">
        <v>66</v>
      </c>
      <c r="K526" t="s">
        <v>66</v>
      </c>
      <c r="M526" t="s">
        <v>66</v>
      </c>
      <c r="O526" t="s">
        <v>66</v>
      </c>
      <c r="Q526" t="s">
        <v>66</v>
      </c>
      <c r="S526" t="s">
        <v>66</v>
      </c>
      <c r="U526" t="s">
        <v>66</v>
      </c>
      <c r="W526" t="s">
        <v>66</v>
      </c>
      <c r="Y526" t="s">
        <v>66</v>
      </c>
      <c r="AA526" t="s">
        <v>66</v>
      </c>
      <c r="AC526" t="s">
        <v>66</v>
      </c>
      <c r="AE526" t="s">
        <v>66</v>
      </c>
      <c r="AG526" t="s">
        <v>66</v>
      </c>
      <c r="AI526" t="s">
        <v>66</v>
      </c>
      <c r="AK526" t="s">
        <v>66</v>
      </c>
      <c r="AM526" t="s">
        <v>66</v>
      </c>
      <c r="AO526" t="s">
        <v>66</v>
      </c>
      <c r="AQ526" t="s">
        <v>66</v>
      </c>
      <c r="AS526" t="s">
        <v>66</v>
      </c>
      <c r="AU526" t="s">
        <v>66</v>
      </c>
      <c r="AW526" t="s">
        <v>66</v>
      </c>
      <c r="AY526" t="s">
        <v>66</v>
      </c>
      <c r="BA526" t="s">
        <v>66</v>
      </c>
      <c r="BC526" t="s">
        <v>66</v>
      </c>
      <c r="BE526" t="s">
        <v>66</v>
      </c>
      <c r="BG526" t="s">
        <v>66</v>
      </c>
      <c r="BI526" t="s">
        <v>66</v>
      </c>
      <c r="BK526" t="s">
        <v>66</v>
      </c>
      <c r="BM526" t="s">
        <v>66</v>
      </c>
      <c r="BO526" t="s">
        <v>66</v>
      </c>
      <c r="BQ526" t="s">
        <v>66</v>
      </c>
      <c r="BS526" t="s">
        <v>66</v>
      </c>
      <c r="BU526" t="s">
        <v>66</v>
      </c>
      <c r="BW526" t="s">
        <v>66</v>
      </c>
      <c r="BY526" t="s">
        <v>66</v>
      </c>
      <c r="CA526" t="s">
        <v>66</v>
      </c>
      <c r="CC526" t="s">
        <v>66</v>
      </c>
      <c r="CE526" t="s">
        <v>66</v>
      </c>
      <c r="CG526" t="s">
        <v>66</v>
      </c>
      <c r="CI526" t="s">
        <v>66</v>
      </c>
      <c r="CK526" t="s">
        <v>66</v>
      </c>
      <c r="CM526" t="s">
        <v>66</v>
      </c>
      <c r="CO526" t="s">
        <v>66</v>
      </c>
      <c r="CQ526" t="s">
        <v>66</v>
      </c>
      <c r="CS526" t="s">
        <v>66</v>
      </c>
      <c r="CU526" t="s">
        <v>66</v>
      </c>
      <c r="CW526" t="s">
        <v>66</v>
      </c>
      <c r="CY526" t="s">
        <v>66</v>
      </c>
      <c r="DA526" t="s">
        <v>66</v>
      </c>
      <c r="DC526" t="s">
        <v>66</v>
      </c>
      <c r="DE526" t="s">
        <v>66</v>
      </c>
      <c r="DG526" t="s">
        <v>66</v>
      </c>
      <c r="DI526" t="s">
        <v>66</v>
      </c>
      <c r="DK526" t="s">
        <v>66</v>
      </c>
      <c r="DM526" t="s">
        <v>66</v>
      </c>
      <c r="DO526" t="s">
        <v>66</v>
      </c>
      <c r="DQ526" t="s">
        <v>66</v>
      </c>
    </row>
    <row r="527" spans="1:121" x14ac:dyDescent="0.2">
      <c r="A527" t="s">
        <v>675</v>
      </c>
      <c r="D527" t="s">
        <v>60</v>
      </c>
      <c r="E527" t="s">
        <v>61</v>
      </c>
      <c r="G527">
        <v>8888.6</v>
      </c>
      <c r="I527">
        <v>691.1</v>
      </c>
      <c r="K527">
        <v>59198.9</v>
      </c>
      <c r="M527">
        <v>42703.4</v>
      </c>
      <c r="O527">
        <v>425</v>
      </c>
      <c r="Q527">
        <v>2491.6999999999998</v>
      </c>
      <c r="S527">
        <v>1289.4000000000001</v>
      </c>
      <c r="U527">
        <v>976.6</v>
      </c>
      <c r="W527">
        <v>5310.8</v>
      </c>
      <c r="Y527">
        <v>1531.3</v>
      </c>
      <c r="AA527">
        <v>2912359.3</v>
      </c>
      <c r="AC527">
        <v>271241.3</v>
      </c>
      <c r="AE527">
        <v>98904.7</v>
      </c>
      <c r="AG527">
        <v>6333</v>
      </c>
      <c r="AI527">
        <v>21756.400000000001</v>
      </c>
      <c r="AK527">
        <v>805.6</v>
      </c>
      <c r="AM527">
        <v>1225.8</v>
      </c>
      <c r="AO527">
        <v>137.5</v>
      </c>
      <c r="AQ527">
        <v>369.8</v>
      </c>
      <c r="AS527">
        <v>247.9</v>
      </c>
      <c r="AU527">
        <v>172.9</v>
      </c>
      <c r="AW527">
        <v>131.30000000000001</v>
      </c>
      <c r="AY527">
        <v>1555.2</v>
      </c>
      <c r="BA527">
        <v>661307</v>
      </c>
      <c r="BC527">
        <v>2141.3000000000002</v>
      </c>
      <c r="BE527">
        <v>9777.6</v>
      </c>
      <c r="BG527">
        <v>82553</v>
      </c>
      <c r="BI527">
        <v>69518</v>
      </c>
      <c r="BK527">
        <v>171392.9</v>
      </c>
      <c r="BM527">
        <v>13771.7</v>
      </c>
      <c r="BO527">
        <v>425457.7</v>
      </c>
      <c r="BQ527">
        <v>17938.099999999999</v>
      </c>
      <c r="BS527">
        <v>238166.1</v>
      </c>
      <c r="BU527">
        <v>607891.9</v>
      </c>
      <c r="BW527">
        <v>9347.2999999999993</v>
      </c>
      <c r="BY527">
        <v>121772.5</v>
      </c>
      <c r="CA527">
        <v>21930.1</v>
      </c>
      <c r="CC527">
        <v>90.7</v>
      </c>
      <c r="CE527">
        <v>242.6</v>
      </c>
      <c r="CG527">
        <v>4773.3999999999996</v>
      </c>
      <c r="CI527">
        <v>5216.6000000000004</v>
      </c>
      <c r="CK527">
        <v>87144.5</v>
      </c>
      <c r="CM527">
        <v>920.9</v>
      </c>
      <c r="CO527">
        <v>1152.5</v>
      </c>
      <c r="CQ527">
        <v>14192.3</v>
      </c>
      <c r="CS527">
        <v>29430.7</v>
      </c>
      <c r="CU527">
        <v>249228.5</v>
      </c>
      <c r="CW527">
        <v>27513</v>
      </c>
      <c r="CY527">
        <v>57186.9</v>
      </c>
      <c r="DA527">
        <v>521107.1</v>
      </c>
      <c r="DC527">
        <v>4.8</v>
      </c>
      <c r="DE527">
        <v>887.9</v>
      </c>
      <c r="DG527">
        <v>692.9</v>
      </c>
      <c r="DI527">
        <v>4950.1000000000004</v>
      </c>
      <c r="DK527">
        <v>715.6</v>
      </c>
      <c r="DM527">
        <v>62075.199999999997</v>
      </c>
      <c r="DO527">
        <v>6458.3</v>
      </c>
      <c r="DQ527">
        <v>13612.4</v>
      </c>
    </row>
    <row r="528" spans="1:121" x14ac:dyDescent="0.2">
      <c r="D528" t="s">
        <v>62</v>
      </c>
      <c r="E528" t="s">
        <v>61</v>
      </c>
      <c r="G528">
        <v>526.20000000000005</v>
      </c>
      <c r="I528">
        <v>67.099999999999994</v>
      </c>
      <c r="K528">
        <v>840.4</v>
      </c>
      <c r="M528">
        <v>141.5</v>
      </c>
      <c r="O528">
        <v>35.5</v>
      </c>
      <c r="Q528">
        <v>45</v>
      </c>
      <c r="S528">
        <v>116.4</v>
      </c>
      <c r="U528">
        <v>68.900000000000006</v>
      </c>
      <c r="W528">
        <v>36.200000000000003</v>
      </c>
      <c r="Y528">
        <v>94.2</v>
      </c>
      <c r="AA528">
        <v>20865.400000000001</v>
      </c>
      <c r="AC528">
        <v>1946.2</v>
      </c>
      <c r="AE528">
        <v>787.7</v>
      </c>
      <c r="AG528">
        <v>255</v>
      </c>
      <c r="AI528">
        <v>591.4</v>
      </c>
      <c r="AK528">
        <v>56.4</v>
      </c>
      <c r="AM528">
        <v>19</v>
      </c>
      <c r="AO528">
        <v>17.399999999999999</v>
      </c>
      <c r="AQ528">
        <v>39.799999999999997</v>
      </c>
      <c r="AS528">
        <v>55.1</v>
      </c>
      <c r="AU528">
        <v>3.6</v>
      </c>
      <c r="AW528">
        <v>42</v>
      </c>
      <c r="AY528">
        <v>47.5</v>
      </c>
      <c r="BA528">
        <v>6122.2</v>
      </c>
      <c r="BC528">
        <v>49.9</v>
      </c>
      <c r="BE528">
        <v>118.8</v>
      </c>
      <c r="BG528">
        <v>1448.2</v>
      </c>
      <c r="BI528">
        <v>677.7</v>
      </c>
      <c r="BK528">
        <v>1272.9000000000001</v>
      </c>
      <c r="BM528">
        <v>189.6</v>
      </c>
      <c r="BO528">
        <v>3063.6</v>
      </c>
      <c r="BQ528">
        <v>422.8</v>
      </c>
      <c r="BS528">
        <v>7335.4</v>
      </c>
      <c r="BU528">
        <v>8590.2000000000007</v>
      </c>
      <c r="BW528">
        <v>183.7</v>
      </c>
      <c r="BY528">
        <v>1478.7</v>
      </c>
      <c r="CA528">
        <v>396.2</v>
      </c>
      <c r="CC528">
        <v>6.4</v>
      </c>
      <c r="CE528">
        <v>34.299999999999997</v>
      </c>
      <c r="CG528">
        <v>313.2</v>
      </c>
      <c r="CI528">
        <v>148.1</v>
      </c>
      <c r="CK528">
        <v>1248.0999999999999</v>
      </c>
      <c r="CM528">
        <v>56.2</v>
      </c>
      <c r="CO528">
        <v>138.9</v>
      </c>
      <c r="CQ528">
        <v>428</v>
      </c>
      <c r="CS528">
        <v>178.5</v>
      </c>
      <c r="CU528">
        <v>3447.4</v>
      </c>
      <c r="CW528">
        <v>266</v>
      </c>
      <c r="CY528">
        <v>1066.5</v>
      </c>
      <c r="DA528">
        <v>5458.2</v>
      </c>
      <c r="DC528">
        <v>1.3</v>
      </c>
      <c r="DE528">
        <v>42</v>
      </c>
      <c r="DG528">
        <v>84</v>
      </c>
      <c r="DI528">
        <v>335</v>
      </c>
      <c r="DK528">
        <v>47.1</v>
      </c>
      <c r="DM528">
        <v>2245.6</v>
      </c>
      <c r="DO528">
        <v>122.6</v>
      </c>
      <c r="DQ528">
        <v>257.5</v>
      </c>
    </row>
    <row r="529" spans="1:121" x14ac:dyDescent="0.2">
      <c r="D529" t="s">
        <v>63</v>
      </c>
      <c r="G529">
        <v>3.8039999999999997E-2</v>
      </c>
      <c r="H529" t="s">
        <v>75</v>
      </c>
      <c r="I529">
        <v>1.2109999999999999E-2</v>
      </c>
      <c r="J529" t="s">
        <v>75</v>
      </c>
      <c r="K529">
        <v>7.3709999999999998E-2</v>
      </c>
      <c r="L529" t="s">
        <v>75</v>
      </c>
      <c r="M529">
        <v>1.026E-2</v>
      </c>
      <c r="N529" t="s">
        <v>75</v>
      </c>
      <c r="O529">
        <v>3.29E-3</v>
      </c>
      <c r="P529" t="s">
        <v>75</v>
      </c>
      <c r="Q529">
        <v>3.7490000000000002E-2</v>
      </c>
      <c r="R529" t="s">
        <v>75</v>
      </c>
      <c r="S529">
        <v>4.6999999999999999E-4</v>
      </c>
      <c r="T529" t="s">
        <v>75</v>
      </c>
      <c r="U529">
        <v>9.7900000000000001E-3</v>
      </c>
      <c r="V529" t="s">
        <v>75</v>
      </c>
      <c r="W529">
        <v>1.5089999999999999E-2</v>
      </c>
      <c r="X529" t="s">
        <v>75</v>
      </c>
      <c r="Y529">
        <v>2.332E-2</v>
      </c>
      <c r="Z529" t="s">
        <v>75</v>
      </c>
      <c r="AB529" t="s">
        <v>76</v>
      </c>
      <c r="AC529">
        <v>1.03094</v>
      </c>
      <c r="AD529" t="s">
        <v>75</v>
      </c>
      <c r="AE529">
        <v>0.41898999999999997</v>
      </c>
      <c r="AF529" t="s">
        <v>75</v>
      </c>
      <c r="AG529">
        <v>-1.1259999999999999E-2</v>
      </c>
      <c r="AH529" t="s">
        <v>75</v>
      </c>
      <c r="AI529">
        <v>0.14099</v>
      </c>
      <c r="AJ529" t="s">
        <v>75</v>
      </c>
      <c r="AK529">
        <v>-1.58E-3</v>
      </c>
      <c r="AL529" t="s">
        <v>75</v>
      </c>
      <c r="AM529">
        <v>-4.7400000000000003E-3</v>
      </c>
      <c r="AN529" t="s">
        <v>75</v>
      </c>
      <c r="AO529">
        <v>1.9400000000000001E-3</v>
      </c>
      <c r="AP529" t="s">
        <v>75</v>
      </c>
      <c r="AQ529">
        <v>6.7000000000000002E-4</v>
      </c>
      <c r="AR529" t="s">
        <v>75</v>
      </c>
      <c r="AS529">
        <v>9.0000000000000006E-5</v>
      </c>
      <c r="AT529" t="s">
        <v>75</v>
      </c>
      <c r="AU529">
        <v>1.47E-3</v>
      </c>
      <c r="AV529" t="s">
        <v>75</v>
      </c>
      <c r="AW529">
        <v>-4.6999999999999999E-4</v>
      </c>
      <c r="AX529" t="s">
        <v>75</v>
      </c>
      <c r="AY529">
        <v>-5.2199999999999998E-3</v>
      </c>
      <c r="AZ529" t="s">
        <v>75</v>
      </c>
      <c r="BC529">
        <v>-2.0533399999999999</v>
      </c>
      <c r="BD529" t="s">
        <v>75</v>
      </c>
      <c r="BE529">
        <v>1.214E-2</v>
      </c>
      <c r="BF529" t="s">
        <v>75</v>
      </c>
      <c r="BG529">
        <v>0.20454</v>
      </c>
      <c r="BH529" t="s">
        <v>75</v>
      </c>
      <c r="BI529">
        <v>0.21945000000000001</v>
      </c>
      <c r="BJ529" t="s">
        <v>75</v>
      </c>
      <c r="BK529">
        <v>0.19605</v>
      </c>
      <c r="BL529" t="s">
        <v>75</v>
      </c>
      <c r="BM529">
        <v>3.2699999999999999E-3</v>
      </c>
      <c r="BN529" t="s">
        <v>75</v>
      </c>
      <c r="BO529">
        <v>8.06602</v>
      </c>
      <c r="BP529" t="s">
        <v>75</v>
      </c>
      <c r="BQ529">
        <v>0.21365000000000001</v>
      </c>
      <c r="BR529" t="s">
        <v>75</v>
      </c>
      <c r="BS529">
        <v>5.10867</v>
      </c>
      <c r="BT529" t="s">
        <v>75</v>
      </c>
      <c r="BU529">
        <v>5.7450999999999999</v>
      </c>
      <c r="BV529" t="s">
        <v>75</v>
      </c>
      <c r="BW529">
        <v>3.88653</v>
      </c>
      <c r="BX529" t="s">
        <v>75</v>
      </c>
      <c r="BY529">
        <v>27.539570000000001</v>
      </c>
      <c r="BZ529" t="s">
        <v>75</v>
      </c>
      <c r="CA529">
        <v>8.6463400000000004</v>
      </c>
      <c r="CB529" t="s">
        <v>75</v>
      </c>
      <c r="CC529">
        <v>5.9100000000000003E-3</v>
      </c>
      <c r="CD529" t="s">
        <v>75</v>
      </c>
      <c r="CE529">
        <v>2.1299999999999999E-3</v>
      </c>
      <c r="CF529" t="s">
        <v>75</v>
      </c>
      <c r="CG529">
        <v>6.7409999999999998E-2</v>
      </c>
      <c r="CH529" t="s">
        <v>75</v>
      </c>
      <c r="CI529">
        <v>4.224E-2</v>
      </c>
      <c r="CJ529" t="s">
        <v>75</v>
      </c>
      <c r="CK529">
        <v>0.95701000000000003</v>
      </c>
      <c r="CL529" t="s">
        <v>75</v>
      </c>
      <c r="CM529">
        <v>6.6600000000000001E-3</v>
      </c>
      <c r="CN529" t="s">
        <v>75</v>
      </c>
      <c r="CO529">
        <v>7.8299999999999995E-2</v>
      </c>
      <c r="CP529" t="s">
        <v>75</v>
      </c>
      <c r="CQ529">
        <v>0.42048000000000002</v>
      </c>
      <c r="CR529" t="s">
        <v>75</v>
      </c>
      <c r="CS529">
        <v>7.9299499999999998</v>
      </c>
      <c r="CT529" t="s">
        <v>75</v>
      </c>
      <c r="CV529" t="s">
        <v>76</v>
      </c>
      <c r="CW529">
        <v>1.0395300000000001</v>
      </c>
      <c r="CX529" t="s">
        <v>75</v>
      </c>
      <c r="DA529">
        <v>36.991549999999997</v>
      </c>
      <c r="DB529" t="s">
        <v>75</v>
      </c>
      <c r="DC529">
        <v>1.4599999999999999E-3</v>
      </c>
      <c r="DD529" t="s">
        <v>75</v>
      </c>
      <c r="DE529">
        <v>0.46283000000000002</v>
      </c>
      <c r="DF529" t="s">
        <v>75</v>
      </c>
      <c r="DG529">
        <v>4.2981299999999996</v>
      </c>
      <c r="DH529" t="s">
        <v>75</v>
      </c>
      <c r="DI529">
        <v>9.9958600000000004</v>
      </c>
      <c r="DJ529" t="s">
        <v>75</v>
      </c>
      <c r="DL529" t="s">
        <v>76</v>
      </c>
      <c r="DN529" t="s">
        <v>76</v>
      </c>
      <c r="DO529">
        <v>1.1366700000000001</v>
      </c>
      <c r="DP529" t="s">
        <v>75</v>
      </c>
    </row>
    <row r="530" spans="1:121" x14ac:dyDescent="0.2">
      <c r="D530" t="s">
        <v>64</v>
      </c>
      <c r="G530">
        <v>4.9300000000000004E-3</v>
      </c>
      <c r="H530" t="s">
        <v>75</v>
      </c>
      <c r="I530">
        <v>2.5500000000000002E-3</v>
      </c>
      <c r="J530" t="s">
        <v>75</v>
      </c>
      <c r="K530">
        <v>1.8E-3</v>
      </c>
      <c r="L530" t="s">
        <v>75</v>
      </c>
      <c r="M530">
        <v>2.5999999999999998E-4</v>
      </c>
      <c r="N530" t="s">
        <v>75</v>
      </c>
      <c r="O530">
        <v>3.0000000000000001E-5</v>
      </c>
      <c r="P530" t="s">
        <v>75</v>
      </c>
      <c r="Q530">
        <v>3.6000000000000002E-4</v>
      </c>
      <c r="R530" t="s">
        <v>75</v>
      </c>
      <c r="S530">
        <v>1.1E-4</v>
      </c>
      <c r="T530" t="s">
        <v>75</v>
      </c>
      <c r="U530">
        <v>2.9999999999999997E-4</v>
      </c>
      <c r="V530" t="s">
        <v>75</v>
      </c>
      <c r="W530">
        <v>4.0000000000000003E-5</v>
      </c>
      <c r="X530" t="s">
        <v>75</v>
      </c>
      <c r="Y530">
        <v>1.64E-3</v>
      </c>
      <c r="Z530" t="s">
        <v>75</v>
      </c>
      <c r="AC530">
        <v>1.5959999999999998E-2</v>
      </c>
      <c r="AD530" t="s">
        <v>75</v>
      </c>
      <c r="AE530">
        <v>6.3899999999999998E-3</v>
      </c>
      <c r="AF530" t="s">
        <v>75</v>
      </c>
      <c r="AG530">
        <v>2.5000000000000001E-4</v>
      </c>
      <c r="AH530" t="s">
        <v>75</v>
      </c>
      <c r="AI530">
        <v>5.1000000000000004E-3</v>
      </c>
      <c r="AJ530" t="s">
        <v>75</v>
      </c>
      <c r="AK530">
        <v>4.0000000000000003E-5</v>
      </c>
      <c r="AL530" t="s">
        <v>75</v>
      </c>
      <c r="AM530">
        <v>2.0000000000000002E-5</v>
      </c>
      <c r="AN530" t="s">
        <v>75</v>
      </c>
      <c r="AO530">
        <v>6.9999999999999994E-5</v>
      </c>
      <c r="AP530" t="s">
        <v>75</v>
      </c>
      <c r="AQ530">
        <v>1.8000000000000001E-4</v>
      </c>
      <c r="AR530" t="s">
        <v>75</v>
      </c>
      <c r="AS530">
        <v>2.5999999999999998E-4</v>
      </c>
      <c r="AT530" t="s">
        <v>75</v>
      </c>
      <c r="AU530">
        <v>0</v>
      </c>
      <c r="AV530" t="s">
        <v>75</v>
      </c>
      <c r="AW530">
        <v>1.1E-4</v>
      </c>
      <c r="AX530" t="s">
        <v>75</v>
      </c>
      <c r="AY530">
        <v>2.0000000000000001E-4</v>
      </c>
      <c r="AZ530" t="s">
        <v>75</v>
      </c>
      <c r="BC530">
        <v>9.0000000000000006E-5</v>
      </c>
      <c r="BD530" t="s">
        <v>75</v>
      </c>
      <c r="BE530">
        <v>2.0000000000000001E-4</v>
      </c>
      <c r="BF530" t="s">
        <v>75</v>
      </c>
      <c r="BG530">
        <v>6.3899999999999998E-3</v>
      </c>
      <c r="BH530" t="s">
        <v>75</v>
      </c>
      <c r="BI530">
        <v>4.2900000000000004E-3</v>
      </c>
      <c r="BJ530" t="s">
        <v>75</v>
      </c>
      <c r="BK530">
        <v>3.46E-3</v>
      </c>
      <c r="BL530" t="s">
        <v>75</v>
      </c>
      <c r="BM530">
        <v>2.9E-4</v>
      </c>
      <c r="BN530" t="s">
        <v>75</v>
      </c>
      <c r="BO530">
        <v>0.24887999999999999</v>
      </c>
      <c r="BP530" t="s">
        <v>75</v>
      </c>
      <c r="BQ530">
        <v>2.6179999999999998E-2</v>
      </c>
      <c r="BR530" t="s">
        <v>75</v>
      </c>
      <c r="BS530">
        <v>0.26578000000000002</v>
      </c>
      <c r="BT530" t="s">
        <v>75</v>
      </c>
      <c r="BU530">
        <v>0.45884000000000003</v>
      </c>
      <c r="BV530" t="s">
        <v>75</v>
      </c>
      <c r="BW530">
        <v>0.13544999999999999</v>
      </c>
      <c r="BX530" t="s">
        <v>75</v>
      </c>
      <c r="BY530">
        <v>0.31706000000000001</v>
      </c>
      <c r="BZ530" t="s">
        <v>75</v>
      </c>
      <c r="CA530">
        <v>0.23680000000000001</v>
      </c>
      <c r="CB530" t="s">
        <v>75</v>
      </c>
      <c r="CC530">
        <v>1.07E-3</v>
      </c>
      <c r="CD530" t="s">
        <v>75</v>
      </c>
      <c r="CE530">
        <v>5.2999999999999998E-4</v>
      </c>
      <c r="CF530" t="s">
        <v>75</v>
      </c>
      <c r="CG530">
        <v>4.0200000000000001E-3</v>
      </c>
      <c r="CH530" t="s">
        <v>75</v>
      </c>
      <c r="CI530">
        <v>7.7999999999999999E-4</v>
      </c>
      <c r="CJ530" t="s">
        <v>75</v>
      </c>
      <c r="CK530">
        <v>2.146E-2</v>
      </c>
      <c r="CL530" t="s">
        <v>75</v>
      </c>
      <c r="CM530">
        <v>1.07E-3</v>
      </c>
      <c r="CN530" t="s">
        <v>75</v>
      </c>
      <c r="CO530">
        <v>8.6800000000000002E-3</v>
      </c>
      <c r="CP530" t="s">
        <v>75</v>
      </c>
      <c r="CQ530">
        <v>2.1579999999999998E-2</v>
      </c>
      <c r="CR530" t="s">
        <v>75</v>
      </c>
      <c r="CS530">
        <v>0.16153000000000001</v>
      </c>
      <c r="CT530" t="s">
        <v>75</v>
      </c>
      <c r="CW530">
        <v>2.971E-2</v>
      </c>
      <c r="CX530" t="s">
        <v>75</v>
      </c>
      <c r="DA530">
        <v>1.06525</v>
      </c>
      <c r="DB530" t="s">
        <v>75</v>
      </c>
      <c r="DC530">
        <v>7.5000000000000002E-4</v>
      </c>
      <c r="DD530" t="s">
        <v>75</v>
      </c>
      <c r="DE530">
        <v>1.3820000000000001E-2</v>
      </c>
      <c r="DF530" t="s">
        <v>75</v>
      </c>
      <c r="DG530">
        <v>0.45115</v>
      </c>
      <c r="DH530" t="s">
        <v>75</v>
      </c>
      <c r="DI530">
        <v>0.77669999999999995</v>
      </c>
      <c r="DJ530" t="s">
        <v>75</v>
      </c>
      <c r="DO530">
        <v>4.3110000000000002E-2</v>
      </c>
      <c r="DP530" t="s">
        <v>75</v>
      </c>
    </row>
    <row r="531" spans="1:121" x14ac:dyDescent="0.2">
      <c r="D531" t="s">
        <v>65</v>
      </c>
      <c r="G531" t="s">
        <v>66</v>
      </c>
      <c r="I531" t="s">
        <v>66</v>
      </c>
      <c r="K531" t="s">
        <v>66</v>
      </c>
      <c r="M531" t="s">
        <v>66</v>
      </c>
      <c r="O531" t="s">
        <v>66</v>
      </c>
      <c r="Q531" t="s">
        <v>66</v>
      </c>
      <c r="S531" t="s">
        <v>66</v>
      </c>
      <c r="U531" t="s">
        <v>66</v>
      </c>
      <c r="W531" t="s">
        <v>66</v>
      </c>
      <c r="Y531" t="s">
        <v>66</v>
      </c>
      <c r="AA531" t="s">
        <v>66</v>
      </c>
      <c r="AC531" t="s">
        <v>66</v>
      </c>
      <c r="AE531" t="s">
        <v>66</v>
      </c>
      <c r="AG531" t="s">
        <v>66</v>
      </c>
      <c r="AI531" t="s">
        <v>66</v>
      </c>
      <c r="AK531" t="s">
        <v>66</v>
      </c>
      <c r="AM531" t="s">
        <v>66</v>
      </c>
      <c r="AO531" t="s">
        <v>66</v>
      </c>
      <c r="AQ531" t="s">
        <v>66</v>
      </c>
      <c r="AS531" t="s">
        <v>66</v>
      </c>
      <c r="AU531" t="s">
        <v>66</v>
      </c>
      <c r="AW531" t="s">
        <v>66</v>
      </c>
      <c r="AY531" t="s">
        <v>66</v>
      </c>
      <c r="BA531" t="s">
        <v>66</v>
      </c>
      <c r="BC531" t="s">
        <v>66</v>
      </c>
      <c r="BE531" t="s">
        <v>66</v>
      </c>
      <c r="BG531" t="s">
        <v>66</v>
      </c>
      <c r="BI531" t="s">
        <v>66</v>
      </c>
      <c r="BK531" t="s">
        <v>66</v>
      </c>
      <c r="BM531" t="s">
        <v>66</v>
      </c>
      <c r="BO531" t="s">
        <v>66</v>
      </c>
      <c r="BQ531" t="s">
        <v>66</v>
      </c>
      <c r="BS531" t="s">
        <v>66</v>
      </c>
      <c r="BU531" t="s">
        <v>66</v>
      </c>
      <c r="BW531" t="s">
        <v>66</v>
      </c>
      <c r="BY531" t="s">
        <v>66</v>
      </c>
      <c r="CA531" t="s">
        <v>66</v>
      </c>
      <c r="CC531" t="s">
        <v>66</v>
      </c>
      <c r="CE531" t="s">
        <v>66</v>
      </c>
      <c r="CG531" t="s">
        <v>66</v>
      </c>
      <c r="CI531" t="s">
        <v>66</v>
      </c>
      <c r="CK531" t="s">
        <v>66</v>
      </c>
      <c r="CM531" t="s">
        <v>66</v>
      </c>
      <c r="CO531" t="s">
        <v>66</v>
      </c>
      <c r="CQ531" t="s">
        <v>66</v>
      </c>
      <c r="CS531" t="s">
        <v>66</v>
      </c>
      <c r="CU531" t="s">
        <v>66</v>
      </c>
      <c r="CW531" t="s">
        <v>66</v>
      </c>
      <c r="CY531" t="s">
        <v>66</v>
      </c>
      <c r="DA531" t="s">
        <v>66</v>
      </c>
      <c r="DC531" t="s">
        <v>66</v>
      </c>
      <c r="DE531" t="s">
        <v>66</v>
      </c>
      <c r="DG531" t="s">
        <v>66</v>
      </c>
      <c r="DI531" t="s">
        <v>66</v>
      </c>
      <c r="DK531" t="s">
        <v>66</v>
      </c>
      <c r="DM531" t="s">
        <v>66</v>
      </c>
      <c r="DO531" t="s">
        <v>66</v>
      </c>
      <c r="DQ531" t="s">
        <v>66</v>
      </c>
    </row>
    <row r="532" spans="1:121" x14ac:dyDescent="0.2">
      <c r="A532" t="s">
        <v>676</v>
      </c>
      <c r="D532" t="s">
        <v>60</v>
      </c>
      <c r="E532" t="s">
        <v>61</v>
      </c>
      <c r="G532">
        <v>9499.7000000000007</v>
      </c>
      <c r="I532">
        <v>798.5</v>
      </c>
      <c r="K532">
        <v>92644.4</v>
      </c>
      <c r="M532">
        <v>94452.1</v>
      </c>
      <c r="O532">
        <v>1485.4</v>
      </c>
      <c r="Q532">
        <v>10576.8</v>
      </c>
      <c r="S532">
        <v>1324.9</v>
      </c>
      <c r="U532">
        <v>1062.0999999999999</v>
      </c>
      <c r="W532">
        <v>17979.7</v>
      </c>
      <c r="Y532">
        <v>4406.5</v>
      </c>
      <c r="AA532">
        <v>3184762.3</v>
      </c>
      <c r="AC532">
        <v>3203364.7</v>
      </c>
      <c r="AE532">
        <v>2414267</v>
      </c>
      <c r="AG532">
        <v>8202.2999999999993</v>
      </c>
      <c r="AI532">
        <v>53264.6</v>
      </c>
      <c r="AK532">
        <v>4178.2</v>
      </c>
      <c r="AM532">
        <v>5152.3</v>
      </c>
      <c r="AO532">
        <v>419.8</v>
      </c>
      <c r="AQ532">
        <v>410.5</v>
      </c>
      <c r="AS532">
        <v>227.1</v>
      </c>
      <c r="AU532">
        <v>345.9</v>
      </c>
      <c r="AW532">
        <v>149</v>
      </c>
      <c r="AY532">
        <v>6236</v>
      </c>
      <c r="BA532">
        <v>681507.7</v>
      </c>
      <c r="BC532">
        <v>2208.1</v>
      </c>
      <c r="BE532">
        <v>1688.8</v>
      </c>
      <c r="BG532">
        <v>134539.4</v>
      </c>
      <c r="BI532">
        <v>113580.2</v>
      </c>
      <c r="BK532">
        <v>281297.5</v>
      </c>
      <c r="BM532">
        <v>45081.9</v>
      </c>
      <c r="BO532">
        <v>2381952</v>
      </c>
      <c r="BQ532">
        <v>107718</v>
      </c>
      <c r="BS532">
        <v>506558.5</v>
      </c>
      <c r="BU532">
        <v>1003196.3</v>
      </c>
      <c r="BW532">
        <v>167988.3</v>
      </c>
      <c r="BY532">
        <v>111348.4</v>
      </c>
      <c r="CA532">
        <v>61959.3</v>
      </c>
      <c r="CC532">
        <v>879.1</v>
      </c>
      <c r="CE532">
        <v>766</v>
      </c>
      <c r="CG532">
        <v>130791.7</v>
      </c>
      <c r="CI532">
        <v>83287</v>
      </c>
      <c r="CK532">
        <v>889388.1</v>
      </c>
      <c r="CM532">
        <v>3686</v>
      </c>
      <c r="CO532">
        <v>31183.5</v>
      </c>
      <c r="CQ532">
        <v>23384.799999999999</v>
      </c>
      <c r="CS532">
        <v>398862.4</v>
      </c>
      <c r="CU532">
        <v>280723.09999999998</v>
      </c>
      <c r="CW532">
        <v>297318.40000000002</v>
      </c>
      <c r="CY532">
        <v>59515.9</v>
      </c>
      <c r="DA532">
        <v>890253.9</v>
      </c>
      <c r="DC532">
        <v>9.4</v>
      </c>
      <c r="DE532">
        <v>9046.9</v>
      </c>
      <c r="DG532">
        <v>170.9</v>
      </c>
      <c r="DI532">
        <v>2069.6999999999998</v>
      </c>
      <c r="DK532">
        <v>734.6</v>
      </c>
      <c r="DM532">
        <v>70124.2</v>
      </c>
      <c r="DO532">
        <v>66981.600000000006</v>
      </c>
      <c r="DQ532">
        <v>14209.7</v>
      </c>
    </row>
    <row r="533" spans="1:121" x14ac:dyDescent="0.2">
      <c r="D533" t="s">
        <v>62</v>
      </c>
      <c r="E533" t="s">
        <v>61</v>
      </c>
      <c r="G533">
        <v>54.4</v>
      </c>
      <c r="I533">
        <v>46</v>
      </c>
      <c r="K533">
        <v>304.7</v>
      </c>
      <c r="M533">
        <v>279.7</v>
      </c>
      <c r="O533">
        <v>76.400000000000006</v>
      </c>
      <c r="Q533">
        <v>194.1</v>
      </c>
      <c r="S533">
        <v>116.4</v>
      </c>
      <c r="U533">
        <v>102</v>
      </c>
      <c r="W533">
        <v>237</v>
      </c>
      <c r="Y533">
        <v>112.9</v>
      </c>
      <c r="AA533">
        <v>47965</v>
      </c>
      <c r="AC533">
        <v>45058.6</v>
      </c>
      <c r="AE533">
        <v>51906.7</v>
      </c>
      <c r="AG533">
        <v>244.9</v>
      </c>
      <c r="AI533">
        <v>672.9</v>
      </c>
      <c r="AK533">
        <v>111.8</v>
      </c>
      <c r="AM533">
        <v>219.5</v>
      </c>
      <c r="AO533">
        <v>17.7</v>
      </c>
      <c r="AQ533">
        <v>15.4</v>
      </c>
      <c r="AS533">
        <v>22.2</v>
      </c>
      <c r="AU533">
        <v>57</v>
      </c>
      <c r="AW533">
        <v>37.299999999999997</v>
      </c>
      <c r="AY533">
        <v>103.3</v>
      </c>
      <c r="BA533">
        <v>4265.5</v>
      </c>
      <c r="BC533">
        <v>125</v>
      </c>
      <c r="BE533">
        <v>73</v>
      </c>
      <c r="BG533">
        <v>2024.2</v>
      </c>
      <c r="BI533">
        <v>2798.7</v>
      </c>
      <c r="BK533">
        <v>5338.6</v>
      </c>
      <c r="BM533">
        <v>603.70000000000005</v>
      </c>
      <c r="BO533">
        <v>19912.7</v>
      </c>
      <c r="BQ533">
        <v>584.4</v>
      </c>
      <c r="BS533">
        <v>4400.3</v>
      </c>
      <c r="BU533">
        <v>5784.8</v>
      </c>
      <c r="BW533">
        <v>1613.7</v>
      </c>
      <c r="BY533">
        <v>499.2</v>
      </c>
      <c r="CA533">
        <v>1757.5</v>
      </c>
      <c r="CC533">
        <v>12.6</v>
      </c>
      <c r="CE533">
        <v>84.4</v>
      </c>
      <c r="CG533">
        <v>2619.1999999999998</v>
      </c>
      <c r="CI533">
        <v>2305.8000000000002</v>
      </c>
      <c r="CK533">
        <v>25730.2</v>
      </c>
      <c r="CM533">
        <v>170.7</v>
      </c>
      <c r="CO533">
        <v>408.8</v>
      </c>
      <c r="CQ533">
        <v>483.9</v>
      </c>
      <c r="CS533">
        <v>6894.3</v>
      </c>
      <c r="CU533">
        <v>2220.1</v>
      </c>
      <c r="CW533">
        <v>2358.6</v>
      </c>
      <c r="CY533">
        <v>1034.5999999999999</v>
      </c>
      <c r="DA533">
        <v>8245.9</v>
      </c>
      <c r="DC533">
        <v>4.2</v>
      </c>
      <c r="DE533">
        <v>152.6</v>
      </c>
      <c r="DG533">
        <v>26.7</v>
      </c>
      <c r="DI533">
        <v>290.2</v>
      </c>
      <c r="DK533">
        <v>30</v>
      </c>
      <c r="DM533">
        <v>883.5</v>
      </c>
      <c r="DO533">
        <v>282.39999999999998</v>
      </c>
      <c r="DQ533">
        <v>309.89999999999998</v>
      </c>
    </row>
    <row r="534" spans="1:121" x14ac:dyDescent="0.2">
      <c r="D534" t="s">
        <v>63</v>
      </c>
      <c r="G534">
        <v>4.07E-2</v>
      </c>
      <c r="H534" t="s">
        <v>75</v>
      </c>
      <c r="I534">
        <v>1.5100000000000001E-2</v>
      </c>
      <c r="J534" t="s">
        <v>75</v>
      </c>
      <c r="K534">
        <v>0.11373</v>
      </c>
      <c r="L534" t="s">
        <v>75</v>
      </c>
      <c r="M534">
        <v>6.1240000000000003E-2</v>
      </c>
      <c r="N534" t="s">
        <v>75</v>
      </c>
      <c r="O534">
        <v>4.1599999999999996E-3</v>
      </c>
      <c r="P534" t="s">
        <v>75</v>
      </c>
      <c r="Q534">
        <v>8.8929999999999995E-2</v>
      </c>
      <c r="R534" t="s">
        <v>75</v>
      </c>
      <c r="S534">
        <v>4.6000000000000001E-4</v>
      </c>
      <c r="T534" t="s">
        <v>75</v>
      </c>
      <c r="U534">
        <v>1.0019999999999999E-2</v>
      </c>
      <c r="V534" t="s">
        <v>75</v>
      </c>
      <c r="W534">
        <v>4.1480000000000003E-2</v>
      </c>
      <c r="X534" t="s">
        <v>75</v>
      </c>
      <c r="Y534">
        <v>6.5089999999999995E-2</v>
      </c>
      <c r="Z534" t="s">
        <v>75</v>
      </c>
      <c r="AB534" t="s">
        <v>76</v>
      </c>
      <c r="AC534">
        <v>11.37763</v>
      </c>
      <c r="AD534" t="s">
        <v>75</v>
      </c>
      <c r="AE534">
        <v>9.0343099999999996</v>
      </c>
      <c r="AF534" t="s">
        <v>75</v>
      </c>
      <c r="AG534">
        <v>-9.9500000000000005E-3</v>
      </c>
      <c r="AH534" t="s">
        <v>75</v>
      </c>
      <c r="AI534">
        <v>0.33490999999999999</v>
      </c>
      <c r="AJ534" t="s">
        <v>75</v>
      </c>
      <c r="AK534">
        <v>7.1000000000000002E-4</v>
      </c>
      <c r="AL534" t="s">
        <v>75</v>
      </c>
      <c r="AM534">
        <v>-1.8400000000000001E-3</v>
      </c>
      <c r="AN534" t="s">
        <v>75</v>
      </c>
      <c r="AO534">
        <v>2.9499999999999999E-3</v>
      </c>
      <c r="AP534" t="s">
        <v>75</v>
      </c>
      <c r="AQ534">
        <v>7.9000000000000001E-4</v>
      </c>
      <c r="AR534" t="s">
        <v>75</v>
      </c>
      <c r="AS534">
        <v>-3.0000000000000001E-5</v>
      </c>
      <c r="AT534" t="s">
        <v>75</v>
      </c>
      <c r="AU534">
        <v>1.58E-3</v>
      </c>
      <c r="AV534" t="s">
        <v>75</v>
      </c>
      <c r="AW534">
        <v>-4.4000000000000002E-4</v>
      </c>
      <c r="AX534" t="s">
        <v>75</v>
      </c>
      <c r="AY534">
        <v>9.6500000000000006E-3</v>
      </c>
      <c r="AZ534" t="s">
        <v>75</v>
      </c>
      <c r="BC534">
        <v>-2.0533399999999999</v>
      </c>
      <c r="BD534" t="s">
        <v>75</v>
      </c>
      <c r="BE534">
        <v>4.1700000000000001E-3</v>
      </c>
      <c r="BF534" t="s">
        <v>75</v>
      </c>
      <c r="BG534">
        <v>0.34594999999999998</v>
      </c>
      <c r="BH534" t="s">
        <v>75</v>
      </c>
      <c r="BI534">
        <v>0.35729</v>
      </c>
      <c r="BJ534" t="s">
        <v>75</v>
      </c>
      <c r="BK534">
        <v>0.33955000000000002</v>
      </c>
      <c r="BL534" t="s">
        <v>75</v>
      </c>
      <c r="BM534">
        <v>3.2149999999999998E-2</v>
      </c>
      <c r="BN534" t="s">
        <v>75</v>
      </c>
      <c r="BO534">
        <v>50.962879999999998</v>
      </c>
      <c r="BP534" t="s">
        <v>75</v>
      </c>
      <c r="BQ534">
        <v>3.2332800000000002</v>
      </c>
      <c r="BR534" t="s">
        <v>75</v>
      </c>
      <c r="BS534">
        <v>10.916600000000001</v>
      </c>
      <c r="BT534" t="s">
        <v>75</v>
      </c>
      <c r="BU534">
        <v>21.105219999999999</v>
      </c>
      <c r="BV534" t="s">
        <v>75</v>
      </c>
      <c r="BW534">
        <v>71.205010000000001</v>
      </c>
      <c r="BX534" t="s">
        <v>75</v>
      </c>
      <c r="BY534">
        <v>23.21163</v>
      </c>
      <c r="BZ534" t="s">
        <v>75</v>
      </c>
      <c r="CA534">
        <v>29.652360000000002</v>
      </c>
      <c r="CB534" t="s">
        <v>75</v>
      </c>
      <c r="CC534">
        <v>0.17369000000000001</v>
      </c>
      <c r="CD534" t="s">
        <v>75</v>
      </c>
      <c r="CE534">
        <v>9.7800000000000005E-3</v>
      </c>
      <c r="CF534" t="s">
        <v>75</v>
      </c>
      <c r="CG534">
        <v>2.2161599999999999</v>
      </c>
      <c r="CH534" t="s">
        <v>75</v>
      </c>
      <c r="CI534">
        <v>1.05989</v>
      </c>
      <c r="CJ534" t="s">
        <v>75</v>
      </c>
      <c r="CK534">
        <v>12.285080000000001</v>
      </c>
      <c r="CL534" t="s">
        <v>75</v>
      </c>
      <c r="CM534">
        <v>4.546E-2</v>
      </c>
      <c r="CN534" t="s">
        <v>75</v>
      </c>
      <c r="CO534">
        <v>1.7773000000000001</v>
      </c>
      <c r="CP534" t="s">
        <v>75</v>
      </c>
      <c r="CQ534">
        <v>0.68154999999999999</v>
      </c>
      <c r="CR534" t="s">
        <v>75</v>
      </c>
      <c r="CS534">
        <v>104.46648999999999</v>
      </c>
      <c r="CT534" t="s">
        <v>75</v>
      </c>
      <c r="CV534" t="s">
        <v>76</v>
      </c>
      <c r="CW534">
        <v>11.034459999999999</v>
      </c>
      <c r="CX534" t="s">
        <v>75</v>
      </c>
      <c r="DA534">
        <v>60.688079999999999</v>
      </c>
      <c r="DB534" t="s">
        <v>75</v>
      </c>
      <c r="DC534">
        <v>3.6800000000000001E-3</v>
      </c>
      <c r="DD534" t="s">
        <v>75</v>
      </c>
      <c r="DE534">
        <v>4.6796199999999999</v>
      </c>
      <c r="DF534" t="s">
        <v>75</v>
      </c>
      <c r="DG534">
        <v>0.97106000000000003</v>
      </c>
      <c r="DH534" t="s">
        <v>75</v>
      </c>
      <c r="DI534">
        <v>3.7377699999999998</v>
      </c>
      <c r="DJ534" t="s">
        <v>75</v>
      </c>
      <c r="DL534" t="s">
        <v>76</v>
      </c>
      <c r="DN534" t="s">
        <v>76</v>
      </c>
      <c r="DO534">
        <v>11.364509999999999</v>
      </c>
      <c r="DP534" t="s">
        <v>75</v>
      </c>
    </row>
    <row r="535" spans="1:121" x14ac:dyDescent="0.2">
      <c r="D535" t="s">
        <v>64</v>
      </c>
      <c r="G535">
        <v>4.4000000000000002E-4</v>
      </c>
      <c r="H535" t="s">
        <v>75</v>
      </c>
      <c r="I535">
        <v>1.58E-3</v>
      </c>
      <c r="J535" t="s">
        <v>75</v>
      </c>
      <c r="K535">
        <v>4.2000000000000002E-4</v>
      </c>
      <c r="L535" t="s">
        <v>75</v>
      </c>
      <c r="M535">
        <v>4.8999999999999998E-4</v>
      </c>
      <c r="N535" t="s">
        <v>75</v>
      </c>
      <c r="O535">
        <v>6.0000000000000002E-5</v>
      </c>
      <c r="P535" t="s">
        <v>75</v>
      </c>
      <c r="Q535">
        <v>1.3799999999999999E-3</v>
      </c>
      <c r="R535" t="s">
        <v>75</v>
      </c>
      <c r="S535">
        <v>1E-4</v>
      </c>
      <c r="T535" t="s">
        <v>75</v>
      </c>
      <c r="U535">
        <v>4.0000000000000002E-4</v>
      </c>
      <c r="V535" t="s">
        <v>75</v>
      </c>
      <c r="W535">
        <v>6.8000000000000005E-4</v>
      </c>
      <c r="X535" t="s">
        <v>75</v>
      </c>
      <c r="Y535">
        <v>2.0600000000000002E-3</v>
      </c>
      <c r="Z535" t="s">
        <v>75</v>
      </c>
      <c r="AC535">
        <v>0.18698000000000001</v>
      </c>
      <c r="AD535" t="s">
        <v>75</v>
      </c>
      <c r="AE535">
        <v>0.23513000000000001</v>
      </c>
      <c r="AF535" t="s">
        <v>75</v>
      </c>
      <c r="AG535">
        <v>1.4999999999999999E-4</v>
      </c>
      <c r="AH535" t="s">
        <v>75</v>
      </c>
      <c r="AI535">
        <v>6.3E-3</v>
      </c>
      <c r="AJ535" t="s">
        <v>75</v>
      </c>
      <c r="AK535">
        <v>6.9999999999999994E-5</v>
      </c>
      <c r="AL535" t="s">
        <v>75</v>
      </c>
      <c r="AM535">
        <v>1.7000000000000001E-4</v>
      </c>
      <c r="AN535" t="s">
        <v>75</v>
      </c>
      <c r="AO535">
        <v>6.9999999999999994E-5</v>
      </c>
      <c r="AP535" t="s">
        <v>75</v>
      </c>
      <c r="AQ535">
        <v>6.9999999999999994E-5</v>
      </c>
      <c r="AR535" t="s">
        <v>75</v>
      </c>
      <c r="AS535">
        <v>9.0000000000000006E-5</v>
      </c>
      <c r="AT535" t="s">
        <v>75</v>
      </c>
      <c r="AU535">
        <v>4.0000000000000003E-5</v>
      </c>
      <c r="AV535" t="s">
        <v>75</v>
      </c>
      <c r="AW535">
        <v>9.0000000000000006E-5</v>
      </c>
      <c r="AX535" t="s">
        <v>75</v>
      </c>
      <c r="AY535">
        <v>2.2000000000000001E-4</v>
      </c>
      <c r="AZ535" t="s">
        <v>75</v>
      </c>
      <c r="BC535">
        <v>3.4000000000000002E-4</v>
      </c>
      <c r="BD535" t="s">
        <v>75</v>
      </c>
      <c r="BE535">
        <v>6.0000000000000002E-5</v>
      </c>
      <c r="BF535" t="s">
        <v>75</v>
      </c>
      <c r="BG535">
        <v>3.62E-3</v>
      </c>
      <c r="BH535" t="s">
        <v>75</v>
      </c>
      <c r="BI535">
        <v>7.7099999999999998E-3</v>
      </c>
      <c r="BJ535" t="s">
        <v>75</v>
      </c>
      <c r="BK535">
        <v>5.28E-3</v>
      </c>
      <c r="BL535" t="s">
        <v>75</v>
      </c>
      <c r="BM535">
        <v>5.9000000000000003E-4</v>
      </c>
      <c r="BN535" t="s">
        <v>75</v>
      </c>
      <c r="BO535">
        <v>0.97084000000000004</v>
      </c>
      <c r="BP535" t="s">
        <v>75</v>
      </c>
      <c r="BQ535">
        <v>7.3870000000000005E-2</v>
      </c>
      <c r="BR535" t="s">
        <v>75</v>
      </c>
      <c r="BS535">
        <v>0.22287999999999999</v>
      </c>
      <c r="BT535" t="s">
        <v>75</v>
      </c>
      <c r="BU535">
        <v>0.93464999999999998</v>
      </c>
      <c r="BV535" t="s">
        <v>75</v>
      </c>
      <c r="BW535">
        <v>1.8303700000000001</v>
      </c>
      <c r="BX535" t="s">
        <v>75</v>
      </c>
      <c r="BY535">
        <v>0.41600999999999999</v>
      </c>
      <c r="BZ535" t="s">
        <v>75</v>
      </c>
      <c r="CA535">
        <v>0.80566000000000004</v>
      </c>
      <c r="CB535" t="s">
        <v>75</v>
      </c>
      <c r="CC535">
        <v>2.2799999999999999E-3</v>
      </c>
      <c r="CD535" t="s">
        <v>75</v>
      </c>
      <c r="CE535">
        <v>1.1999999999999999E-3</v>
      </c>
      <c r="CF535" t="s">
        <v>75</v>
      </c>
      <c r="CG535">
        <v>4.718E-2</v>
      </c>
      <c r="CH535" t="s">
        <v>75</v>
      </c>
      <c r="CI535">
        <v>2.308E-2</v>
      </c>
      <c r="CJ535" t="s">
        <v>75</v>
      </c>
      <c r="CK535">
        <v>0.22552</v>
      </c>
      <c r="CL535" t="s">
        <v>75</v>
      </c>
      <c r="CM535">
        <v>2.49E-3</v>
      </c>
      <c r="CN535" t="s">
        <v>75</v>
      </c>
      <c r="CO535">
        <v>4.2700000000000002E-2</v>
      </c>
      <c r="CP535" t="s">
        <v>75</v>
      </c>
      <c r="CQ535">
        <v>2.5389999999999999E-2</v>
      </c>
      <c r="CR535" t="s">
        <v>75</v>
      </c>
      <c r="CS535">
        <v>3.28511</v>
      </c>
      <c r="CT535" t="s">
        <v>75</v>
      </c>
      <c r="CW535">
        <v>0.25380999999999998</v>
      </c>
      <c r="CX535" t="s">
        <v>75</v>
      </c>
      <c r="DA535">
        <v>1.7734799999999999</v>
      </c>
      <c r="DB535" t="s">
        <v>75</v>
      </c>
      <c r="DC535">
        <v>2.0500000000000002E-3</v>
      </c>
      <c r="DD535" t="s">
        <v>75</v>
      </c>
      <c r="DE535">
        <v>2.316E-2</v>
      </c>
      <c r="DF535" t="s">
        <v>75</v>
      </c>
      <c r="DG535">
        <v>0.17598</v>
      </c>
      <c r="DH535" t="s">
        <v>75</v>
      </c>
      <c r="DI535">
        <v>0.66535</v>
      </c>
      <c r="DJ535" t="s">
        <v>75</v>
      </c>
      <c r="DO535">
        <v>0.247</v>
      </c>
      <c r="DP535" t="s">
        <v>75</v>
      </c>
    </row>
    <row r="536" spans="1:121" x14ac:dyDescent="0.2">
      <c r="D536" t="s">
        <v>65</v>
      </c>
      <c r="G536" t="s">
        <v>66</v>
      </c>
      <c r="I536" t="s">
        <v>66</v>
      </c>
      <c r="K536" t="s">
        <v>66</v>
      </c>
      <c r="M536" t="s">
        <v>66</v>
      </c>
      <c r="O536" t="s">
        <v>66</v>
      </c>
      <c r="Q536" t="s">
        <v>66</v>
      </c>
      <c r="S536" t="s">
        <v>66</v>
      </c>
      <c r="U536" t="s">
        <v>66</v>
      </c>
      <c r="W536" t="s">
        <v>66</v>
      </c>
      <c r="Y536" t="s">
        <v>66</v>
      </c>
      <c r="AA536" t="s">
        <v>66</v>
      </c>
      <c r="AC536" t="s">
        <v>66</v>
      </c>
      <c r="AE536" t="s">
        <v>66</v>
      </c>
      <c r="AG536" t="s">
        <v>66</v>
      </c>
      <c r="AI536" t="s">
        <v>66</v>
      </c>
      <c r="AK536" t="s">
        <v>66</v>
      </c>
      <c r="AM536" t="s">
        <v>66</v>
      </c>
      <c r="AO536" t="s">
        <v>66</v>
      </c>
      <c r="AQ536" t="s">
        <v>66</v>
      </c>
      <c r="AS536" t="s">
        <v>66</v>
      </c>
      <c r="AU536" t="s">
        <v>66</v>
      </c>
      <c r="AW536" t="s">
        <v>66</v>
      </c>
      <c r="AY536" t="s">
        <v>66</v>
      </c>
      <c r="BA536" t="s">
        <v>66</v>
      </c>
      <c r="BC536" t="s">
        <v>66</v>
      </c>
      <c r="BE536" t="s">
        <v>66</v>
      </c>
      <c r="BG536" t="s">
        <v>66</v>
      </c>
      <c r="BI536" t="s">
        <v>66</v>
      </c>
      <c r="BK536" t="s">
        <v>66</v>
      </c>
      <c r="BM536" t="s">
        <v>66</v>
      </c>
      <c r="BO536" t="s">
        <v>66</v>
      </c>
      <c r="BQ536" t="s">
        <v>66</v>
      </c>
      <c r="BS536" t="s">
        <v>66</v>
      </c>
      <c r="BU536" t="s">
        <v>66</v>
      </c>
      <c r="BW536" t="s">
        <v>66</v>
      </c>
      <c r="BY536" t="s">
        <v>66</v>
      </c>
      <c r="CA536" t="s">
        <v>66</v>
      </c>
      <c r="CC536" t="s">
        <v>66</v>
      </c>
      <c r="CE536" t="s">
        <v>66</v>
      </c>
      <c r="CG536" t="s">
        <v>66</v>
      </c>
      <c r="CI536" t="s">
        <v>66</v>
      </c>
      <c r="CK536" t="s">
        <v>66</v>
      </c>
      <c r="CM536" t="s">
        <v>66</v>
      </c>
      <c r="CO536" t="s">
        <v>66</v>
      </c>
      <c r="CQ536" t="s">
        <v>66</v>
      </c>
      <c r="CS536" t="s">
        <v>66</v>
      </c>
      <c r="CU536" t="s">
        <v>66</v>
      </c>
      <c r="CW536" t="s">
        <v>66</v>
      </c>
      <c r="CY536" t="s">
        <v>66</v>
      </c>
      <c r="DA536" t="s">
        <v>66</v>
      </c>
      <c r="DC536" t="s">
        <v>66</v>
      </c>
      <c r="DE536" t="s">
        <v>66</v>
      </c>
      <c r="DG536" t="s">
        <v>66</v>
      </c>
      <c r="DI536" t="s">
        <v>66</v>
      </c>
      <c r="DK536" t="s">
        <v>66</v>
      </c>
      <c r="DM536" t="s">
        <v>66</v>
      </c>
      <c r="DO536" t="s">
        <v>66</v>
      </c>
      <c r="DQ536" t="s">
        <v>66</v>
      </c>
    </row>
    <row r="537" spans="1:121" x14ac:dyDescent="0.2">
      <c r="A537" t="s">
        <v>677</v>
      </c>
      <c r="D537" t="s">
        <v>60</v>
      </c>
      <c r="E537" t="s">
        <v>61</v>
      </c>
      <c r="G537">
        <v>11083.8</v>
      </c>
      <c r="I537">
        <v>648.9</v>
      </c>
      <c r="K537">
        <v>258212.9</v>
      </c>
      <c r="M537">
        <v>200461.6</v>
      </c>
      <c r="O537">
        <v>3350.1</v>
      </c>
      <c r="Q537">
        <v>23940.6</v>
      </c>
      <c r="S537">
        <v>1395.7</v>
      </c>
      <c r="U537">
        <v>1084</v>
      </c>
      <c r="W537">
        <v>23420.7</v>
      </c>
      <c r="Y537">
        <v>17204.2</v>
      </c>
      <c r="AA537">
        <v>3555423.9</v>
      </c>
      <c r="AC537">
        <v>3433489.3</v>
      </c>
      <c r="AE537">
        <v>9617722.6999999993</v>
      </c>
      <c r="AG537">
        <v>19649.8</v>
      </c>
      <c r="AI537">
        <v>124219</v>
      </c>
      <c r="AK537">
        <v>10018.6</v>
      </c>
      <c r="AM537">
        <v>10257.5</v>
      </c>
      <c r="AO537">
        <v>851.4</v>
      </c>
      <c r="AQ537">
        <v>407.4</v>
      </c>
      <c r="AS537">
        <v>395.9</v>
      </c>
      <c r="AU537">
        <v>280.2</v>
      </c>
      <c r="AW537">
        <v>289.60000000000002</v>
      </c>
      <c r="AY537">
        <v>6534.3</v>
      </c>
      <c r="BA537">
        <v>669092.6</v>
      </c>
      <c r="BC537">
        <v>2138.1999999999998</v>
      </c>
      <c r="BE537">
        <v>4003</v>
      </c>
      <c r="BG537">
        <v>446390.3</v>
      </c>
      <c r="BI537">
        <v>375841.7</v>
      </c>
      <c r="BK537">
        <v>954476.2</v>
      </c>
      <c r="BM537">
        <v>149857.9</v>
      </c>
      <c r="BO537">
        <v>4084392.3</v>
      </c>
      <c r="BQ537">
        <v>254634</v>
      </c>
      <c r="BS537">
        <v>634165.80000000005</v>
      </c>
      <c r="BU537">
        <v>2447161.5</v>
      </c>
      <c r="BW537">
        <v>167421.5</v>
      </c>
      <c r="BY537">
        <v>260047.1</v>
      </c>
      <c r="CA537">
        <v>133194.1</v>
      </c>
      <c r="CC537">
        <v>1663.2</v>
      </c>
      <c r="CE537">
        <v>1473.3</v>
      </c>
      <c r="CG537">
        <v>272714</v>
      </c>
      <c r="CI537">
        <v>196793.3</v>
      </c>
      <c r="CK537">
        <v>2411969.7999999998</v>
      </c>
      <c r="CM537">
        <v>10138.4</v>
      </c>
      <c r="CO537">
        <v>75286.3</v>
      </c>
      <c r="CQ537">
        <v>65613.100000000006</v>
      </c>
      <c r="CS537">
        <v>1250971</v>
      </c>
      <c r="CU537">
        <v>328283.09999999998</v>
      </c>
      <c r="CW537">
        <v>324757.40000000002</v>
      </c>
      <c r="CY537">
        <v>58144.2</v>
      </c>
      <c r="DA537">
        <v>1797397.9</v>
      </c>
      <c r="DC537">
        <v>22.2</v>
      </c>
      <c r="DE537">
        <v>44516.6</v>
      </c>
      <c r="DG537">
        <v>564.4</v>
      </c>
      <c r="DI537">
        <v>3937.9</v>
      </c>
      <c r="DK537">
        <v>685.6</v>
      </c>
      <c r="DM537">
        <v>83295.399999999994</v>
      </c>
      <c r="DO537">
        <v>73647.600000000006</v>
      </c>
      <c r="DQ537">
        <v>14012.1</v>
      </c>
    </row>
    <row r="538" spans="1:121" x14ac:dyDescent="0.2">
      <c r="D538" t="s">
        <v>62</v>
      </c>
      <c r="E538" t="s">
        <v>61</v>
      </c>
      <c r="G538">
        <v>120.9</v>
      </c>
      <c r="I538">
        <v>50.1</v>
      </c>
      <c r="K538">
        <v>2011</v>
      </c>
      <c r="M538">
        <v>941</v>
      </c>
      <c r="O538">
        <v>19</v>
      </c>
      <c r="Q538">
        <v>604.79999999999995</v>
      </c>
      <c r="S538">
        <v>31.3</v>
      </c>
      <c r="U538">
        <v>133.9</v>
      </c>
      <c r="W538">
        <v>277.10000000000002</v>
      </c>
      <c r="Y538">
        <v>326.2</v>
      </c>
      <c r="AA538">
        <v>33763.1</v>
      </c>
      <c r="AC538">
        <v>151013</v>
      </c>
      <c r="AE538">
        <v>321326.8</v>
      </c>
      <c r="AG538">
        <v>397.2</v>
      </c>
      <c r="AI538">
        <v>3745.1</v>
      </c>
      <c r="AK538">
        <v>411</v>
      </c>
      <c r="AM538">
        <v>149.30000000000001</v>
      </c>
      <c r="AO538">
        <v>56.3</v>
      </c>
      <c r="AQ538">
        <v>62.1</v>
      </c>
      <c r="AS538">
        <v>38.6</v>
      </c>
      <c r="AU538">
        <v>37.299999999999997</v>
      </c>
      <c r="AW538">
        <v>23.5</v>
      </c>
      <c r="AY538">
        <v>40.700000000000003</v>
      </c>
      <c r="BA538">
        <v>4673</v>
      </c>
      <c r="BC538">
        <v>53.4</v>
      </c>
      <c r="BE538">
        <v>229.5</v>
      </c>
      <c r="BG538">
        <v>4401.2</v>
      </c>
      <c r="BI538">
        <v>2865.6</v>
      </c>
      <c r="BK538">
        <v>6892.9</v>
      </c>
      <c r="BM538">
        <v>2998.5</v>
      </c>
      <c r="BO538">
        <v>19668.8</v>
      </c>
      <c r="BQ538">
        <v>4624.6000000000004</v>
      </c>
      <c r="BS538">
        <v>12301.7</v>
      </c>
      <c r="BU538">
        <v>26183.4</v>
      </c>
      <c r="BW538">
        <v>356.4</v>
      </c>
      <c r="BY538">
        <v>534.20000000000005</v>
      </c>
      <c r="CA538">
        <v>1036.9000000000001</v>
      </c>
      <c r="CC538">
        <v>107</v>
      </c>
      <c r="CE538">
        <v>67.900000000000006</v>
      </c>
      <c r="CG538">
        <v>4398.2</v>
      </c>
      <c r="CI538">
        <v>4309.3</v>
      </c>
      <c r="CK538">
        <v>37814.9</v>
      </c>
      <c r="CM538">
        <v>365.6</v>
      </c>
      <c r="CO538">
        <v>1144.0999999999999</v>
      </c>
      <c r="CQ538">
        <v>1285.4000000000001</v>
      </c>
      <c r="CS538">
        <v>6510.6</v>
      </c>
      <c r="CU538">
        <v>4970.3999999999996</v>
      </c>
      <c r="CW538">
        <v>2637.3</v>
      </c>
      <c r="CY538">
        <v>331.1</v>
      </c>
      <c r="DA538">
        <v>7703</v>
      </c>
      <c r="DC538">
        <v>4.2</v>
      </c>
      <c r="DE538">
        <v>654.70000000000005</v>
      </c>
      <c r="DG538">
        <v>22.7</v>
      </c>
      <c r="DI538">
        <v>424.5</v>
      </c>
      <c r="DK538">
        <v>43.2</v>
      </c>
      <c r="DM538">
        <v>1347.3</v>
      </c>
      <c r="DO538">
        <v>1138.8</v>
      </c>
      <c r="DQ538">
        <v>46.6</v>
      </c>
    </row>
    <row r="539" spans="1:121" x14ac:dyDescent="0.2">
      <c r="D539" t="s">
        <v>63</v>
      </c>
      <c r="G539">
        <v>5.484E-2</v>
      </c>
      <c r="H539" t="s">
        <v>75</v>
      </c>
      <c r="I539">
        <v>1.0330000000000001E-2</v>
      </c>
      <c r="J539" t="s">
        <v>75</v>
      </c>
      <c r="K539">
        <v>0.32926</v>
      </c>
      <c r="L539" t="s">
        <v>75</v>
      </c>
      <c r="M539">
        <v>0.17213999999999999</v>
      </c>
      <c r="N539" t="s">
        <v>75</v>
      </c>
      <c r="O539">
        <v>5.7600000000000004E-3</v>
      </c>
      <c r="P539" t="s">
        <v>75</v>
      </c>
      <c r="Q539">
        <v>0.17763000000000001</v>
      </c>
      <c r="R539" t="s">
        <v>75</v>
      </c>
      <c r="S539">
        <v>5.5000000000000003E-4</v>
      </c>
      <c r="T539" t="s">
        <v>75</v>
      </c>
      <c r="U539">
        <v>1.0189999999999999E-2</v>
      </c>
      <c r="V539" t="s">
        <v>75</v>
      </c>
      <c r="W539">
        <v>5.3879999999999997E-2</v>
      </c>
      <c r="X539" t="s">
        <v>75</v>
      </c>
      <c r="Y539">
        <v>0.25880999999999998</v>
      </c>
      <c r="Z539" t="s">
        <v>75</v>
      </c>
      <c r="AB539" t="s">
        <v>76</v>
      </c>
      <c r="AC539">
        <v>12.41499</v>
      </c>
      <c r="AD539" t="s">
        <v>75</v>
      </c>
      <c r="AE539">
        <v>36.531649999999999</v>
      </c>
      <c r="AF539" t="s">
        <v>75</v>
      </c>
      <c r="AG539">
        <v>-7.2999999999999996E-4</v>
      </c>
      <c r="AH539" t="s">
        <v>75</v>
      </c>
      <c r="AI539">
        <v>0.79540999999999995</v>
      </c>
      <c r="AJ539" t="s">
        <v>75</v>
      </c>
      <c r="AK539">
        <v>4.8199999999999996E-3</v>
      </c>
      <c r="AL539" t="s">
        <v>75</v>
      </c>
      <c r="AM539">
        <v>2.1199999999999999E-3</v>
      </c>
      <c r="AN539" t="s">
        <v>75</v>
      </c>
      <c r="AO539">
        <v>4.5799999999999999E-3</v>
      </c>
      <c r="AP539" t="s">
        <v>75</v>
      </c>
      <c r="AQ539">
        <v>8.0999999999999996E-4</v>
      </c>
      <c r="AR539" t="s">
        <v>75</v>
      </c>
      <c r="AS539">
        <v>7.5000000000000002E-4</v>
      </c>
      <c r="AT539" t="s">
        <v>75</v>
      </c>
      <c r="AU539">
        <v>1.5399999999999999E-3</v>
      </c>
      <c r="AV539" t="s">
        <v>75</v>
      </c>
      <c r="AW539">
        <v>-9.0000000000000006E-5</v>
      </c>
      <c r="AX539" t="s">
        <v>75</v>
      </c>
      <c r="AY539">
        <v>1.0999999999999999E-2</v>
      </c>
      <c r="AZ539" t="s">
        <v>75</v>
      </c>
      <c r="BC539">
        <v>-2.0534300000000001</v>
      </c>
      <c r="BD539" t="s">
        <v>75</v>
      </c>
      <c r="BE539">
        <v>6.4400000000000004E-3</v>
      </c>
      <c r="BF539" t="s">
        <v>75</v>
      </c>
      <c r="BG539">
        <v>1.2615799999999999</v>
      </c>
      <c r="BH539" t="s">
        <v>75</v>
      </c>
      <c r="BI539">
        <v>1.2425999999999999</v>
      </c>
      <c r="BJ539" t="s">
        <v>75</v>
      </c>
      <c r="BK539">
        <v>1.2768699999999999</v>
      </c>
      <c r="BL539" t="s">
        <v>75</v>
      </c>
      <c r="BM539">
        <v>0.13270999999999999</v>
      </c>
      <c r="BN539" t="s">
        <v>75</v>
      </c>
      <c r="BO539">
        <v>90.739980000000003</v>
      </c>
      <c r="BP539" t="s">
        <v>75</v>
      </c>
      <c r="BQ539">
        <v>8.4175900000000006</v>
      </c>
      <c r="BR539" t="s">
        <v>75</v>
      </c>
      <c r="BS539">
        <v>14.115309999999999</v>
      </c>
      <c r="BT539" t="s">
        <v>75</v>
      </c>
      <c r="BU539">
        <v>83.318709999999996</v>
      </c>
      <c r="BV539" t="s">
        <v>75</v>
      </c>
      <c r="BW539">
        <v>72.623919999999998</v>
      </c>
      <c r="BX539" t="s">
        <v>75</v>
      </c>
      <c r="BY539">
        <v>66.784319999999994</v>
      </c>
      <c r="BZ539" t="s">
        <v>75</v>
      </c>
      <c r="CA539">
        <v>69.578159999999997</v>
      </c>
      <c r="CB539" t="s">
        <v>75</v>
      </c>
      <c r="CC539">
        <v>0.34977999999999998</v>
      </c>
      <c r="CD539" t="s">
        <v>75</v>
      </c>
      <c r="CE539">
        <v>2.086E-2</v>
      </c>
      <c r="CF539" t="s">
        <v>75</v>
      </c>
      <c r="CG539">
        <v>4.7494699999999996</v>
      </c>
      <c r="CH539" t="s">
        <v>75</v>
      </c>
      <c r="CI539">
        <v>2.6044399999999999</v>
      </c>
      <c r="CJ539" t="s">
        <v>75</v>
      </c>
      <c r="CK539">
        <v>34.693240000000003</v>
      </c>
      <c r="CL539" t="s">
        <v>75</v>
      </c>
      <c r="CM539">
        <v>0.14066000000000001</v>
      </c>
      <c r="CN539" t="s">
        <v>75</v>
      </c>
      <c r="CO539">
        <v>4.3763100000000001</v>
      </c>
      <c r="CP539" t="s">
        <v>75</v>
      </c>
      <c r="CQ539">
        <v>2.0080399999999998</v>
      </c>
      <c r="CR539" t="s">
        <v>75</v>
      </c>
      <c r="CS539">
        <v>335.49318</v>
      </c>
      <c r="CT539" t="s">
        <v>75</v>
      </c>
      <c r="CV539" t="s">
        <v>76</v>
      </c>
      <c r="CW539">
        <v>12.337</v>
      </c>
      <c r="CX539" t="s">
        <v>75</v>
      </c>
      <c r="DA539">
        <v>124.4443</v>
      </c>
      <c r="DB539" t="s">
        <v>75</v>
      </c>
      <c r="DC539">
        <v>1.03E-2</v>
      </c>
      <c r="DD539" t="s">
        <v>75</v>
      </c>
      <c r="DE539">
        <v>23.423380000000002</v>
      </c>
      <c r="DF539" t="s">
        <v>75</v>
      </c>
      <c r="DG539">
        <v>3.3928099999999999</v>
      </c>
      <c r="DH539" t="s">
        <v>75</v>
      </c>
      <c r="DI539">
        <v>7.6223000000000001</v>
      </c>
      <c r="DJ539" t="s">
        <v>75</v>
      </c>
      <c r="DL539" t="s">
        <v>76</v>
      </c>
      <c r="DN539" t="s">
        <v>76</v>
      </c>
      <c r="DO539">
        <v>12.668430000000001</v>
      </c>
      <c r="DP539" t="s">
        <v>75</v>
      </c>
    </row>
    <row r="540" spans="1:121" x14ac:dyDescent="0.2">
      <c r="D540" t="s">
        <v>64</v>
      </c>
      <c r="G540">
        <v>9.3000000000000005E-4</v>
      </c>
      <c r="H540" t="s">
        <v>75</v>
      </c>
      <c r="I540">
        <v>1.9300000000000001E-3</v>
      </c>
      <c r="J540" t="s">
        <v>75</v>
      </c>
      <c r="K540">
        <v>2.1700000000000001E-3</v>
      </c>
      <c r="L540" t="s">
        <v>75</v>
      </c>
      <c r="M540">
        <v>2.3999999999999998E-3</v>
      </c>
      <c r="N540" t="s">
        <v>75</v>
      </c>
      <c r="O540">
        <v>1.0000000000000001E-5</v>
      </c>
      <c r="P540" t="s">
        <v>75</v>
      </c>
      <c r="Q540">
        <v>4.9500000000000004E-3</v>
      </c>
      <c r="R540" t="s">
        <v>75</v>
      </c>
      <c r="S540">
        <v>2.0000000000000002E-5</v>
      </c>
      <c r="T540" t="s">
        <v>75</v>
      </c>
      <c r="U540">
        <v>5.2999999999999998E-4</v>
      </c>
      <c r="V540" t="s">
        <v>75</v>
      </c>
      <c r="W540">
        <v>4.0999999999999999E-4</v>
      </c>
      <c r="X540" t="s">
        <v>75</v>
      </c>
      <c r="Y540">
        <v>3.3800000000000002E-3</v>
      </c>
      <c r="Z540" t="s">
        <v>75</v>
      </c>
      <c r="AC540">
        <v>0.46562999999999999</v>
      </c>
      <c r="AD540" t="s">
        <v>75</v>
      </c>
      <c r="AE540">
        <v>1.0468999999999999</v>
      </c>
      <c r="AF540" t="s">
        <v>75</v>
      </c>
      <c r="AG540">
        <v>2.1000000000000001E-4</v>
      </c>
      <c r="AH540" t="s">
        <v>75</v>
      </c>
      <c r="AI540">
        <v>2.0330000000000001E-2</v>
      </c>
      <c r="AJ540" t="s">
        <v>75</v>
      </c>
      <c r="AK540">
        <v>2.5999999999999998E-4</v>
      </c>
      <c r="AL540" t="s">
        <v>75</v>
      </c>
      <c r="AM540">
        <v>1.1E-4</v>
      </c>
      <c r="AN540" t="s">
        <v>75</v>
      </c>
      <c r="AO540">
        <v>2.2000000000000001E-4</v>
      </c>
      <c r="AP540" t="s">
        <v>75</v>
      </c>
      <c r="AQ540">
        <v>2.7999999999999998E-4</v>
      </c>
      <c r="AR540" t="s">
        <v>75</v>
      </c>
      <c r="AS540">
        <v>1.9000000000000001E-4</v>
      </c>
      <c r="AT540" t="s">
        <v>75</v>
      </c>
      <c r="AU540">
        <v>3.0000000000000001E-5</v>
      </c>
      <c r="AV540" t="s">
        <v>75</v>
      </c>
      <c r="AW540">
        <v>6.0000000000000002E-5</v>
      </c>
      <c r="AX540" t="s">
        <v>75</v>
      </c>
      <c r="AY540">
        <v>2.7999999999999998E-4</v>
      </c>
      <c r="AZ540" t="s">
        <v>75</v>
      </c>
      <c r="BC540">
        <v>1.2E-4</v>
      </c>
      <c r="BD540" t="s">
        <v>75</v>
      </c>
      <c r="BE540">
        <v>2.5000000000000001E-4</v>
      </c>
      <c r="BF540" t="s">
        <v>75</v>
      </c>
      <c r="BG540">
        <v>1.72E-2</v>
      </c>
      <c r="BH540" t="s">
        <v>75</v>
      </c>
      <c r="BI540">
        <v>1.8290000000000001E-2</v>
      </c>
      <c r="BJ540" t="s">
        <v>75</v>
      </c>
      <c r="BK540">
        <v>1.456E-2</v>
      </c>
      <c r="BL540" t="s">
        <v>75</v>
      </c>
      <c r="BM540">
        <v>3.3400000000000001E-3</v>
      </c>
      <c r="BN540" t="s">
        <v>75</v>
      </c>
      <c r="BO540">
        <v>0.68235000000000001</v>
      </c>
      <c r="BP540" t="s">
        <v>75</v>
      </c>
      <c r="BQ540">
        <v>0.18991</v>
      </c>
      <c r="BR540" t="s">
        <v>75</v>
      </c>
      <c r="BS540">
        <v>0.25645000000000001</v>
      </c>
      <c r="BT540" t="s">
        <v>75</v>
      </c>
      <c r="BU540">
        <v>1.29549</v>
      </c>
      <c r="BV540" t="s">
        <v>75</v>
      </c>
      <c r="BW540">
        <v>0.30182999999999999</v>
      </c>
      <c r="BX540" t="s">
        <v>75</v>
      </c>
      <c r="BY540">
        <v>0.55859000000000003</v>
      </c>
      <c r="BZ540" t="s">
        <v>75</v>
      </c>
      <c r="CA540">
        <v>0.98182000000000003</v>
      </c>
      <c r="CB540" t="s">
        <v>75</v>
      </c>
      <c r="CC540">
        <v>2.5360000000000001E-2</v>
      </c>
      <c r="CD540" t="s">
        <v>75</v>
      </c>
      <c r="CE540">
        <v>1.1100000000000001E-3</v>
      </c>
      <c r="CF540" t="s">
        <v>75</v>
      </c>
      <c r="CG540">
        <v>0.10338</v>
      </c>
      <c r="CH540" t="s">
        <v>75</v>
      </c>
      <c r="CI540">
        <v>7.1970000000000006E-2</v>
      </c>
      <c r="CJ540" t="s">
        <v>75</v>
      </c>
      <c r="CK540">
        <v>0.74500999999999995</v>
      </c>
      <c r="CL540" t="s">
        <v>75</v>
      </c>
      <c r="CM540">
        <v>5.4299999999999999E-3</v>
      </c>
      <c r="CN540" t="s">
        <v>75</v>
      </c>
      <c r="CO540">
        <v>9.0630000000000002E-2</v>
      </c>
      <c r="CP540" t="s">
        <v>75</v>
      </c>
      <c r="CQ540">
        <v>5.0380000000000001E-2</v>
      </c>
      <c r="CR540" t="s">
        <v>75</v>
      </c>
      <c r="CS540">
        <v>3.5964399999999999</v>
      </c>
      <c r="CT540" t="s">
        <v>75</v>
      </c>
      <c r="CW540">
        <v>5.8029999999999998E-2</v>
      </c>
      <c r="CX540" t="s">
        <v>75</v>
      </c>
      <c r="DA540">
        <v>0.91139999999999999</v>
      </c>
      <c r="DB540" t="s">
        <v>75</v>
      </c>
      <c r="DC540">
        <v>2.1800000000000001E-3</v>
      </c>
      <c r="DD540" t="s">
        <v>75</v>
      </c>
      <c r="DE540">
        <v>0.39543</v>
      </c>
      <c r="DF540" t="s">
        <v>75</v>
      </c>
      <c r="DG540">
        <v>0.14631</v>
      </c>
      <c r="DH540" t="s">
        <v>75</v>
      </c>
      <c r="DI540">
        <v>0.88829999999999998</v>
      </c>
      <c r="DJ540" t="s">
        <v>75</v>
      </c>
      <c r="DO540">
        <v>0.15487999999999999</v>
      </c>
      <c r="DP540" t="s">
        <v>75</v>
      </c>
    </row>
    <row r="541" spans="1:121" x14ac:dyDescent="0.2">
      <c r="D541" t="s">
        <v>65</v>
      </c>
      <c r="G541" t="s">
        <v>66</v>
      </c>
      <c r="I541" t="s">
        <v>66</v>
      </c>
      <c r="K541" t="s">
        <v>66</v>
      </c>
      <c r="M541" t="s">
        <v>66</v>
      </c>
      <c r="O541" t="s">
        <v>66</v>
      </c>
      <c r="Q541" t="s">
        <v>66</v>
      </c>
      <c r="S541" t="s">
        <v>66</v>
      </c>
      <c r="U541" t="s">
        <v>66</v>
      </c>
      <c r="W541" t="s">
        <v>66</v>
      </c>
      <c r="Y541" t="s">
        <v>66</v>
      </c>
      <c r="AA541" t="s">
        <v>66</v>
      </c>
      <c r="AC541" t="s">
        <v>66</v>
      </c>
      <c r="AE541" t="s">
        <v>66</v>
      </c>
      <c r="AG541" t="s">
        <v>66</v>
      </c>
      <c r="AI541" t="s">
        <v>66</v>
      </c>
      <c r="AK541" t="s">
        <v>66</v>
      </c>
      <c r="AM541" t="s">
        <v>66</v>
      </c>
      <c r="AO541" t="s">
        <v>66</v>
      </c>
      <c r="AQ541" t="s">
        <v>66</v>
      </c>
      <c r="AS541" t="s">
        <v>66</v>
      </c>
      <c r="AU541" t="s">
        <v>66</v>
      </c>
      <c r="AW541" t="s">
        <v>66</v>
      </c>
      <c r="AY541" t="s">
        <v>66</v>
      </c>
      <c r="BA541" t="s">
        <v>66</v>
      </c>
      <c r="BC541" t="s">
        <v>66</v>
      </c>
      <c r="BE541" t="s">
        <v>66</v>
      </c>
      <c r="BG541" t="s">
        <v>66</v>
      </c>
      <c r="BI541" t="s">
        <v>66</v>
      </c>
      <c r="BK541" t="s">
        <v>66</v>
      </c>
      <c r="BM541" t="s">
        <v>66</v>
      </c>
      <c r="BO541" t="s">
        <v>66</v>
      </c>
      <c r="BQ541" t="s">
        <v>66</v>
      </c>
      <c r="BS541" t="s">
        <v>66</v>
      </c>
      <c r="BU541" t="s">
        <v>66</v>
      </c>
      <c r="BW541" t="s">
        <v>66</v>
      </c>
      <c r="BY541" t="s">
        <v>66</v>
      </c>
      <c r="CA541" t="s">
        <v>66</v>
      </c>
      <c r="CC541" t="s">
        <v>66</v>
      </c>
      <c r="CE541" t="s">
        <v>66</v>
      </c>
      <c r="CG541" t="s">
        <v>66</v>
      </c>
      <c r="CI541" t="s">
        <v>66</v>
      </c>
      <c r="CK541" t="s">
        <v>66</v>
      </c>
      <c r="CM541" t="s">
        <v>66</v>
      </c>
      <c r="CO541" t="s">
        <v>66</v>
      </c>
      <c r="CQ541" t="s">
        <v>66</v>
      </c>
      <c r="CS541" t="s">
        <v>66</v>
      </c>
      <c r="CU541" t="s">
        <v>66</v>
      </c>
      <c r="CW541" t="s">
        <v>66</v>
      </c>
      <c r="CY541" t="s">
        <v>66</v>
      </c>
      <c r="DA541" t="s">
        <v>66</v>
      </c>
      <c r="DC541" t="s">
        <v>66</v>
      </c>
      <c r="DE541" t="s">
        <v>66</v>
      </c>
      <c r="DG541" t="s">
        <v>66</v>
      </c>
      <c r="DI541" t="s">
        <v>66</v>
      </c>
      <c r="DK541" t="s">
        <v>66</v>
      </c>
      <c r="DM541" t="s">
        <v>66</v>
      </c>
      <c r="DO541" t="s">
        <v>66</v>
      </c>
      <c r="DQ541" t="s">
        <v>66</v>
      </c>
    </row>
    <row r="542" spans="1:121" x14ac:dyDescent="0.2">
      <c r="A542" t="s">
        <v>678</v>
      </c>
      <c r="D542" t="s">
        <v>60</v>
      </c>
      <c r="E542" t="s">
        <v>61</v>
      </c>
      <c r="G542">
        <v>9701.1</v>
      </c>
      <c r="I542">
        <v>715.6</v>
      </c>
      <c r="K542">
        <v>176852.8</v>
      </c>
      <c r="M542">
        <v>126620</v>
      </c>
      <c r="O542">
        <v>2130.9</v>
      </c>
      <c r="Q542">
        <v>5971</v>
      </c>
      <c r="S542">
        <v>1190.3</v>
      </c>
      <c r="U542">
        <v>996.4</v>
      </c>
      <c r="W542">
        <v>10637.3</v>
      </c>
      <c r="Y542">
        <v>8184.6</v>
      </c>
      <c r="AA542">
        <v>3444850</v>
      </c>
      <c r="AC542">
        <v>738548.2</v>
      </c>
      <c r="AE542">
        <v>3750327.3</v>
      </c>
      <c r="AG542">
        <v>13303.2</v>
      </c>
      <c r="AI542">
        <v>81436.100000000006</v>
      </c>
      <c r="AK542">
        <v>5060.5</v>
      </c>
      <c r="AM542">
        <v>5378.6</v>
      </c>
      <c r="AO542">
        <v>597.1</v>
      </c>
      <c r="AQ542">
        <v>472</v>
      </c>
      <c r="AS542">
        <v>332.3</v>
      </c>
      <c r="AU542">
        <v>284.39999999999998</v>
      </c>
      <c r="AW542">
        <v>218.8</v>
      </c>
      <c r="AY542">
        <v>3419.9</v>
      </c>
      <c r="BA542">
        <v>676538.7</v>
      </c>
      <c r="BC542">
        <v>2188.3000000000002</v>
      </c>
      <c r="BE542">
        <v>2809.8</v>
      </c>
      <c r="BG542">
        <v>253903.8</v>
      </c>
      <c r="BI542">
        <v>214813.8</v>
      </c>
      <c r="BK542">
        <v>537017.69999999995</v>
      </c>
      <c r="BM542">
        <v>82046.100000000006</v>
      </c>
      <c r="BO542">
        <v>1935977.5</v>
      </c>
      <c r="BQ542">
        <v>130317.2</v>
      </c>
      <c r="BS542">
        <v>296472.59999999998</v>
      </c>
      <c r="BU542">
        <v>1088863.7</v>
      </c>
      <c r="BW542">
        <v>28326.2</v>
      </c>
      <c r="BY542">
        <v>177060</v>
      </c>
      <c r="CA542">
        <v>84902.3</v>
      </c>
      <c r="CC542">
        <v>663.1</v>
      </c>
      <c r="CE542">
        <v>609.4</v>
      </c>
      <c r="CG542">
        <v>72949.3</v>
      </c>
      <c r="CI542">
        <v>74274.399999999994</v>
      </c>
      <c r="CK542">
        <v>452868.7</v>
      </c>
      <c r="CM542">
        <v>3481.1</v>
      </c>
      <c r="CO542">
        <v>20816.2</v>
      </c>
      <c r="CQ542">
        <v>27771.9</v>
      </c>
      <c r="CS542">
        <v>704951.4</v>
      </c>
      <c r="CU542">
        <v>287438.90000000002</v>
      </c>
      <c r="CW542">
        <v>75723.899999999994</v>
      </c>
      <c r="CY542">
        <v>57633.4</v>
      </c>
      <c r="DA542">
        <v>951018.8</v>
      </c>
      <c r="DC542">
        <v>28.9</v>
      </c>
      <c r="DE542">
        <v>15015.6</v>
      </c>
      <c r="DG542">
        <v>346.7</v>
      </c>
      <c r="DI542">
        <v>3441.1</v>
      </c>
      <c r="DK542">
        <v>783</v>
      </c>
      <c r="DM542">
        <v>73795.8</v>
      </c>
      <c r="DO542">
        <v>16995.3</v>
      </c>
      <c r="DQ542">
        <v>14417.8</v>
      </c>
    </row>
    <row r="543" spans="1:121" x14ac:dyDescent="0.2">
      <c r="D543" t="s">
        <v>62</v>
      </c>
      <c r="E543" t="s">
        <v>61</v>
      </c>
      <c r="G543">
        <v>458.4</v>
      </c>
      <c r="I543">
        <v>42.2</v>
      </c>
      <c r="K543">
        <v>477.1</v>
      </c>
      <c r="M543">
        <v>1383.9</v>
      </c>
      <c r="O543">
        <v>42.7</v>
      </c>
      <c r="Q543">
        <v>240.3</v>
      </c>
      <c r="S543">
        <v>93</v>
      </c>
      <c r="U543">
        <v>34.299999999999997</v>
      </c>
      <c r="W543">
        <v>230.2</v>
      </c>
      <c r="Y543">
        <v>341.2</v>
      </c>
      <c r="AA543">
        <v>25129.200000000001</v>
      </c>
      <c r="AC543">
        <v>9612.7000000000007</v>
      </c>
      <c r="AE543">
        <v>27726.799999999999</v>
      </c>
      <c r="AG543">
        <v>266.8</v>
      </c>
      <c r="AI543">
        <v>1936.5</v>
      </c>
      <c r="AK543">
        <v>277.5</v>
      </c>
      <c r="AM543">
        <v>103.5</v>
      </c>
      <c r="AO543">
        <v>124.2</v>
      </c>
      <c r="AQ543">
        <v>39</v>
      </c>
      <c r="AS543">
        <v>28.2</v>
      </c>
      <c r="AU543">
        <v>33.1</v>
      </c>
      <c r="AW543">
        <v>8.3000000000000007</v>
      </c>
      <c r="AY543">
        <v>24.3</v>
      </c>
      <c r="BA543">
        <v>8932.1</v>
      </c>
      <c r="BC543">
        <v>109.8</v>
      </c>
      <c r="BE543">
        <v>48.5</v>
      </c>
      <c r="BG543">
        <v>1393.4</v>
      </c>
      <c r="BI543">
        <v>1718.5</v>
      </c>
      <c r="BK543">
        <v>2194.1999999999998</v>
      </c>
      <c r="BM543">
        <v>1405.1</v>
      </c>
      <c r="BO543">
        <v>29682.3</v>
      </c>
      <c r="BQ543">
        <v>3705</v>
      </c>
      <c r="BS543">
        <v>10542.1</v>
      </c>
      <c r="BU543">
        <v>12084.3</v>
      </c>
      <c r="BW543">
        <v>142.5</v>
      </c>
      <c r="BY543">
        <v>828.2</v>
      </c>
      <c r="CA543">
        <v>312.2</v>
      </c>
      <c r="CC543">
        <v>54.3</v>
      </c>
      <c r="CE543">
        <v>80.599999999999994</v>
      </c>
      <c r="CG543">
        <v>580.79999999999995</v>
      </c>
      <c r="CI543">
        <v>1026</v>
      </c>
      <c r="CK543">
        <v>831.2</v>
      </c>
      <c r="CM543">
        <v>135.1</v>
      </c>
      <c r="CO543">
        <v>399.6</v>
      </c>
      <c r="CQ543">
        <v>624.79999999999995</v>
      </c>
      <c r="CS543">
        <v>5889.2</v>
      </c>
      <c r="CU543">
        <v>4003</v>
      </c>
      <c r="CW543">
        <v>1526.8</v>
      </c>
      <c r="CY543">
        <v>1359.9</v>
      </c>
      <c r="DA543">
        <v>6690.8</v>
      </c>
      <c r="DC543">
        <v>7.9</v>
      </c>
      <c r="DE543">
        <v>232.7</v>
      </c>
      <c r="DG543">
        <v>27.3</v>
      </c>
      <c r="DI543">
        <v>292.89999999999998</v>
      </c>
      <c r="DK543">
        <v>35.4</v>
      </c>
      <c r="DM543">
        <v>514.79999999999995</v>
      </c>
      <c r="DO543">
        <v>323.7</v>
      </c>
      <c r="DQ543">
        <v>261.7</v>
      </c>
    </row>
    <row r="544" spans="1:121" x14ac:dyDescent="0.2">
      <c r="D544" t="s">
        <v>63</v>
      </c>
      <c r="G544">
        <v>4.2840000000000003E-2</v>
      </c>
      <c r="H544" t="s">
        <v>75</v>
      </c>
      <c r="I544">
        <v>1.242E-2</v>
      </c>
      <c r="J544" t="s">
        <v>75</v>
      </c>
      <c r="K544">
        <v>0.22192999999999999</v>
      </c>
      <c r="L544" t="s">
        <v>75</v>
      </c>
      <c r="M544">
        <v>9.4710000000000003E-2</v>
      </c>
      <c r="N544" t="s">
        <v>75</v>
      </c>
      <c r="O544">
        <v>4.7099999999999998E-3</v>
      </c>
      <c r="P544" t="s">
        <v>75</v>
      </c>
      <c r="Q544">
        <v>5.9630000000000002E-2</v>
      </c>
      <c r="R544" t="s">
        <v>75</v>
      </c>
      <c r="S544">
        <v>3.5E-4</v>
      </c>
      <c r="T544" t="s">
        <v>75</v>
      </c>
      <c r="U544">
        <v>9.7800000000000005E-3</v>
      </c>
      <c r="V544" t="s">
        <v>75</v>
      </c>
      <c r="W544">
        <v>2.6159999999999999E-2</v>
      </c>
      <c r="X544" t="s">
        <v>75</v>
      </c>
      <c r="Y544">
        <v>0.12182999999999999</v>
      </c>
      <c r="Z544" t="s">
        <v>75</v>
      </c>
      <c r="AB544" t="s">
        <v>76</v>
      </c>
      <c r="AC544">
        <v>2.6749100000000001</v>
      </c>
      <c r="AD544" t="s">
        <v>75</v>
      </c>
      <c r="AE544">
        <v>14.11542</v>
      </c>
      <c r="AF544" t="s">
        <v>75</v>
      </c>
      <c r="AG544">
        <v>-5.8900000000000003E-3</v>
      </c>
      <c r="AH544" t="s">
        <v>75</v>
      </c>
      <c r="AI544">
        <v>0.51590999999999998</v>
      </c>
      <c r="AJ544" t="s">
        <v>75</v>
      </c>
      <c r="AK544">
        <v>1.34E-3</v>
      </c>
      <c r="AL544" t="s">
        <v>75</v>
      </c>
      <c r="AM544">
        <v>-1.64E-3</v>
      </c>
      <c r="AN544" t="s">
        <v>75</v>
      </c>
      <c r="AO544">
        <v>3.62E-3</v>
      </c>
      <c r="AP544" t="s">
        <v>75</v>
      </c>
      <c r="AQ544">
        <v>1.07E-3</v>
      </c>
      <c r="AR544" t="s">
        <v>75</v>
      </c>
      <c r="AS544">
        <v>4.4000000000000002E-4</v>
      </c>
      <c r="AT544" t="s">
        <v>75</v>
      </c>
      <c r="AU544">
        <v>1.5399999999999999E-3</v>
      </c>
      <c r="AV544" t="s">
        <v>75</v>
      </c>
      <c r="AW544">
        <v>-2.7E-4</v>
      </c>
      <c r="AX544" t="s">
        <v>75</v>
      </c>
      <c r="AY544">
        <v>6.9999999999999999E-4</v>
      </c>
      <c r="AZ544" t="s">
        <v>75</v>
      </c>
      <c r="BC544">
        <v>-2.0533399999999999</v>
      </c>
      <c r="BD544" t="s">
        <v>75</v>
      </c>
      <c r="BE544">
        <v>5.2599999999999999E-3</v>
      </c>
      <c r="BF544" t="s">
        <v>75</v>
      </c>
      <c r="BG544">
        <v>0.69274999999999998</v>
      </c>
      <c r="BH544" t="s">
        <v>75</v>
      </c>
      <c r="BI544">
        <v>0.69547000000000003</v>
      </c>
      <c r="BJ544" t="s">
        <v>75</v>
      </c>
      <c r="BK544">
        <v>0.69377999999999995</v>
      </c>
      <c r="BL544" t="s">
        <v>75</v>
      </c>
      <c r="BM544">
        <v>6.7280000000000006E-2</v>
      </c>
      <c r="BN544" t="s">
        <v>75</v>
      </c>
      <c r="BO544">
        <v>42.511609999999997</v>
      </c>
      <c r="BP544" t="s">
        <v>75</v>
      </c>
      <c r="BQ544">
        <v>4.1451399999999996</v>
      </c>
      <c r="BR544" t="s">
        <v>75</v>
      </c>
      <c r="BS544">
        <v>6.4187599999999998</v>
      </c>
      <c r="BT544" t="s">
        <v>75</v>
      </c>
      <c r="BU544">
        <v>26.13138</v>
      </c>
      <c r="BV544" t="s">
        <v>75</v>
      </c>
      <c r="BW544">
        <v>12.19275</v>
      </c>
      <c r="BX544" t="s">
        <v>75</v>
      </c>
      <c r="BY544">
        <v>43.34337</v>
      </c>
      <c r="BZ544" t="s">
        <v>75</v>
      </c>
      <c r="CA544">
        <v>43.470190000000002</v>
      </c>
      <c r="CB544" t="s">
        <v>75</v>
      </c>
      <c r="CC544">
        <v>0.13200000000000001</v>
      </c>
      <c r="CD544" t="s">
        <v>75</v>
      </c>
      <c r="CE544">
        <v>7.7299999999999999E-3</v>
      </c>
      <c r="CF544" t="s">
        <v>75</v>
      </c>
      <c r="CG544">
        <v>1.2694000000000001</v>
      </c>
      <c r="CH544" t="s">
        <v>75</v>
      </c>
      <c r="CI544">
        <v>0.97404000000000002</v>
      </c>
      <c r="CJ544" t="s">
        <v>75</v>
      </c>
      <c r="CK544">
        <v>6.3065800000000003</v>
      </c>
      <c r="CL544" t="s">
        <v>75</v>
      </c>
      <c r="CM544">
        <v>4.4170000000000001E-2</v>
      </c>
      <c r="CN544" t="s">
        <v>75</v>
      </c>
      <c r="CO544">
        <v>1.2287300000000001</v>
      </c>
      <c r="CP544" t="s">
        <v>75</v>
      </c>
      <c r="CQ544">
        <v>0.84231999999999996</v>
      </c>
      <c r="CR544" t="s">
        <v>75</v>
      </c>
      <c r="CS544">
        <v>190.73831999999999</v>
      </c>
      <c r="CT544" t="s">
        <v>75</v>
      </c>
      <c r="CV544" t="s">
        <v>76</v>
      </c>
      <c r="CW544">
        <v>2.8844799999999999</v>
      </c>
      <c r="CX544" t="s">
        <v>75</v>
      </c>
      <c r="DA544">
        <v>63.890929999999997</v>
      </c>
      <c r="DB544" t="s">
        <v>75</v>
      </c>
      <c r="DC544">
        <v>1.329E-2</v>
      </c>
      <c r="DD544" t="s">
        <v>75</v>
      </c>
      <c r="DE544">
        <v>7.6674499999999997</v>
      </c>
      <c r="DF544" t="s">
        <v>75</v>
      </c>
      <c r="DG544">
        <v>2.00013</v>
      </c>
      <c r="DH544" t="s">
        <v>75</v>
      </c>
      <c r="DI544">
        <v>6.40618</v>
      </c>
      <c r="DJ544" t="s">
        <v>75</v>
      </c>
      <c r="DL544" t="s">
        <v>76</v>
      </c>
      <c r="DN544" t="s">
        <v>76</v>
      </c>
      <c r="DO544">
        <v>2.8349299999999999</v>
      </c>
      <c r="DP544" t="s">
        <v>75</v>
      </c>
    </row>
    <row r="545" spans="1:121" x14ac:dyDescent="0.2">
      <c r="D545" t="s">
        <v>64</v>
      </c>
      <c r="G545">
        <v>3.13E-3</v>
      </c>
      <c r="H545" t="s">
        <v>75</v>
      </c>
      <c r="I545">
        <v>1.8E-3</v>
      </c>
      <c r="J545" t="s">
        <v>75</v>
      </c>
      <c r="K545">
        <v>3.0100000000000001E-3</v>
      </c>
      <c r="L545" t="s">
        <v>75</v>
      </c>
      <c r="M545">
        <v>2.5500000000000002E-3</v>
      </c>
      <c r="N545" t="s">
        <v>75</v>
      </c>
      <c r="O545">
        <v>5.0000000000000002E-5</v>
      </c>
      <c r="P545" t="s">
        <v>75</v>
      </c>
      <c r="Q545">
        <v>1.56E-3</v>
      </c>
      <c r="R545" t="s">
        <v>75</v>
      </c>
      <c r="S545">
        <v>9.0000000000000006E-5</v>
      </c>
      <c r="T545" t="s">
        <v>75</v>
      </c>
      <c r="U545">
        <v>9.0000000000000006E-5</v>
      </c>
      <c r="V545" t="s">
        <v>75</v>
      </c>
      <c r="W545">
        <v>4.0999999999999999E-4</v>
      </c>
      <c r="X545" t="s">
        <v>75</v>
      </c>
      <c r="Y545">
        <v>6.4999999999999997E-3</v>
      </c>
      <c r="Z545" t="s">
        <v>75</v>
      </c>
      <c r="AC545">
        <v>6.6129999999999994E-2</v>
      </c>
      <c r="AD545" t="s">
        <v>75</v>
      </c>
      <c r="AE545">
        <v>0.22936000000000001</v>
      </c>
      <c r="AF545" t="s">
        <v>75</v>
      </c>
      <c r="AG545">
        <v>3.4000000000000002E-4</v>
      </c>
      <c r="AH545" t="s">
        <v>75</v>
      </c>
      <c r="AI545">
        <v>1.8200000000000001E-2</v>
      </c>
      <c r="AJ545" t="s">
        <v>75</v>
      </c>
      <c r="AK545">
        <v>2.3000000000000001E-4</v>
      </c>
      <c r="AL545" t="s">
        <v>75</v>
      </c>
      <c r="AM545">
        <v>9.0000000000000006E-5</v>
      </c>
      <c r="AN545" t="s">
        <v>75</v>
      </c>
      <c r="AO545">
        <v>4.8000000000000001E-4</v>
      </c>
      <c r="AP545" t="s">
        <v>75</v>
      </c>
      <c r="AQ545">
        <v>1.9000000000000001E-4</v>
      </c>
      <c r="AR545" t="s">
        <v>75</v>
      </c>
      <c r="AS545">
        <v>1.2999999999999999E-4</v>
      </c>
      <c r="AT545" t="s">
        <v>75</v>
      </c>
      <c r="AU545">
        <v>2.0000000000000002E-5</v>
      </c>
      <c r="AV545" t="s">
        <v>75</v>
      </c>
      <c r="AW545">
        <v>1.0000000000000001E-5</v>
      </c>
      <c r="AX545" t="s">
        <v>75</v>
      </c>
      <c r="AY545">
        <v>2.1000000000000001E-4</v>
      </c>
      <c r="AZ545" t="s">
        <v>75</v>
      </c>
      <c r="BC545">
        <v>3.8999999999999999E-4</v>
      </c>
      <c r="BD545" t="s">
        <v>75</v>
      </c>
      <c r="BE545">
        <v>2.0000000000000002E-5</v>
      </c>
      <c r="BF545" t="s">
        <v>75</v>
      </c>
      <c r="BG545">
        <v>9.2999999999999992E-3</v>
      </c>
      <c r="BH545" t="s">
        <v>75</v>
      </c>
      <c r="BI545">
        <v>1.4919999999999999E-2</v>
      </c>
      <c r="BJ545" t="s">
        <v>75</v>
      </c>
      <c r="BK545">
        <v>1.208E-2</v>
      </c>
      <c r="BL545" t="s">
        <v>75</v>
      </c>
      <c r="BM545">
        <v>1.9499999999999999E-3</v>
      </c>
      <c r="BN545" t="s">
        <v>75</v>
      </c>
      <c r="BO545">
        <v>1.6034999999999999</v>
      </c>
      <c r="BP545" t="s">
        <v>75</v>
      </c>
      <c r="BQ545">
        <v>0.18608</v>
      </c>
      <c r="BR545" t="s">
        <v>75</v>
      </c>
      <c r="BS545">
        <v>0.34710999999999997</v>
      </c>
      <c r="BT545" t="s">
        <v>75</v>
      </c>
      <c r="BU545">
        <v>0.98472000000000004</v>
      </c>
      <c r="BV545" t="s">
        <v>75</v>
      </c>
      <c r="BW545">
        <v>0.34969</v>
      </c>
      <c r="BX545" t="s">
        <v>75</v>
      </c>
      <c r="BY545">
        <v>0.98697000000000001</v>
      </c>
      <c r="BZ545" t="s">
        <v>75</v>
      </c>
      <c r="CA545">
        <v>0.96862999999999999</v>
      </c>
      <c r="CB545" t="s">
        <v>75</v>
      </c>
      <c r="CC545">
        <v>8.8800000000000007E-3</v>
      </c>
      <c r="CD545" t="s">
        <v>75</v>
      </c>
      <c r="CE545">
        <v>1.0399999999999999E-3</v>
      </c>
      <c r="CF545" t="s">
        <v>75</v>
      </c>
      <c r="CG545">
        <v>3.1150000000000001E-2</v>
      </c>
      <c r="CH545" t="s">
        <v>75</v>
      </c>
      <c r="CI545">
        <v>1.8149999999999999E-2</v>
      </c>
      <c r="CJ545" t="s">
        <v>75</v>
      </c>
      <c r="CK545">
        <v>0.16627</v>
      </c>
      <c r="CL545" t="s">
        <v>75</v>
      </c>
      <c r="CM545">
        <v>2.0300000000000001E-3</v>
      </c>
      <c r="CN545" t="s">
        <v>75</v>
      </c>
      <c r="CO545">
        <v>4.607E-2</v>
      </c>
      <c r="CP545" t="s">
        <v>75</v>
      </c>
      <c r="CQ545">
        <v>3.9449999999999999E-2</v>
      </c>
      <c r="CR545" t="s">
        <v>75</v>
      </c>
      <c r="CS545">
        <v>3.6973799999999999</v>
      </c>
      <c r="CT545" t="s">
        <v>75</v>
      </c>
      <c r="CW545">
        <v>0.12859000000000001</v>
      </c>
      <c r="CX545" t="s">
        <v>75</v>
      </c>
      <c r="DA545">
        <v>0.94901000000000002</v>
      </c>
      <c r="DB545" t="s">
        <v>75</v>
      </c>
      <c r="DC545">
        <v>3.9100000000000003E-3</v>
      </c>
      <c r="DD545" t="s">
        <v>75</v>
      </c>
      <c r="DE545">
        <v>0.16997000000000001</v>
      </c>
      <c r="DF545" t="s">
        <v>75</v>
      </c>
      <c r="DG545">
        <v>0.15218999999999999</v>
      </c>
      <c r="DH545" t="s">
        <v>75</v>
      </c>
      <c r="DI545">
        <v>0.68095000000000006</v>
      </c>
      <c r="DJ545" t="s">
        <v>75</v>
      </c>
      <c r="DO545">
        <v>2.086E-2</v>
      </c>
      <c r="DP545" t="s">
        <v>75</v>
      </c>
    </row>
    <row r="546" spans="1:121" x14ac:dyDescent="0.2">
      <c r="D546" t="s">
        <v>65</v>
      </c>
      <c r="G546" t="s">
        <v>66</v>
      </c>
      <c r="I546" t="s">
        <v>66</v>
      </c>
      <c r="K546" t="s">
        <v>66</v>
      </c>
      <c r="M546" t="s">
        <v>66</v>
      </c>
      <c r="O546" t="s">
        <v>66</v>
      </c>
      <c r="Q546" t="s">
        <v>66</v>
      </c>
      <c r="S546" t="s">
        <v>66</v>
      </c>
      <c r="U546" t="s">
        <v>66</v>
      </c>
      <c r="W546" t="s">
        <v>66</v>
      </c>
      <c r="Y546" t="s">
        <v>66</v>
      </c>
      <c r="AA546" t="s">
        <v>66</v>
      </c>
      <c r="AC546" t="s">
        <v>66</v>
      </c>
      <c r="AE546" t="s">
        <v>66</v>
      </c>
      <c r="AG546" t="s">
        <v>66</v>
      </c>
      <c r="AI546" t="s">
        <v>66</v>
      </c>
      <c r="AK546" t="s">
        <v>66</v>
      </c>
      <c r="AM546" t="s">
        <v>66</v>
      </c>
      <c r="AO546" t="s">
        <v>66</v>
      </c>
      <c r="AQ546" t="s">
        <v>66</v>
      </c>
      <c r="AS546" t="s">
        <v>66</v>
      </c>
      <c r="AU546" t="s">
        <v>66</v>
      </c>
      <c r="AW546" t="s">
        <v>66</v>
      </c>
      <c r="AY546" t="s">
        <v>66</v>
      </c>
      <c r="BA546" t="s">
        <v>66</v>
      </c>
      <c r="BC546" t="s">
        <v>66</v>
      </c>
      <c r="BE546" t="s">
        <v>66</v>
      </c>
      <c r="BG546" t="s">
        <v>66</v>
      </c>
      <c r="BI546" t="s">
        <v>66</v>
      </c>
      <c r="BK546" t="s">
        <v>66</v>
      </c>
      <c r="BM546" t="s">
        <v>66</v>
      </c>
      <c r="BO546" t="s">
        <v>66</v>
      </c>
      <c r="BQ546" t="s">
        <v>66</v>
      </c>
      <c r="BS546" t="s">
        <v>66</v>
      </c>
      <c r="BU546" t="s">
        <v>66</v>
      </c>
      <c r="BW546" t="s">
        <v>66</v>
      </c>
      <c r="BY546" t="s">
        <v>66</v>
      </c>
      <c r="CA546" t="s">
        <v>66</v>
      </c>
      <c r="CC546" t="s">
        <v>66</v>
      </c>
      <c r="CE546" t="s">
        <v>66</v>
      </c>
      <c r="CG546" t="s">
        <v>66</v>
      </c>
      <c r="CI546" t="s">
        <v>66</v>
      </c>
      <c r="CK546" t="s">
        <v>66</v>
      </c>
      <c r="CM546" t="s">
        <v>66</v>
      </c>
      <c r="CO546" t="s">
        <v>66</v>
      </c>
      <c r="CQ546" t="s">
        <v>66</v>
      </c>
      <c r="CS546" t="s">
        <v>66</v>
      </c>
      <c r="CU546" t="s">
        <v>66</v>
      </c>
      <c r="CW546" t="s">
        <v>66</v>
      </c>
      <c r="CY546" t="s">
        <v>66</v>
      </c>
      <c r="DA546" t="s">
        <v>66</v>
      </c>
      <c r="DC546" t="s">
        <v>66</v>
      </c>
      <c r="DE546" t="s">
        <v>66</v>
      </c>
      <c r="DG546" t="s">
        <v>66</v>
      </c>
      <c r="DI546" t="s">
        <v>66</v>
      </c>
      <c r="DK546" t="s">
        <v>66</v>
      </c>
      <c r="DM546" t="s">
        <v>66</v>
      </c>
      <c r="DO546" t="s">
        <v>66</v>
      </c>
      <c r="DQ546" t="s">
        <v>66</v>
      </c>
    </row>
    <row r="547" spans="1:121" x14ac:dyDescent="0.2">
      <c r="A547" t="s">
        <v>679</v>
      </c>
      <c r="D547" t="s">
        <v>60</v>
      </c>
      <c r="E547" t="s">
        <v>61</v>
      </c>
      <c r="G547">
        <v>149196.4</v>
      </c>
      <c r="I547">
        <v>33907.300000000003</v>
      </c>
      <c r="K547">
        <v>898564.8</v>
      </c>
      <c r="M547">
        <v>1188565.5</v>
      </c>
      <c r="O547">
        <v>1381101.8</v>
      </c>
      <c r="Q547">
        <v>168783.5</v>
      </c>
      <c r="S547">
        <v>1314489.2</v>
      </c>
      <c r="U547">
        <v>267115.3</v>
      </c>
      <c r="W547">
        <v>527407.80000000005</v>
      </c>
      <c r="Y547">
        <v>76394.600000000006</v>
      </c>
      <c r="AA547">
        <v>3005250.7</v>
      </c>
      <c r="AC547">
        <v>303641.8</v>
      </c>
      <c r="AE547">
        <v>303967.3</v>
      </c>
      <c r="AG547">
        <v>1501299.5</v>
      </c>
      <c r="AI547">
        <v>630713.30000000005</v>
      </c>
      <c r="AK547">
        <v>1691348.8</v>
      </c>
      <c r="AM547">
        <v>1545316</v>
      </c>
      <c r="AO547">
        <v>317972.3</v>
      </c>
      <c r="AQ547">
        <v>271815.2</v>
      </c>
      <c r="AS547">
        <v>260302.9</v>
      </c>
      <c r="AU547">
        <v>1819908</v>
      </c>
      <c r="AW547">
        <v>488855.5</v>
      </c>
      <c r="AY547">
        <v>367673.7</v>
      </c>
      <c r="BA547">
        <v>685489.1</v>
      </c>
      <c r="BC547">
        <v>292460.79999999999</v>
      </c>
      <c r="BE547">
        <v>1202797.5</v>
      </c>
      <c r="BG547">
        <v>403507</v>
      </c>
      <c r="BI547">
        <v>340427.9</v>
      </c>
      <c r="BK547">
        <v>870901.5</v>
      </c>
      <c r="BM547">
        <v>1312559.3</v>
      </c>
      <c r="BO547">
        <v>395115</v>
      </c>
      <c r="BQ547">
        <v>243830.9</v>
      </c>
      <c r="BS547">
        <v>192675.8</v>
      </c>
      <c r="BU547">
        <v>658584.69999999995</v>
      </c>
      <c r="BW547">
        <v>3408.7</v>
      </c>
      <c r="BY547">
        <v>107816.2</v>
      </c>
      <c r="CA547">
        <v>22037.5</v>
      </c>
      <c r="CC547">
        <v>5310.3</v>
      </c>
      <c r="CE547">
        <v>76513.8</v>
      </c>
      <c r="CG547">
        <v>67700.399999999994</v>
      </c>
      <c r="CI547">
        <v>87020.2</v>
      </c>
      <c r="CK547">
        <v>274662.7</v>
      </c>
      <c r="CM547">
        <v>79024.600000000006</v>
      </c>
      <c r="CO547">
        <v>18058.8</v>
      </c>
      <c r="CQ547">
        <v>37759.699999999997</v>
      </c>
      <c r="CS547">
        <v>18961.400000000001</v>
      </c>
      <c r="CU547">
        <v>257825.1</v>
      </c>
      <c r="CW547">
        <v>30857</v>
      </c>
      <c r="CY547">
        <v>59992.800000000003</v>
      </c>
      <c r="DA547">
        <v>166687.29999999999</v>
      </c>
      <c r="DC547">
        <v>2952.8</v>
      </c>
      <c r="DE547">
        <v>2480</v>
      </c>
      <c r="DG547">
        <v>303.2</v>
      </c>
      <c r="DI547">
        <v>2560.6999999999998</v>
      </c>
      <c r="DK547">
        <v>825.3</v>
      </c>
      <c r="DM547">
        <v>65481.5</v>
      </c>
      <c r="DO547">
        <v>6847.2</v>
      </c>
      <c r="DQ547">
        <v>14165.5</v>
      </c>
    </row>
    <row r="548" spans="1:121" x14ac:dyDescent="0.2">
      <c r="D548" t="s">
        <v>62</v>
      </c>
      <c r="E548" t="s">
        <v>61</v>
      </c>
      <c r="G548">
        <v>2795.6</v>
      </c>
      <c r="I548">
        <v>43.2</v>
      </c>
      <c r="K548">
        <v>13971.4</v>
      </c>
      <c r="M548">
        <v>14597.4</v>
      </c>
      <c r="O548">
        <v>8369.4</v>
      </c>
      <c r="Q548">
        <v>757.1</v>
      </c>
      <c r="S548">
        <v>15921</v>
      </c>
      <c r="U548">
        <v>1172.8</v>
      </c>
      <c r="W548">
        <v>7448.8</v>
      </c>
      <c r="Y548">
        <v>894.9</v>
      </c>
      <c r="AA548">
        <v>27588.2</v>
      </c>
      <c r="AC548">
        <v>2035</v>
      </c>
      <c r="AE548">
        <v>1107.5999999999999</v>
      </c>
      <c r="AG548">
        <v>14681.4</v>
      </c>
      <c r="AI548">
        <v>2273.3000000000002</v>
      </c>
      <c r="AK548">
        <v>29649.200000000001</v>
      </c>
      <c r="AM548">
        <v>7615</v>
      </c>
      <c r="AO548">
        <v>2327.3000000000002</v>
      </c>
      <c r="AQ548">
        <v>1305.9000000000001</v>
      </c>
      <c r="AS548">
        <v>3903.9</v>
      </c>
      <c r="AU548">
        <v>19168.5</v>
      </c>
      <c r="AW548">
        <v>3908.7</v>
      </c>
      <c r="AY548">
        <v>5196.1000000000004</v>
      </c>
      <c r="BA548">
        <v>21049.200000000001</v>
      </c>
      <c r="BC548">
        <v>4514</v>
      </c>
      <c r="BE548">
        <v>9185.1</v>
      </c>
      <c r="BG548">
        <v>3456.8</v>
      </c>
      <c r="BI548">
        <v>8049.2</v>
      </c>
      <c r="BK548">
        <v>2051.4</v>
      </c>
      <c r="BM548">
        <v>4418.3999999999996</v>
      </c>
      <c r="BO548">
        <v>4340.8999999999996</v>
      </c>
      <c r="BQ548">
        <v>2979</v>
      </c>
      <c r="BS548">
        <v>246.3</v>
      </c>
      <c r="BU548">
        <v>1758.6</v>
      </c>
      <c r="BW548">
        <v>57.5</v>
      </c>
      <c r="BY548">
        <v>889.1</v>
      </c>
      <c r="CA548">
        <v>275.7</v>
      </c>
      <c r="CC548">
        <v>195.2</v>
      </c>
      <c r="CE548">
        <v>1274.2</v>
      </c>
      <c r="CG548">
        <v>1251.2</v>
      </c>
      <c r="CI548">
        <v>798.2</v>
      </c>
      <c r="CK548">
        <v>2160.6</v>
      </c>
      <c r="CM548">
        <v>667.3</v>
      </c>
      <c r="CO548">
        <v>370.6</v>
      </c>
      <c r="CQ548">
        <v>555.5</v>
      </c>
      <c r="CS548">
        <v>426.8</v>
      </c>
      <c r="CU548">
        <v>1890.6</v>
      </c>
      <c r="CW548">
        <v>284.10000000000002</v>
      </c>
      <c r="CY548">
        <v>425.2</v>
      </c>
      <c r="DA548">
        <v>528.29999999999995</v>
      </c>
      <c r="DC548">
        <v>38.200000000000003</v>
      </c>
      <c r="DE548">
        <v>110.9</v>
      </c>
      <c r="DG548">
        <v>41.9</v>
      </c>
      <c r="DI548">
        <v>111.2</v>
      </c>
      <c r="DK548">
        <v>63.6</v>
      </c>
      <c r="DM548">
        <v>1063.4000000000001</v>
      </c>
      <c r="DO548">
        <v>52.9</v>
      </c>
      <c r="DQ548">
        <v>276.3</v>
      </c>
    </row>
    <row r="549" spans="1:121" x14ac:dyDescent="0.2">
      <c r="D549" t="s">
        <v>63</v>
      </c>
      <c r="G549">
        <v>1.1383000000000001</v>
      </c>
      <c r="H549" t="s">
        <v>75</v>
      </c>
      <c r="I549">
        <v>1.15995</v>
      </c>
      <c r="J549" t="s">
        <v>75</v>
      </c>
      <c r="K549">
        <v>1.1270899999999999</v>
      </c>
      <c r="L549" t="s">
        <v>75</v>
      </c>
      <c r="M549">
        <v>1.1605099999999999</v>
      </c>
      <c r="N549" t="s">
        <v>75</v>
      </c>
      <c r="O549">
        <v>1.1419299999999999</v>
      </c>
      <c r="P549" t="s">
        <v>75</v>
      </c>
      <c r="Q549">
        <v>1.09934</v>
      </c>
      <c r="R549" t="s">
        <v>75</v>
      </c>
      <c r="S549">
        <v>1.1368100000000001</v>
      </c>
      <c r="T549" t="s">
        <v>75</v>
      </c>
      <c r="U549">
        <v>1.0991299999999999</v>
      </c>
      <c r="V549" t="s">
        <v>75</v>
      </c>
      <c r="W549">
        <v>1.11046</v>
      </c>
      <c r="X549" t="s">
        <v>75</v>
      </c>
      <c r="Y549">
        <v>1.12262</v>
      </c>
      <c r="Z549" t="s">
        <v>75</v>
      </c>
      <c r="AB549" t="s">
        <v>76</v>
      </c>
      <c r="AC549">
        <v>1.1107499999999999</v>
      </c>
      <c r="AD549" t="s">
        <v>75</v>
      </c>
      <c r="AE549">
        <v>1.1658500000000001</v>
      </c>
      <c r="AF549" t="s">
        <v>75</v>
      </c>
      <c r="AG549">
        <v>1.15021</v>
      </c>
      <c r="AH549" t="s">
        <v>75</v>
      </c>
      <c r="AI549">
        <v>3.9449800000000002</v>
      </c>
      <c r="AJ549" t="s">
        <v>75</v>
      </c>
      <c r="AK549">
        <v>1.14605</v>
      </c>
      <c r="AL549" t="s">
        <v>75</v>
      </c>
      <c r="AM549">
        <v>1.1432800000000001</v>
      </c>
      <c r="AN549" t="s">
        <v>75</v>
      </c>
      <c r="AO549">
        <v>1.1504300000000001</v>
      </c>
      <c r="AP549" t="s">
        <v>75</v>
      </c>
      <c r="AQ549">
        <v>1.15256</v>
      </c>
      <c r="AR549" t="s">
        <v>75</v>
      </c>
      <c r="AS549">
        <v>1.1426499999999999</v>
      </c>
      <c r="AT549" t="s">
        <v>75</v>
      </c>
      <c r="AU549">
        <v>1.18662</v>
      </c>
      <c r="AV549" t="s">
        <v>75</v>
      </c>
      <c r="AW549">
        <v>1.16492</v>
      </c>
      <c r="AX549" t="s">
        <v>75</v>
      </c>
      <c r="AY549">
        <v>1.1634800000000001</v>
      </c>
      <c r="AZ549" t="s">
        <v>75</v>
      </c>
      <c r="BC549">
        <v>-1.1936500000000001</v>
      </c>
      <c r="BD549" t="s">
        <v>75</v>
      </c>
      <c r="BE549">
        <v>1.13906</v>
      </c>
      <c r="BF549" t="s">
        <v>75</v>
      </c>
      <c r="BG549">
        <v>1.10928</v>
      </c>
      <c r="BH549" t="s">
        <v>75</v>
      </c>
      <c r="BI549">
        <v>1.0973599999999999</v>
      </c>
      <c r="BJ549" t="s">
        <v>75</v>
      </c>
      <c r="BK549">
        <v>1.12809</v>
      </c>
      <c r="BL549" t="s">
        <v>75</v>
      </c>
      <c r="BM549">
        <v>1.2106600000000001</v>
      </c>
      <c r="BN549" t="s">
        <v>75</v>
      </c>
      <c r="BO549">
        <v>6.9397399999999996</v>
      </c>
      <c r="BP549" t="s">
        <v>75</v>
      </c>
      <c r="BQ549">
        <v>7.7812599999999996</v>
      </c>
      <c r="BR549" t="s">
        <v>75</v>
      </c>
      <c r="BS549">
        <v>3.8321100000000001</v>
      </c>
      <c r="BT549" t="s">
        <v>75</v>
      </c>
      <c r="BU549">
        <v>6.5996300000000003</v>
      </c>
      <c r="BV549" t="s">
        <v>75</v>
      </c>
      <c r="BW549">
        <v>1.18642</v>
      </c>
      <c r="BX549" t="s">
        <v>75</v>
      </c>
      <c r="BY549">
        <v>21.97214</v>
      </c>
      <c r="BZ549" t="s">
        <v>75</v>
      </c>
      <c r="CA549">
        <v>8.1291899999999995</v>
      </c>
      <c r="CB549" t="s">
        <v>75</v>
      </c>
      <c r="CC549">
        <v>1.1120399999999999</v>
      </c>
      <c r="CD549" t="s">
        <v>75</v>
      </c>
      <c r="CE549">
        <v>1.1311199999999999</v>
      </c>
      <c r="CF549" t="s">
        <v>75</v>
      </c>
      <c r="CG549">
        <v>1.12947</v>
      </c>
      <c r="CH549" t="s">
        <v>75</v>
      </c>
      <c r="CI549">
        <v>1.09964</v>
      </c>
      <c r="CJ549" t="s">
        <v>75</v>
      </c>
      <c r="CK549">
        <v>3.53538</v>
      </c>
      <c r="CL549" t="s">
        <v>75</v>
      </c>
      <c r="CM549">
        <v>1.1084099999999999</v>
      </c>
      <c r="CN549" t="s">
        <v>75</v>
      </c>
      <c r="CO549">
        <v>1.0252699999999999</v>
      </c>
      <c r="CP549" t="s">
        <v>75</v>
      </c>
      <c r="CQ549">
        <v>1.10789</v>
      </c>
      <c r="CR549" t="s">
        <v>75</v>
      </c>
      <c r="CS549">
        <v>4.8305999999999996</v>
      </c>
      <c r="CT549" t="s">
        <v>75</v>
      </c>
      <c r="CV549" t="s">
        <v>76</v>
      </c>
      <c r="CW549">
        <v>1.11277</v>
      </c>
      <c r="CX549" t="s">
        <v>75</v>
      </c>
      <c r="DA549">
        <v>11.211880000000001</v>
      </c>
      <c r="DB549" t="s">
        <v>75</v>
      </c>
      <c r="DC549">
        <v>1.4934499999999999</v>
      </c>
      <c r="DD549" t="s">
        <v>75</v>
      </c>
      <c r="DE549">
        <v>1.27305</v>
      </c>
      <c r="DF549" t="s">
        <v>75</v>
      </c>
      <c r="DG549">
        <v>1.7772399999999999</v>
      </c>
      <c r="DH549" t="s">
        <v>75</v>
      </c>
      <c r="DI549">
        <v>4.7327300000000001</v>
      </c>
      <c r="DJ549" t="s">
        <v>75</v>
      </c>
      <c r="DL549" t="s">
        <v>76</v>
      </c>
      <c r="DN549" t="s">
        <v>76</v>
      </c>
      <c r="DO549">
        <v>1.1578599999999999</v>
      </c>
      <c r="DP549" t="s">
        <v>75</v>
      </c>
    </row>
    <row r="550" spans="1:121" x14ac:dyDescent="0.2">
      <c r="D550" t="s">
        <v>64</v>
      </c>
      <c r="G550">
        <v>3.6150000000000002E-2</v>
      </c>
      <c r="H550" t="s">
        <v>75</v>
      </c>
      <c r="I550">
        <v>3.4250000000000003E-2</v>
      </c>
      <c r="J550" t="s">
        <v>75</v>
      </c>
      <c r="K550">
        <v>1.7979999999999999E-2</v>
      </c>
      <c r="L550" t="s">
        <v>75</v>
      </c>
      <c r="M550">
        <v>3.0130000000000001E-2</v>
      </c>
      <c r="N550" t="s">
        <v>75</v>
      </c>
      <c r="O550">
        <v>2.7869999999999999E-2</v>
      </c>
      <c r="P550" t="s">
        <v>75</v>
      </c>
      <c r="Q550">
        <v>3.1199999999999999E-2</v>
      </c>
      <c r="R550" t="s">
        <v>75</v>
      </c>
      <c r="S550">
        <v>2.826E-2</v>
      </c>
      <c r="T550" t="s">
        <v>75</v>
      </c>
      <c r="U550">
        <v>3.6850000000000001E-2</v>
      </c>
      <c r="V550" t="s">
        <v>75</v>
      </c>
      <c r="W550">
        <v>3.4329999999999999E-2</v>
      </c>
      <c r="X550" t="s">
        <v>75</v>
      </c>
      <c r="Y550">
        <v>4.1669999999999999E-2</v>
      </c>
      <c r="Z550" t="s">
        <v>75</v>
      </c>
      <c r="AC550">
        <v>3.9419999999999997E-2</v>
      </c>
      <c r="AD550" t="s">
        <v>75</v>
      </c>
      <c r="AE550">
        <v>3.8289999999999998E-2</v>
      </c>
      <c r="AF550" t="s">
        <v>75</v>
      </c>
      <c r="AG550">
        <v>4.6390000000000001E-2</v>
      </c>
      <c r="AH550" t="s">
        <v>75</v>
      </c>
      <c r="AI550">
        <v>0.12931000000000001</v>
      </c>
      <c r="AJ550" t="s">
        <v>75</v>
      </c>
      <c r="AK550">
        <v>2.9170000000000001E-2</v>
      </c>
      <c r="AL550" t="s">
        <v>75</v>
      </c>
      <c r="AM550">
        <v>3.9910000000000001E-2</v>
      </c>
      <c r="AN550" t="s">
        <v>75</v>
      </c>
      <c r="AO550">
        <v>3.9050000000000001E-2</v>
      </c>
      <c r="AP550" t="s">
        <v>75</v>
      </c>
      <c r="AQ550">
        <v>3.8769999999999999E-2</v>
      </c>
      <c r="AR550" t="s">
        <v>75</v>
      </c>
      <c r="AS550">
        <v>4.4900000000000002E-2</v>
      </c>
      <c r="AT550" t="s">
        <v>75</v>
      </c>
      <c r="AU550">
        <v>4.4650000000000002E-2</v>
      </c>
      <c r="AV550" t="s">
        <v>75</v>
      </c>
      <c r="AW550">
        <v>2.656E-2</v>
      </c>
      <c r="AX550" t="s">
        <v>75</v>
      </c>
      <c r="AY550">
        <v>2.6530000000000001E-2</v>
      </c>
      <c r="AZ550" t="s">
        <v>75</v>
      </c>
      <c r="BC550">
        <v>3.6409999999999998E-2</v>
      </c>
      <c r="BD550" t="s">
        <v>75</v>
      </c>
      <c r="BE550">
        <v>3.6650000000000002E-2</v>
      </c>
      <c r="BF550" t="s">
        <v>75</v>
      </c>
      <c r="BG550">
        <v>3.9940000000000003E-2</v>
      </c>
      <c r="BH550" t="s">
        <v>75</v>
      </c>
      <c r="BI550">
        <v>4.3180000000000003E-2</v>
      </c>
      <c r="BJ550" t="s">
        <v>75</v>
      </c>
      <c r="BK550">
        <v>3.8260000000000002E-2</v>
      </c>
      <c r="BL550" t="s">
        <v>75</v>
      </c>
      <c r="BM550">
        <v>3.3849999999999998E-2</v>
      </c>
      <c r="BN550" t="s">
        <v>75</v>
      </c>
      <c r="BO550">
        <v>0.14519000000000001</v>
      </c>
      <c r="BP550" t="s">
        <v>75</v>
      </c>
      <c r="BQ550">
        <v>4.4159999999999998E-2</v>
      </c>
      <c r="BR550" t="s">
        <v>75</v>
      </c>
      <c r="BS550">
        <v>2.537E-2</v>
      </c>
      <c r="BT550" t="s">
        <v>75</v>
      </c>
      <c r="BU550">
        <v>0.19195999999999999</v>
      </c>
      <c r="BV550" t="s">
        <v>75</v>
      </c>
      <c r="BW550">
        <v>2.8080000000000001E-2</v>
      </c>
      <c r="BX550" t="s">
        <v>75</v>
      </c>
      <c r="BY550">
        <v>0.26840000000000003</v>
      </c>
      <c r="BZ550" t="s">
        <v>75</v>
      </c>
      <c r="CA550">
        <v>0.15412999999999999</v>
      </c>
      <c r="CB550" t="s">
        <v>75</v>
      </c>
      <c r="CC550">
        <v>4.4889999999999999E-2</v>
      </c>
      <c r="CD550" t="s">
        <v>75</v>
      </c>
      <c r="CE550">
        <v>1.5869999999999999E-2</v>
      </c>
      <c r="CF550" t="s">
        <v>75</v>
      </c>
      <c r="CG550">
        <v>2.239E-2</v>
      </c>
      <c r="CH550" t="s">
        <v>75</v>
      </c>
      <c r="CI550">
        <v>2.47E-3</v>
      </c>
      <c r="CJ550" t="s">
        <v>75</v>
      </c>
      <c r="CK550">
        <v>3.2599999999999999E-3</v>
      </c>
      <c r="CL550" t="s">
        <v>75</v>
      </c>
      <c r="CM550">
        <v>1.184E-2</v>
      </c>
      <c r="CN550" t="s">
        <v>75</v>
      </c>
      <c r="CO550">
        <v>2.3560000000000001E-2</v>
      </c>
      <c r="CP550" t="s">
        <v>75</v>
      </c>
      <c r="CQ550">
        <v>2.3279999999999999E-2</v>
      </c>
      <c r="CR550" t="s">
        <v>75</v>
      </c>
      <c r="CS550">
        <v>9.912E-2</v>
      </c>
      <c r="CT550" t="s">
        <v>75</v>
      </c>
      <c r="CW550">
        <v>1.196E-2</v>
      </c>
      <c r="CX550" t="s">
        <v>75</v>
      </c>
      <c r="DA550">
        <v>0.22706999999999999</v>
      </c>
      <c r="DB550" t="s">
        <v>75</v>
      </c>
      <c r="DC550">
        <v>2.8029999999999999E-2</v>
      </c>
      <c r="DD550" t="s">
        <v>75</v>
      </c>
      <c r="DE550">
        <v>3.2969999999999999E-2</v>
      </c>
      <c r="DF550" t="s">
        <v>75</v>
      </c>
      <c r="DG550">
        <v>0.28788000000000002</v>
      </c>
      <c r="DH550" t="s">
        <v>75</v>
      </c>
      <c r="DI550">
        <v>0.19899</v>
      </c>
      <c r="DJ550" t="s">
        <v>75</v>
      </c>
      <c r="DO550">
        <v>1.4919999999999999E-2</v>
      </c>
      <c r="DP550" t="s">
        <v>75</v>
      </c>
    </row>
    <row r="551" spans="1:121" x14ac:dyDescent="0.2">
      <c r="D551" t="s">
        <v>65</v>
      </c>
      <c r="G551" t="s">
        <v>66</v>
      </c>
      <c r="I551" t="s">
        <v>66</v>
      </c>
      <c r="K551" t="s">
        <v>66</v>
      </c>
      <c r="M551" t="s">
        <v>66</v>
      </c>
      <c r="O551" t="s">
        <v>66</v>
      </c>
      <c r="Q551" t="s">
        <v>66</v>
      </c>
      <c r="S551" t="s">
        <v>66</v>
      </c>
      <c r="U551" t="s">
        <v>66</v>
      </c>
      <c r="W551" t="s">
        <v>66</v>
      </c>
      <c r="Y551" t="s">
        <v>66</v>
      </c>
      <c r="AA551" t="s">
        <v>66</v>
      </c>
      <c r="AC551" t="s">
        <v>66</v>
      </c>
      <c r="AE551" t="s">
        <v>66</v>
      </c>
      <c r="AG551" t="s">
        <v>66</v>
      </c>
      <c r="AI551" t="s">
        <v>66</v>
      </c>
      <c r="AK551" t="s">
        <v>66</v>
      </c>
      <c r="AM551" t="s">
        <v>66</v>
      </c>
      <c r="AO551" t="s">
        <v>66</v>
      </c>
      <c r="AQ551" t="s">
        <v>66</v>
      </c>
      <c r="AS551" t="s">
        <v>66</v>
      </c>
      <c r="AU551" t="s">
        <v>66</v>
      </c>
      <c r="AW551" t="s">
        <v>66</v>
      </c>
      <c r="AY551" t="s">
        <v>66</v>
      </c>
      <c r="BA551" t="s">
        <v>66</v>
      </c>
      <c r="BC551" t="s">
        <v>66</v>
      </c>
      <c r="BE551" t="s">
        <v>66</v>
      </c>
      <c r="BG551" t="s">
        <v>66</v>
      </c>
      <c r="BI551" t="s">
        <v>66</v>
      </c>
      <c r="BK551" t="s">
        <v>66</v>
      </c>
      <c r="BM551" t="s">
        <v>66</v>
      </c>
      <c r="BO551" t="s">
        <v>66</v>
      </c>
      <c r="BQ551" t="s">
        <v>66</v>
      </c>
      <c r="BS551" t="s">
        <v>66</v>
      </c>
      <c r="BU551" t="s">
        <v>66</v>
      </c>
      <c r="BW551" t="s">
        <v>66</v>
      </c>
      <c r="BY551" t="s">
        <v>66</v>
      </c>
      <c r="CA551" t="s">
        <v>66</v>
      </c>
      <c r="CC551" t="s">
        <v>66</v>
      </c>
      <c r="CE551" t="s">
        <v>66</v>
      </c>
      <c r="CG551" t="s">
        <v>66</v>
      </c>
      <c r="CI551" t="s">
        <v>66</v>
      </c>
      <c r="CK551" t="s">
        <v>66</v>
      </c>
      <c r="CM551" t="s">
        <v>66</v>
      </c>
      <c r="CO551" t="s">
        <v>66</v>
      </c>
      <c r="CQ551" t="s">
        <v>66</v>
      </c>
      <c r="CS551" t="s">
        <v>66</v>
      </c>
      <c r="CU551" t="s">
        <v>66</v>
      </c>
      <c r="CW551" t="s">
        <v>66</v>
      </c>
      <c r="CY551" t="s">
        <v>66</v>
      </c>
      <c r="DA551" t="s">
        <v>66</v>
      </c>
      <c r="DC551" t="s">
        <v>66</v>
      </c>
      <c r="DE551" t="s">
        <v>66</v>
      </c>
      <c r="DG551" t="s">
        <v>66</v>
      </c>
      <c r="DI551" t="s">
        <v>66</v>
      </c>
      <c r="DK551" t="s">
        <v>66</v>
      </c>
      <c r="DM551" t="s">
        <v>66</v>
      </c>
      <c r="DO551" t="s">
        <v>66</v>
      </c>
      <c r="DQ551" t="s">
        <v>66</v>
      </c>
    </row>
    <row r="552" spans="1:121" x14ac:dyDescent="0.2">
      <c r="A552" t="s">
        <v>680</v>
      </c>
      <c r="D552" t="s">
        <v>60</v>
      </c>
      <c r="E552" t="s">
        <v>61</v>
      </c>
      <c r="G552">
        <v>9771.7000000000007</v>
      </c>
      <c r="I552">
        <v>776.8</v>
      </c>
      <c r="K552">
        <v>8074.1</v>
      </c>
      <c r="M552">
        <v>26044.7</v>
      </c>
      <c r="O552">
        <v>253.1</v>
      </c>
      <c r="Q552">
        <v>530.29999999999995</v>
      </c>
      <c r="S552">
        <v>1445.8</v>
      </c>
      <c r="U552">
        <v>1079.8</v>
      </c>
      <c r="W552">
        <v>1771.1</v>
      </c>
      <c r="Y552">
        <v>52.1</v>
      </c>
      <c r="AA552">
        <v>2910993.3</v>
      </c>
      <c r="AC552">
        <v>1642.9</v>
      </c>
      <c r="AE552">
        <v>4981.3</v>
      </c>
      <c r="AG552">
        <v>2106.9</v>
      </c>
      <c r="AI552">
        <v>5518.4</v>
      </c>
      <c r="AK552">
        <v>344.8</v>
      </c>
      <c r="AM552">
        <v>195.8</v>
      </c>
      <c r="AO552">
        <v>134.4</v>
      </c>
      <c r="AQ552">
        <v>399</v>
      </c>
      <c r="AS552">
        <v>290.60000000000002</v>
      </c>
      <c r="AU552">
        <v>378.2</v>
      </c>
      <c r="AW552">
        <v>189.6</v>
      </c>
      <c r="AY552">
        <v>1772.2</v>
      </c>
      <c r="BA552">
        <v>664364.30000000005</v>
      </c>
      <c r="BC552">
        <v>2319.6999999999998</v>
      </c>
      <c r="BE552">
        <v>292.7</v>
      </c>
      <c r="BG552">
        <v>606.4</v>
      </c>
      <c r="BI552">
        <v>654.4</v>
      </c>
      <c r="BK552">
        <v>1343.6</v>
      </c>
      <c r="BM552">
        <v>1027.5999999999999</v>
      </c>
      <c r="BO552">
        <v>34537.199999999997</v>
      </c>
      <c r="BQ552">
        <v>8187.3</v>
      </c>
      <c r="BS552">
        <v>12202</v>
      </c>
      <c r="BU552">
        <v>442506.3</v>
      </c>
      <c r="BW552">
        <v>527.9</v>
      </c>
      <c r="BY552">
        <v>23055.1</v>
      </c>
      <c r="CA552">
        <v>7099.7</v>
      </c>
      <c r="CC552">
        <v>13</v>
      </c>
      <c r="CE552">
        <v>190.8</v>
      </c>
      <c r="CG552">
        <v>532.5</v>
      </c>
      <c r="CI552">
        <v>144.4</v>
      </c>
      <c r="CK552">
        <v>2569.8000000000002</v>
      </c>
      <c r="CM552">
        <v>42.6</v>
      </c>
      <c r="CO552">
        <v>149.1</v>
      </c>
      <c r="CQ552">
        <v>262</v>
      </c>
      <c r="CS552">
        <v>548.20000000000005</v>
      </c>
      <c r="CU552">
        <v>253472.1</v>
      </c>
      <c r="CW552">
        <v>170.8</v>
      </c>
      <c r="CY552">
        <v>58726</v>
      </c>
      <c r="DA552">
        <v>20068.099999999999</v>
      </c>
      <c r="DC552">
        <v>0.7</v>
      </c>
      <c r="DE552">
        <v>135.80000000000001</v>
      </c>
      <c r="DG552">
        <v>273.8</v>
      </c>
      <c r="DI552">
        <v>2982.4</v>
      </c>
      <c r="DK552">
        <v>791.3</v>
      </c>
      <c r="DM552">
        <v>63600</v>
      </c>
      <c r="DO552">
        <v>39.799999999999997</v>
      </c>
      <c r="DQ552">
        <v>14059.8</v>
      </c>
    </row>
    <row r="553" spans="1:121" x14ac:dyDescent="0.2">
      <c r="D553" t="s">
        <v>62</v>
      </c>
      <c r="E553" t="s">
        <v>61</v>
      </c>
      <c r="G553">
        <v>134.80000000000001</v>
      </c>
      <c r="I553">
        <v>2.4</v>
      </c>
      <c r="K553">
        <v>210.2</v>
      </c>
      <c r="M553">
        <v>309</v>
      </c>
      <c r="O553">
        <v>30.8</v>
      </c>
      <c r="Q553">
        <v>106.7</v>
      </c>
      <c r="S553">
        <v>81.7</v>
      </c>
      <c r="U553">
        <v>98</v>
      </c>
      <c r="W553">
        <v>56.8</v>
      </c>
      <c r="Y553">
        <v>18</v>
      </c>
      <c r="AA553">
        <v>65236.3</v>
      </c>
      <c r="AC553">
        <v>110.2</v>
      </c>
      <c r="AE553">
        <v>393.8</v>
      </c>
      <c r="AG553">
        <v>28.4</v>
      </c>
      <c r="AI553">
        <v>165.3</v>
      </c>
      <c r="AK553">
        <v>44.3</v>
      </c>
      <c r="AM553">
        <v>14.4</v>
      </c>
      <c r="AO553">
        <v>19</v>
      </c>
      <c r="AQ553">
        <v>28.2</v>
      </c>
      <c r="AS553">
        <v>57.3</v>
      </c>
      <c r="AU553">
        <v>39.1</v>
      </c>
      <c r="AW553">
        <v>49.9</v>
      </c>
      <c r="AY553">
        <v>304.8</v>
      </c>
      <c r="BA553">
        <v>4344.3999999999996</v>
      </c>
      <c r="BC553">
        <v>122.6</v>
      </c>
      <c r="BE553">
        <v>11.8</v>
      </c>
      <c r="BG553">
        <v>28.2</v>
      </c>
      <c r="BI553">
        <v>28.2</v>
      </c>
      <c r="BK553">
        <v>76.599999999999994</v>
      </c>
      <c r="BM553">
        <v>86.2</v>
      </c>
      <c r="BO553">
        <v>80.5</v>
      </c>
      <c r="BQ553">
        <v>263.10000000000002</v>
      </c>
      <c r="BS553">
        <v>350.9</v>
      </c>
      <c r="BU553">
        <v>922.3</v>
      </c>
      <c r="BW553">
        <v>26.5</v>
      </c>
      <c r="BY553">
        <v>367.2</v>
      </c>
      <c r="CA553">
        <v>157.30000000000001</v>
      </c>
      <c r="CC553">
        <v>5.8</v>
      </c>
      <c r="CE553">
        <v>78.599999999999994</v>
      </c>
      <c r="CG553">
        <v>53.6</v>
      </c>
      <c r="CI553">
        <v>54.7</v>
      </c>
      <c r="CK553">
        <v>247.6</v>
      </c>
      <c r="CM553">
        <v>8.5</v>
      </c>
      <c r="CO553">
        <v>6.4</v>
      </c>
      <c r="CQ553">
        <v>35.799999999999997</v>
      </c>
      <c r="CS553">
        <v>35.4</v>
      </c>
      <c r="CU553">
        <v>3847.5</v>
      </c>
      <c r="CW553">
        <v>11.4</v>
      </c>
      <c r="CY553">
        <v>1859.8</v>
      </c>
      <c r="DA553">
        <v>782.4</v>
      </c>
      <c r="DC553">
        <v>1.2</v>
      </c>
      <c r="DE553">
        <v>28.3</v>
      </c>
      <c r="DG553">
        <v>50.8</v>
      </c>
      <c r="DI553">
        <v>19.899999999999999</v>
      </c>
      <c r="DK553">
        <v>48.7</v>
      </c>
      <c r="DM553">
        <v>1275.5999999999999</v>
      </c>
      <c r="DO553">
        <v>7</v>
      </c>
      <c r="DQ553">
        <v>59</v>
      </c>
    </row>
    <row r="554" spans="1:121" x14ac:dyDescent="0.2">
      <c r="D554" t="s">
        <v>63</v>
      </c>
      <c r="G554">
        <v>4.4839999999999998E-2</v>
      </c>
      <c r="H554" t="s">
        <v>75</v>
      </c>
      <c r="I554">
        <v>1.504E-2</v>
      </c>
      <c r="J554" t="s">
        <v>75</v>
      </c>
      <c r="K554">
        <v>7.0000000000000001E-3</v>
      </c>
      <c r="L554" t="s">
        <v>75</v>
      </c>
      <c r="M554">
        <v>-7.2100000000000003E-3</v>
      </c>
      <c r="N554" t="s">
        <v>75</v>
      </c>
      <c r="O554">
        <v>3.15E-3</v>
      </c>
      <c r="P554" t="s">
        <v>75</v>
      </c>
      <c r="Q554">
        <v>2.4500000000000001E-2</v>
      </c>
      <c r="R554" t="s">
        <v>75</v>
      </c>
      <c r="S554">
        <v>5.9999999999999995E-4</v>
      </c>
      <c r="T554" t="s">
        <v>75</v>
      </c>
      <c r="U554">
        <v>1.021E-2</v>
      </c>
      <c r="V554" t="s">
        <v>75</v>
      </c>
      <c r="W554">
        <v>7.3800000000000003E-3</v>
      </c>
      <c r="X554" t="s">
        <v>75</v>
      </c>
      <c r="Y554">
        <v>7.9000000000000001E-4</v>
      </c>
      <c r="Z554" t="s">
        <v>75</v>
      </c>
      <c r="AB554" t="s">
        <v>76</v>
      </c>
      <c r="AC554">
        <v>4.7669999999999997E-2</v>
      </c>
      <c r="AD554" t="s">
        <v>75</v>
      </c>
      <c r="AE554">
        <v>5.8259999999999999E-2</v>
      </c>
      <c r="AF554" t="s">
        <v>75</v>
      </c>
      <c r="AG554">
        <v>-1.4670000000000001E-2</v>
      </c>
      <c r="AH554" t="s">
        <v>75</v>
      </c>
      <c r="AI554">
        <v>3.5589999999999997E-2</v>
      </c>
      <c r="AJ554" t="s">
        <v>75</v>
      </c>
      <c r="AK554">
        <v>-1.9E-3</v>
      </c>
      <c r="AL554" t="s">
        <v>75</v>
      </c>
      <c r="AM554">
        <v>-5.5399999999999998E-3</v>
      </c>
      <c r="AN554" t="s">
        <v>75</v>
      </c>
      <c r="AO554">
        <v>1.9300000000000001E-3</v>
      </c>
      <c r="AP554" t="s">
        <v>75</v>
      </c>
      <c r="AQ554">
        <v>7.9000000000000001E-4</v>
      </c>
      <c r="AR554" t="s">
        <v>75</v>
      </c>
      <c r="AS554">
        <v>2.7999999999999998E-4</v>
      </c>
      <c r="AT554" t="s">
        <v>75</v>
      </c>
      <c r="AU554">
        <v>1.6000000000000001E-3</v>
      </c>
      <c r="AV554" t="s">
        <v>75</v>
      </c>
      <c r="AW554">
        <v>-3.3E-4</v>
      </c>
      <c r="AX554" t="s">
        <v>75</v>
      </c>
      <c r="AY554">
        <v>-4.5300000000000002E-3</v>
      </c>
      <c r="AZ554" t="s">
        <v>75</v>
      </c>
      <c r="BC554">
        <v>-2.0528200000000001</v>
      </c>
      <c r="BD554" t="s">
        <v>75</v>
      </c>
      <c r="BE554">
        <v>2.8600000000000001E-3</v>
      </c>
      <c r="BF554" t="s">
        <v>75</v>
      </c>
      <c r="BG554">
        <v>-3.7019999999999997E-2</v>
      </c>
      <c r="BH554" t="s">
        <v>75</v>
      </c>
      <c r="BI554">
        <v>-1.392E-2</v>
      </c>
      <c r="BJ554" t="s">
        <v>75</v>
      </c>
      <c r="BK554">
        <v>-4.6050000000000001E-2</v>
      </c>
      <c r="BL554" t="s">
        <v>75</v>
      </c>
      <c r="BM554">
        <v>-9.0100000000000006E-3</v>
      </c>
      <c r="BN554" t="s">
        <v>75</v>
      </c>
      <c r="BO554">
        <v>-0.95574999999999999</v>
      </c>
      <c r="BP554" t="s">
        <v>75</v>
      </c>
      <c r="BQ554">
        <v>-0.13791999999999999</v>
      </c>
      <c r="BR554" t="s">
        <v>75</v>
      </c>
      <c r="BS554">
        <v>-0.18217</v>
      </c>
      <c r="BT554" t="s">
        <v>75</v>
      </c>
      <c r="BU554">
        <v>-1.8787499999999999</v>
      </c>
      <c r="BV554" t="s">
        <v>75</v>
      </c>
      <c r="BW554">
        <v>-2.3779999999999999E-2</v>
      </c>
      <c r="BX554" t="s">
        <v>75</v>
      </c>
      <c r="BY554">
        <v>-1.5524</v>
      </c>
      <c r="BZ554" t="s">
        <v>75</v>
      </c>
      <c r="CA554">
        <v>0.25697999999999999</v>
      </c>
      <c r="CB554" t="s">
        <v>75</v>
      </c>
      <c r="CC554">
        <v>-1.149E-2</v>
      </c>
      <c r="CD554" t="s">
        <v>75</v>
      </c>
      <c r="CE554">
        <v>1.2700000000000001E-3</v>
      </c>
      <c r="CF554" t="s">
        <v>75</v>
      </c>
      <c r="CG554">
        <v>-8.1200000000000005E-3</v>
      </c>
      <c r="CH554" t="s">
        <v>75</v>
      </c>
      <c r="CI554">
        <v>-2.6780000000000002E-2</v>
      </c>
      <c r="CJ554" t="s">
        <v>75</v>
      </c>
      <c r="CK554">
        <v>-0.29259000000000002</v>
      </c>
      <c r="CL554" t="s">
        <v>75</v>
      </c>
      <c r="CM554">
        <v>-6.3699999999999998E-3</v>
      </c>
      <c r="CN554" t="s">
        <v>75</v>
      </c>
      <c r="CO554">
        <v>1.8870000000000001E-2</v>
      </c>
      <c r="CP554" t="s">
        <v>75</v>
      </c>
      <c r="CQ554">
        <v>-1.933E-2</v>
      </c>
      <c r="CR554" t="s">
        <v>75</v>
      </c>
      <c r="CS554">
        <v>4.6780000000000002E-2</v>
      </c>
      <c r="CT554" t="s">
        <v>75</v>
      </c>
      <c r="CV554" t="s">
        <v>76</v>
      </c>
      <c r="CW554">
        <v>-1.9290000000000002E-2</v>
      </c>
      <c r="CX554" t="s">
        <v>75</v>
      </c>
      <c r="DA554">
        <v>1.1599299999999999</v>
      </c>
      <c r="DB554" t="s">
        <v>75</v>
      </c>
      <c r="DC554">
        <v>-7.2999999999999996E-4</v>
      </c>
      <c r="DD554" t="s">
        <v>75</v>
      </c>
      <c r="DE554">
        <v>5.2949999999999997E-2</v>
      </c>
      <c r="DF554" t="s">
        <v>75</v>
      </c>
      <c r="DG554">
        <v>1.6084000000000001</v>
      </c>
      <c r="DH554" t="s">
        <v>75</v>
      </c>
      <c r="DI554">
        <v>5.6351100000000001</v>
      </c>
      <c r="DJ554" t="s">
        <v>75</v>
      </c>
      <c r="DL554" t="s">
        <v>76</v>
      </c>
      <c r="DN554" t="s">
        <v>76</v>
      </c>
      <c r="DO554">
        <v>-1.34E-3</v>
      </c>
      <c r="DP554" t="s">
        <v>75</v>
      </c>
    </row>
    <row r="555" spans="1:121" x14ac:dyDescent="0.2">
      <c r="D555" t="s">
        <v>64</v>
      </c>
      <c r="G555">
        <v>9.8999999999999999E-4</v>
      </c>
      <c r="H555" t="s">
        <v>75</v>
      </c>
      <c r="I555">
        <v>2.1000000000000001E-4</v>
      </c>
      <c r="J555" t="s">
        <v>75</v>
      </c>
      <c r="K555">
        <v>3.4000000000000002E-4</v>
      </c>
      <c r="L555" t="s">
        <v>75</v>
      </c>
      <c r="M555">
        <v>2.1000000000000001E-4</v>
      </c>
      <c r="N555" t="s">
        <v>75</v>
      </c>
      <c r="O555">
        <v>3.0000000000000001E-5</v>
      </c>
      <c r="P555" t="s">
        <v>75</v>
      </c>
      <c r="Q555">
        <v>7.1000000000000002E-4</v>
      </c>
      <c r="R555" t="s">
        <v>75</v>
      </c>
      <c r="S555">
        <v>6.9999999999999994E-5</v>
      </c>
      <c r="T555" t="s">
        <v>75</v>
      </c>
      <c r="U555">
        <v>4.4000000000000002E-4</v>
      </c>
      <c r="V555" t="s">
        <v>75</v>
      </c>
      <c r="W555">
        <v>1.2999999999999999E-4</v>
      </c>
      <c r="X555" t="s">
        <v>75</v>
      </c>
      <c r="Y555">
        <v>2.7E-4</v>
      </c>
      <c r="Z555" t="s">
        <v>75</v>
      </c>
      <c r="AC555">
        <v>4.2999999999999999E-4</v>
      </c>
      <c r="AD555" t="s">
        <v>75</v>
      </c>
      <c r="AE555">
        <v>1.6000000000000001E-3</v>
      </c>
      <c r="AF555" t="s">
        <v>75</v>
      </c>
      <c r="AG555">
        <v>2.0000000000000002E-5</v>
      </c>
      <c r="AH555" t="s">
        <v>75</v>
      </c>
      <c r="AI555">
        <v>8.5999999999999998E-4</v>
      </c>
      <c r="AJ555" t="s">
        <v>75</v>
      </c>
      <c r="AK555">
        <v>3.0000000000000001E-5</v>
      </c>
      <c r="AL555" t="s">
        <v>75</v>
      </c>
      <c r="AM555">
        <v>1.0000000000000001E-5</v>
      </c>
      <c r="AN555" t="s">
        <v>75</v>
      </c>
      <c r="AO555">
        <v>6.9999999999999994E-5</v>
      </c>
      <c r="AP555" t="s">
        <v>75</v>
      </c>
      <c r="AQ555">
        <v>1.2E-4</v>
      </c>
      <c r="AR555" t="s">
        <v>75</v>
      </c>
      <c r="AS555">
        <v>2.5999999999999998E-4</v>
      </c>
      <c r="AT555" t="s">
        <v>75</v>
      </c>
      <c r="AU555">
        <v>3.0000000000000001E-5</v>
      </c>
      <c r="AV555" t="s">
        <v>75</v>
      </c>
      <c r="AW555">
        <v>1.2E-4</v>
      </c>
      <c r="AX555" t="s">
        <v>75</v>
      </c>
      <c r="AY555">
        <v>1.01E-3</v>
      </c>
      <c r="AZ555" t="s">
        <v>75</v>
      </c>
      <c r="BC555">
        <v>4.2000000000000002E-4</v>
      </c>
      <c r="BD555" t="s">
        <v>75</v>
      </c>
      <c r="BE555">
        <v>1.0000000000000001E-5</v>
      </c>
      <c r="BF555" t="s">
        <v>75</v>
      </c>
      <c r="BG555">
        <v>9.0000000000000006E-5</v>
      </c>
      <c r="BH555" t="s">
        <v>75</v>
      </c>
      <c r="BI555">
        <v>8.0000000000000007E-5</v>
      </c>
      <c r="BJ555" t="s">
        <v>75</v>
      </c>
      <c r="BK555">
        <v>5.0000000000000002E-5</v>
      </c>
      <c r="BL555" t="s">
        <v>75</v>
      </c>
      <c r="BM555">
        <v>8.0000000000000007E-5</v>
      </c>
      <c r="BN555" t="s">
        <v>75</v>
      </c>
      <c r="BO555">
        <v>2.41E-2</v>
      </c>
      <c r="BP555" t="s">
        <v>75</v>
      </c>
      <c r="BQ555">
        <v>1.736E-2</v>
      </c>
      <c r="BR555" t="s">
        <v>75</v>
      </c>
      <c r="BS555">
        <v>8.6700000000000006E-3</v>
      </c>
      <c r="BT555" t="s">
        <v>75</v>
      </c>
      <c r="BU555">
        <v>0.56767000000000001</v>
      </c>
      <c r="BV555" t="s">
        <v>75</v>
      </c>
      <c r="BW555">
        <v>1.8280000000000001E-2</v>
      </c>
      <c r="BX555" t="s">
        <v>75</v>
      </c>
      <c r="BY555">
        <v>0.10244</v>
      </c>
      <c r="BZ555" t="s">
        <v>75</v>
      </c>
      <c r="CA555">
        <v>4.8550000000000003E-2</v>
      </c>
      <c r="CB555" t="s">
        <v>75</v>
      </c>
      <c r="CC555">
        <v>1.15E-3</v>
      </c>
      <c r="CD555" t="s">
        <v>75</v>
      </c>
      <c r="CE555">
        <v>1.2700000000000001E-3</v>
      </c>
      <c r="CF555" t="s">
        <v>75</v>
      </c>
      <c r="CG555">
        <v>1.1999999999999999E-3</v>
      </c>
      <c r="CH555" t="s">
        <v>75</v>
      </c>
      <c r="CI555">
        <v>7.7999999999999999E-4</v>
      </c>
      <c r="CJ555" t="s">
        <v>75</v>
      </c>
      <c r="CK555">
        <v>4.5900000000000003E-3</v>
      </c>
      <c r="CL555" t="s">
        <v>75</v>
      </c>
      <c r="CM555">
        <v>1.3999999999999999E-4</v>
      </c>
      <c r="CN555" t="s">
        <v>75</v>
      </c>
      <c r="CO555">
        <v>6.3000000000000003E-4</v>
      </c>
      <c r="CP555" t="s">
        <v>75</v>
      </c>
      <c r="CQ555">
        <v>1.0300000000000001E-3</v>
      </c>
      <c r="CR555" t="s">
        <v>75</v>
      </c>
      <c r="CS555">
        <v>1.2829999999999999E-2</v>
      </c>
      <c r="CT555" t="s">
        <v>75</v>
      </c>
      <c r="CW555">
        <v>2.2000000000000001E-4</v>
      </c>
      <c r="CX555" t="s">
        <v>75</v>
      </c>
      <c r="DA555">
        <v>5.9679999999999997E-2</v>
      </c>
      <c r="DB555" t="s">
        <v>75</v>
      </c>
      <c r="DC555">
        <v>5.9000000000000003E-4</v>
      </c>
      <c r="DD555" t="s">
        <v>75</v>
      </c>
      <c r="DE555">
        <v>1.4710000000000001E-2</v>
      </c>
      <c r="DF555" t="s">
        <v>75</v>
      </c>
      <c r="DG555">
        <v>0.31191000000000002</v>
      </c>
      <c r="DH555" t="s">
        <v>75</v>
      </c>
      <c r="DI555">
        <v>2.9069999999999999E-2</v>
      </c>
      <c r="DJ555" t="s">
        <v>75</v>
      </c>
      <c r="DO555">
        <v>1.1800000000000001E-3</v>
      </c>
      <c r="DP555" t="s">
        <v>75</v>
      </c>
    </row>
    <row r="556" spans="1:121" x14ac:dyDescent="0.2">
      <c r="D556" t="s">
        <v>65</v>
      </c>
      <c r="G556" t="s">
        <v>66</v>
      </c>
      <c r="I556" t="s">
        <v>66</v>
      </c>
      <c r="K556" t="s">
        <v>66</v>
      </c>
      <c r="M556" t="s">
        <v>66</v>
      </c>
      <c r="O556" t="s">
        <v>66</v>
      </c>
      <c r="Q556" t="s">
        <v>66</v>
      </c>
      <c r="S556" t="s">
        <v>66</v>
      </c>
      <c r="U556" t="s">
        <v>66</v>
      </c>
      <c r="W556" t="s">
        <v>66</v>
      </c>
      <c r="Y556" t="s">
        <v>66</v>
      </c>
      <c r="AA556" t="s">
        <v>66</v>
      </c>
      <c r="AC556" t="s">
        <v>66</v>
      </c>
      <c r="AE556" t="s">
        <v>66</v>
      </c>
      <c r="AG556" t="s">
        <v>66</v>
      </c>
      <c r="AI556" t="s">
        <v>66</v>
      </c>
      <c r="AK556" t="s">
        <v>66</v>
      </c>
      <c r="AM556" t="s">
        <v>66</v>
      </c>
      <c r="AO556" t="s">
        <v>66</v>
      </c>
      <c r="AQ556" t="s">
        <v>66</v>
      </c>
      <c r="AS556" t="s">
        <v>66</v>
      </c>
      <c r="AU556" t="s">
        <v>66</v>
      </c>
      <c r="AW556" t="s">
        <v>66</v>
      </c>
      <c r="AY556" t="s">
        <v>66</v>
      </c>
      <c r="BA556" t="s">
        <v>66</v>
      </c>
      <c r="BC556" t="s">
        <v>66</v>
      </c>
      <c r="BE556" t="s">
        <v>66</v>
      </c>
      <c r="BG556" t="s">
        <v>66</v>
      </c>
      <c r="BI556" t="s">
        <v>66</v>
      </c>
      <c r="BK556" t="s">
        <v>66</v>
      </c>
      <c r="BM556" t="s">
        <v>66</v>
      </c>
      <c r="BO556" t="s">
        <v>66</v>
      </c>
      <c r="BQ556" t="s">
        <v>66</v>
      </c>
      <c r="BS556" t="s">
        <v>66</v>
      </c>
      <c r="BU556" t="s">
        <v>66</v>
      </c>
      <c r="BW556" t="s">
        <v>66</v>
      </c>
      <c r="BY556" t="s">
        <v>66</v>
      </c>
      <c r="CA556" t="s">
        <v>66</v>
      </c>
      <c r="CC556" t="s">
        <v>66</v>
      </c>
      <c r="CE556" t="s">
        <v>66</v>
      </c>
      <c r="CG556" t="s">
        <v>66</v>
      </c>
      <c r="CI556" t="s">
        <v>66</v>
      </c>
      <c r="CK556" t="s">
        <v>66</v>
      </c>
      <c r="CM556" t="s">
        <v>66</v>
      </c>
      <c r="CO556" t="s">
        <v>66</v>
      </c>
      <c r="CQ556" t="s">
        <v>66</v>
      </c>
      <c r="CS556" t="s">
        <v>66</v>
      </c>
      <c r="CU556" t="s">
        <v>66</v>
      </c>
      <c r="CW556" t="s">
        <v>66</v>
      </c>
      <c r="CY556" t="s">
        <v>66</v>
      </c>
      <c r="DA556" t="s">
        <v>66</v>
      </c>
      <c r="DC556" t="s">
        <v>66</v>
      </c>
      <c r="DE556" t="s">
        <v>66</v>
      </c>
      <c r="DG556" t="s">
        <v>66</v>
      </c>
      <c r="DI556" t="s">
        <v>66</v>
      </c>
      <c r="DK556" t="s">
        <v>66</v>
      </c>
      <c r="DM556" t="s">
        <v>66</v>
      </c>
      <c r="DO556" t="s">
        <v>66</v>
      </c>
      <c r="DQ556" t="s">
        <v>66</v>
      </c>
    </row>
    <row r="557" spans="1:121" x14ac:dyDescent="0.2">
      <c r="A557" t="s">
        <v>681</v>
      </c>
      <c r="D557" t="s">
        <v>60</v>
      </c>
      <c r="E557" t="s">
        <v>61</v>
      </c>
      <c r="G557">
        <v>8810.1</v>
      </c>
      <c r="I557">
        <v>696.2</v>
      </c>
      <c r="K557">
        <v>21983.4</v>
      </c>
      <c r="M557">
        <v>64621.5</v>
      </c>
      <c r="O557">
        <v>632.5</v>
      </c>
      <c r="Q557">
        <v>3379.3</v>
      </c>
      <c r="S557">
        <v>1383.2</v>
      </c>
      <c r="U557">
        <v>949.5</v>
      </c>
      <c r="W557">
        <v>3743.3</v>
      </c>
      <c r="Y557">
        <v>572</v>
      </c>
      <c r="AA557">
        <v>2906262.7</v>
      </c>
      <c r="AC557">
        <v>1014432.8</v>
      </c>
      <c r="AE557">
        <v>94907.9</v>
      </c>
      <c r="AG557">
        <v>17488.099999999999</v>
      </c>
      <c r="AI557">
        <v>30397.3</v>
      </c>
      <c r="AK557">
        <v>3219.7</v>
      </c>
      <c r="AM557">
        <v>6624</v>
      </c>
      <c r="AO557">
        <v>265.60000000000002</v>
      </c>
      <c r="AQ557">
        <v>346.9</v>
      </c>
      <c r="AS557">
        <v>231.3</v>
      </c>
      <c r="AU557">
        <v>201</v>
      </c>
      <c r="AW557">
        <v>133.30000000000001</v>
      </c>
      <c r="AY557">
        <v>5076.1000000000004</v>
      </c>
      <c r="BA557">
        <v>663700.6</v>
      </c>
      <c r="BC557">
        <v>2322.8000000000002</v>
      </c>
      <c r="BE557">
        <v>1329</v>
      </c>
      <c r="BG557">
        <v>32268.7</v>
      </c>
      <c r="BI557">
        <v>27017.599999999999</v>
      </c>
      <c r="BK557">
        <v>66564</v>
      </c>
      <c r="BM557">
        <v>18785.3</v>
      </c>
      <c r="BO557">
        <v>512760.9</v>
      </c>
      <c r="BQ557">
        <v>51300.5</v>
      </c>
      <c r="BS557">
        <v>111639.8</v>
      </c>
      <c r="BU557">
        <v>706738.7</v>
      </c>
      <c r="BW557">
        <v>48008</v>
      </c>
      <c r="BY557">
        <v>52552.3</v>
      </c>
      <c r="CA557">
        <v>32679.9</v>
      </c>
      <c r="CC557">
        <v>165.7</v>
      </c>
      <c r="CE557">
        <v>390.8</v>
      </c>
      <c r="CG557">
        <v>30531.1</v>
      </c>
      <c r="CI557">
        <v>22410.400000000001</v>
      </c>
      <c r="CK557">
        <v>302675.40000000002</v>
      </c>
      <c r="CM557">
        <v>3111.2</v>
      </c>
      <c r="CO557">
        <v>8781.6</v>
      </c>
      <c r="CQ557">
        <v>11111.1</v>
      </c>
      <c r="CS557">
        <v>21255</v>
      </c>
      <c r="CU557">
        <v>242660.9</v>
      </c>
      <c r="CW557">
        <v>102946.6</v>
      </c>
      <c r="CY557">
        <v>57094.1</v>
      </c>
      <c r="DA557">
        <v>241979.9</v>
      </c>
      <c r="DC557">
        <v>1.7</v>
      </c>
      <c r="DE557">
        <v>3179.4</v>
      </c>
      <c r="DG557">
        <v>337.8</v>
      </c>
      <c r="DI557">
        <v>3443.8</v>
      </c>
      <c r="DK557">
        <v>744</v>
      </c>
      <c r="DM557">
        <v>63586</v>
      </c>
      <c r="DO557">
        <v>23040.1</v>
      </c>
      <c r="DQ557">
        <v>13783.7</v>
      </c>
    </row>
    <row r="558" spans="1:121" x14ac:dyDescent="0.2">
      <c r="D558" t="s">
        <v>62</v>
      </c>
      <c r="E558" t="s">
        <v>61</v>
      </c>
      <c r="G558">
        <v>162.4</v>
      </c>
      <c r="I558">
        <v>50.6</v>
      </c>
      <c r="K558">
        <v>308.8</v>
      </c>
      <c r="M558">
        <v>852.7</v>
      </c>
      <c r="O558">
        <v>43.8</v>
      </c>
      <c r="Q558">
        <v>39.700000000000003</v>
      </c>
      <c r="S558">
        <v>75.599999999999994</v>
      </c>
      <c r="U558">
        <v>117.6</v>
      </c>
      <c r="W558">
        <v>350.5</v>
      </c>
      <c r="Y558">
        <v>41</v>
      </c>
      <c r="AA558">
        <v>10355.9</v>
      </c>
      <c r="AC558">
        <v>13050.9</v>
      </c>
      <c r="AE558">
        <v>1098.5999999999999</v>
      </c>
      <c r="AG558">
        <v>228.4</v>
      </c>
      <c r="AI558">
        <v>107.2</v>
      </c>
      <c r="AK558">
        <v>175.2</v>
      </c>
      <c r="AM558">
        <v>439.7</v>
      </c>
      <c r="AO558">
        <v>20.5</v>
      </c>
      <c r="AQ558">
        <v>14.4</v>
      </c>
      <c r="AS558">
        <v>50</v>
      </c>
      <c r="AU558">
        <v>26.6</v>
      </c>
      <c r="AW558">
        <v>37</v>
      </c>
      <c r="AY558">
        <v>93.1</v>
      </c>
      <c r="BA558">
        <v>9158</v>
      </c>
      <c r="BC558">
        <v>159.80000000000001</v>
      </c>
      <c r="BE558">
        <v>42.1</v>
      </c>
      <c r="BG558">
        <v>959.3</v>
      </c>
      <c r="BI558">
        <v>153.6</v>
      </c>
      <c r="BK558">
        <v>496.4</v>
      </c>
      <c r="BM558">
        <v>346.1</v>
      </c>
      <c r="BO558">
        <v>4462.3999999999996</v>
      </c>
      <c r="BQ558">
        <v>166.1</v>
      </c>
      <c r="BS558">
        <v>1113.7</v>
      </c>
      <c r="BU558">
        <v>6573</v>
      </c>
      <c r="BW558">
        <v>823.4</v>
      </c>
      <c r="BY558">
        <v>756.7</v>
      </c>
      <c r="CA558">
        <v>450</v>
      </c>
      <c r="CC558">
        <v>32.6</v>
      </c>
      <c r="CE558">
        <v>46.7</v>
      </c>
      <c r="CG558">
        <v>882.4</v>
      </c>
      <c r="CI558">
        <v>839.4</v>
      </c>
      <c r="CK558">
        <v>11069</v>
      </c>
      <c r="CM558">
        <v>67</v>
      </c>
      <c r="CO558">
        <v>357.7</v>
      </c>
      <c r="CQ558">
        <v>432.6</v>
      </c>
      <c r="CS558">
        <v>714.2</v>
      </c>
      <c r="CU558">
        <v>6761.1</v>
      </c>
      <c r="CW558">
        <v>2466</v>
      </c>
      <c r="CY558">
        <v>933.8</v>
      </c>
      <c r="DA558">
        <v>3574.7</v>
      </c>
      <c r="DC558">
        <v>2.9</v>
      </c>
      <c r="DE558">
        <v>38.9</v>
      </c>
      <c r="DG558">
        <v>37.700000000000003</v>
      </c>
      <c r="DI558">
        <v>161.1</v>
      </c>
      <c r="DK558">
        <v>40.1</v>
      </c>
      <c r="DM558">
        <v>941.8</v>
      </c>
      <c r="DO558">
        <v>285.5</v>
      </c>
      <c r="DQ558">
        <v>161.5</v>
      </c>
    </row>
    <row r="559" spans="1:121" x14ac:dyDescent="0.2">
      <c r="D559" t="s">
        <v>63</v>
      </c>
      <c r="G559">
        <v>3.712E-2</v>
      </c>
      <c r="H559" t="s">
        <v>75</v>
      </c>
      <c r="I559">
        <v>1.218E-2</v>
      </c>
      <c r="J559" t="s">
        <v>75</v>
      </c>
      <c r="K559">
        <v>2.5069999999999999E-2</v>
      </c>
      <c r="L559" t="s">
        <v>75</v>
      </c>
      <c r="M559">
        <v>3.2849999999999997E-2</v>
      </c>
      <c r="N559" t="s">
        <v>75</v>
      </c>
      <c r="O559">
        <v>3.47E-3</v>
      </c>
      <c r="P559" t="s">
        <v>75</v>
      </c>
      <c r="Q559">
        <v>4.3290000000000002E-2</v>
      </c>
      <c r="R559" t="s">
        <v>75</v>
      </c>
      <c r="S559">
        <v>5.4000000000000001E-4</v>
      </c>
      <c r="T559" t="s">
        <v>75</v>
      </c>
      <c r="U559">
        <v>9.6600000000000002E-3</v>
      </c>
      <c r="V559" t="s">
        <v>75</v>
      </c>
      <c r="W559">
        <v>1.166E-2</v>
      </c>
      <c r="X559" t="s">
        <v>75</v>
      </c>
      <c r="Y559">
        <v>8.6700000000000006E-3</v>
      </c>
      <c r="Z559" t="s">
        <v>75</v>
      </c>
      <c r="AB559" t="s">
        <v>76</v>
      </c>
      <c r="AC559">
        <v>3.7282799999999998</v>
      </c>
      <c r="AD559" t="s">
        <v>75</v>
      </c>
      <c r="AE559">
        <v>0.40237000000000001</v>
      </c>
      <c r="AF559" t="s">
        <v>75</v>
      </c>
      <c r="AG559">
        <v>-2.33E-3</v>
      </c>
      <c r="AH559" t="s">
        <v>75</v>
      </c>
      <c r="AI559">
        <v>0.19625999999999999</v>
      </c>
      <c r="AJ559" t="s">
        <v>75</v>
      </c>
      <c r="AK559">
        <v>1.1E-4</v>
      </c>
      <c r="AL559" t="s">
        <v>75</v>
      </c>
      <c r="AM559">
        <v>-5.9999999999999995E-4</v>
      </c>
      <c r="AN559" t="s">
        <v>75</v>
      </c>
      <c r="AO559">
        <v>2.4199999999999998E-3</v>
      </c>
      <c r="AP559" t="s">
        <v>75</v>
      </c>
      <c r="AQ559">
        <v>5.5999999999999995E-4</v>
      </c>
      <c r="AR559" t="s">
        <v>75</v>
      </c>
      <c r="AS559">
        <v>2.0000000000000002E-5</v>
      </c>
      <c r="AT559" t="s">
        <v>75</v>
      </c>
      <c r="AU559">
        <v>1.49E-3</v>
      </c>
      <c r="AV559" t="s">
        <v>75</v>
      </c>
      <c r="AW559">
        <v>-4.6999999999999999E-4</v>
      </c>
      <c r="AX559" t="s">
        <v>75</v>
      </c>
      <c r="AY559">
        <v>6.3699999999999998E-3</v>
      </c>
      <c r="AZ559" t="s">
        <v>75</v>
      </c>
      <c r="BC559">
        <v>-2.0528</v>
      </c>
      <c r="BD559" t="s">
        <v>75</v>
      </c>
      <c r="BE559">
        <v>3.8700000000000002E-3</v>
      </c>
      <c r="BF559" t="s">
        <v>75</v>
      </c>
      <c r="BG559">
        <v>5.5939999999999997E-2</v>
      </c>
      <c r="BH559" t="s">
        <v>75</v>
      </c>
      <c r="BI559">
        <v>7.51E-2</v>
      </c>
      <c r="BJ559" t="s">
        <v>75</v>
      </c>
      <c r="BK559">
        <v>4.6600000000000003E-2</v>
      </c>
      <c r="BL559" t="s">
        <v>75</v>
      </c>
      <c r="BM559">
        <v>8.0400000000000003E-3</v>
      </c>
      <c r="BN559" t="s">
        <v>75</v>
      </c>
      <c r="BO559">
        <v>10.093299999999999</v>
      </c>
      <c r="BP559" t="s">
        <v>75</v>
      </c>
      <c r="BQ559">
        <v>1.3938299999999999</v>
      </c>
      <c r="BR559" t="s">
        <v>75</v>
      </c>
      <c r="BS559">
        <v>2.1537600000000001</v>
      </c>
      <c r="BT559" t="s">
        <v>75</v>
      </c>
      <c r="BU559">
        <v>10.06019</v>
      </c>
      <c r="BV559" t="s">
        <v>75</v>
      </c>
      <c r="BW559">
        <v>21.036819999999999</v>
      </c>
      <c r="BX559" t="s">
        <v>75</v>
      </c>
      <c r="BY559">
        <v>7.2882499999999997</v>
      </c>
      <c r="BZ559" t="s">
        <v>75</v>
      </c>
      <c r="CA559">
        <v>14.68305</v>
      </c>
      <c r="CB559" t="s">
        <v>75</v>
      </c>
      <c r="CC559">
        <v>2.2599999999999999E-2</v>
      </c>
      <c r="CD559" t="s">
        <v>75</v>
      </c>
      <c r="CE559">
        <v>4.4400000000000004E-3</v>
      </c>
      <c r="CF559" t="s">
        <v>75</v>
      </c>
      <c r="CG559">
        <v>0.52610999999999997</v>
      </c>
      <c r="CH559" t="s">
        <v>75</v>
      </c>
      <c r="CI559">
        <v>0.27673999999999999</v>
      </c>
      <c r="CJ559" t="s">
        <v>75</v>
      </c>
      <c r="CK559">
        <v>4.1467299999999998</v>
      </c>
      <c r="CL559" t="s">
        <v>75</v>
      </c>
      <c r="CM559">
        <v>3.9170000000000003E-2</v>
      </c>
      <c r="CN559" t="s">
        <v>75</v>
      </c>
      <c r="CO559">
        <v>0.52903</v>
      </c>
      <c r="CP559" t="s">
        <v>75</v>
      </c>
      <c r="CQ559">
        <v>0.32377</v>
      </c>
      <c r="CR559" t="s">
        <v>75</v>
      </c>
      <c r="CS559">
        <v>5.7103400000000004</v>
      </c>
      <c r="CT559" t="s">
        <v>75</v>
      </c>
      <c r="CV559" t="s">
        <v>76</v>
      </c>
      <c r="CW559">
        <v>3.96638</v>
      </c>
      <c r="CX559" t="s">
        <v>75</v>
      </c>
      <c r="DA559">
        <v>16.83719</v>
      </c>
      <c r="DB559" t="s">
        <v>75</v>
      </c>
      <c r="DC559">
        <v>-2.1000000000000001E-4</v>
      </c>
      <c r="DD559" t="s">
        <v>75</v>
      </c>
      <c r="DE559">
        <v>1.68364</v>
      </c>
      <c r="DF559" t="s">
        <v>75</v>
      </c>
      <c r="DG559">
        <v>2.03905</v>
      </c>
      <c r="DH559" t="s">
        <v>75</v>
      </c>
      <c r="DI559">
        <v>6.7192400000000001</v>
      </c>
      <c r="DJ559" t="s">
        <v>75</v>
      </c>
      <c r="DL559" t="s">
        <v>76</v>
      </c>
      <c r="DN559" t="s">
        <v>76</v>
      </c>
      <c r="DO559">
        <v>4.0235900000000004</v>
      </c>
      <c r="DP559" t="s">
        <v>75</v>
      </c>
    </row>
    <row r="560" spans="1:121" x14ac:dyDescent="0.2">
      <c r="D560" t="s">
        <v>64</v>
      </c>
      <c r="G560">
        <v>1.2899999999999999E-3</v>
      </c>
      <c r="H560" t="s">
        <v>75</v>
      </c>
      <c r="I560">
        <v>1.48E-3</v>
      </c>
      <c r="J560" t="s">
        <v>75</v>
      </c>
      <c r="K560">
        <v>3.0000000000000001E-5</v>
      </c>
      <c r="L560" t="s">
        <v>75</v>
      </c>
      <c r="M560">
        <v>2.7999999999999998E-4</v>
      </c>
      <c r="N560" t="s">
        <v>75</v>
      </c>
      <c r="O560">
        <v>3.0000000000000001E-5</v>
      </c>
      <c r="P560" t="s">
        <v>75</v>
      </c>
      <c r="Q560">
        <v>5.5999999999999995E-4</v>
      </c>
      <c r="R560" t="s">
        <v>75</v>
      </c>
      <c r="S560">
        <v>6.0000000000000002E-5</v>
      </c>
      <c r="T560" t="s">
        <v>75</v>
      </c>
      <c r="U560">
        <v>4.8000000000000001E-4</v>
      </c>
      <c r="V560" t="s">
        <v>75</v>
      </c>
      <c r="W560">
        <v>8.0999999999999996E-4</v>
      </c>
      <c r="X560" t="s">
        <v>75</v>
      </c>
      <c r="Y560">
        <v>5.1999999999999995E-4</v>
      </c>
      <c r="Z560" t="s">
        <v>75</v>
      </c>
      <c r="AC560">
        <v>7.7359999999999998E-2</v>
      </c>
      <c r="AD560" t="s">
        <v>75</v>
      </c>
      <c r="AE560">
        <v>9.1500000000000001E-3</v>
      </c>
      <c r="AF560" t="s">
        <v>75</v>
      </c>
      <c r="AG560">
        <v>1.6000000000000001E-4</v>
      </c>
      <c r="AH560" t="s">
        <v>75</v>
      </c>
      <c r="AI560">
        <v>2.2200000000000002E-3</v>
      </c>
      <c r="AJ560" t="s">
        <v>75</v>
      </c>
      <c r="AK560">
        <v>1.2E-4</v>
      </c>
      <c r="AL560" t="s">
        <v>75</v>
      </c>
      <c r="AM560">
        <v>3.8000000000000002E-4</v>
      </c>
      <c r="AN560" t="s">
        <v>75</v>
      </c>
      <c r="AO560">
        <v>8.0000000000000007E-5</v>
      </c>
      <c r="AP560" t="s">
        <v>75</v>
      </c>
      <c r="AQ560">
        <v>4.0000000000000003E-5</v>
      </c>
      <c r="AR560" t="s">
        <v>75</v>
      </c>
      <c r="AS560">
        <v>2.4000000000000001E-4</v>
      </c>
      <c r="AT560" t="s">
        <v>75</v>
      </c>
      <c r="AU560">
        <v>2.0000000000000002E-5</v>
      </c>
      <c r="AV560" t="s">
        <v>75</v>
      </c>
      <c r="AW560">
        <v>9.0000000000000006E-5</v>
      </c>
      <c r="AX560" t="s">
        <v>75</v>
      </c>
      <c r="AY560">
        <v>2.9E-4</v>
      </c>
      <c r="AZ560" t="s">
        <v>75</v>
      </c>
      <c r="BC560">
        <v>5.6999999999999998E-4</v>
      </c>
      <c r="BD560" t="s">
        <v>75</v>
      </c>
      <c r="BE560">
        <v>4.0000000000000003E-5</v>
      </c>
      <c r="BF560" t="s">
        <v>75</v>
      </c>
      <c r="BG560">
        <v>1.6000000000000001E-3</v>
      </c>
      <c r="BH560" t="s">
        <v>75</v>
      </c>
      <c r="BI560">
        <v>1.47E-3</v>
      </c>
      <c r="BJ560" t="s">
        <v>75</v>
      </c>
      <c r="BK560">
        <v>1.08E-3</v>
      </c>
      <c r="BL560" t="s">
        <v>75</v>
      </c>
      <c r="BM560">
        <v>4.6000000000000001E-4</v>
      </c>
      <c r="BN560" t="s">
        <v>75</v>
      </c>
      <c r="BO560">
        <v>0.17251</v>
      </c>
      <c r="BP560" t="s">
        <v>75</v>
      </c>
      <c r="BQ560">
        <v>3.3930000000000002E-2</v>
      </c>
      <c r="BR560" t="s">
        <v>75</v>
      </c>
      <c r="BS560">
        <v>6.1179999999999998E-2</v>
      </c>
      <c r="BT560" t="s">
        <v>75</v>
      </c>
      <c r="BU560">
        <v>0.69925000000000004</v>
      </c>
      <c r="BV560" t="s">
        <v>75</v>
      </c>
      <c r="BW560">
        <v>0.69925999999999999</v>
      </c>
      <c r="BX560" t="s">
        <v>75</v>
      </c>
      <c r="BY560">
        <v>0.21088999999999999</v>
      </c>
      <c r="BZ560" t="s">
        <v>75</v>
      </c>
      <c r="CA560">
        <v>0.41253000000000001</v>
      </c>
      <c r="CB560" t="s">
        <v>75</v>
      </c>
      <c r="CC560">
        <v>6.6699999999999997E-3</v>
      </c>
      <c r="CD560" t="s">
        <v>75</v>
      </c>
      <c r="CE560">
        <v>7.7999999999999999E-4</v>
      </c>
      <c r="CF560" t="s">
        <v>75</v>
      </c>
      <c r="CG560">
        <v>1.5630000000000002E-2</v>
      </c>
      <c r="CH560" t="s">
        <v>75</v>
      </c>
      <c r="CI560">
        <v>1.444E-2</v>
      </c>
      <c r="CJ560" t="s">
        <v>75</v>
      </c>
      <c r="CK560">
        <v>0.18318000000000001</v>
      </c>
      <c r="CL560" t="s">
        <v>75</v>
      </c>
      <c r="CM560">
        <v>1.73E-3</v>
      </c>
      <c r="CN560" t="s">
        <v>75</v>
      </c>
      <c r="CO560">
        <v>2.4330000000000001E-2</v>
      </c>
      <c r="CP560" t="s">
        <v>75</v>
      </c>
      <c r="CQ560">
        <v>1.7749999999999998E-2</v>
      </c>
      <c r="CR560" t="s">
        <v>75</v>
      </c>
      <c r="CS560">
        <v>0.27600000000000002</v>
      </c>
      <c r="CT560" t="s">
        <v>75</v>
      </c>
      <c r="CW560">
        <v>0.13324</v>
      </c>
      <c r="CX560" t="s">
        <v>75</v>
      </c>
      <c r="DA560">
        <v>0.39304</v>
      </c>
      <c r="DB560" t="s">
        <v>75</v>
      </c>
      <c r="DC560">
        <v>1.49E-3</v>
      </c>
      <c r="DD560" t="s">
        <v>75</v>
      </c>
      <c r="DE560">
        <v>6.8700000000000002E-3</v>
      </c>
      <c r="DF560" t="s">
        <v>75</v>
      </c>
      <c r="DG560">
        <v>0.22364000000000001</v>
      </c>
      <c r="DH560" t="s">
        <v>75</v>
      </c>
      <c r="DI560">
        <v>0.27451999999999999</v>
      </c>
      <c r="DJ560" t="s">
        <v>75</v>
      </c>
      <c r="DO560">
        <v>4.7849999999999997E-2</v>
      </c>
      <c r="DP560" t="s">
        <v>75</v>
      </c>
    </row>
    <row r="561" spans="1:121" x14ac:dyDescent="0.2">
      <c r="D561" t="s">
        <v>65</v>
      </c>
      <c r="G561" t="s">
        <v>66</v>
      </c>
      <c r="I561" t="s">
        <v>66</v>
      </c>
      <c r="K561" t="s">
        <v>66</v>
      </c>
      <c r="M561" t="s">
        <v>66</v>
      </c>
      <c r="O561" t="s">
        <v>66</v>
      </c>
      <c r="Q561" t="s">
        <v>66</v>
      </c>
      <c r="S561" t="s">
        <v>66</v>
      </c>
      <c r="U561" t="s">
        <v>66</v>
      </c>
      <c r="W561" t="s">
        <v>66</v>
      </c>
      <c r="Y561" t="s">
        <v>66</v>
      </c>
      <c r="AA561" t="s">
        <v>66</v>
      </c>
      <c r="AC561" t="s">
        <v>66</v>
      </c>
      <c r="AE561" t="s">
        <v>66</v>
      </c>
      <c r="AG561" t="s">
        <v>66</v>
      </c>
      <c r="AI561" t="s">
        <v>66</v>
      </c>
      <c r="AK561" t="s">
        <v>66</v>
      </c>
      <c r="AM561" t="s">
        <v>66</v>
      </c>
      <c r="AO561" t="s">
        <v>66</v>
      </c>
      <c r="AQ561" t="s">
        <v>66</v>
      </c>
      <c r="AS561" t="s">
        <v>66</v>
      </c>
      <c r="AU561" t="s">
        <v>66</v>
      </c>
      <c r="AW561" t="s">
        <v>66</v>
      </c>
      <c r="AY561" t="s">
        <v>66</v>
      </c>
      <c r="BA561" t="s">
        <v>66</v>
      </c>
      <c r="BC561" t="s">
        <v>66</v>
      </c>
      <c r="BE561" t="s">
        <v>66</v>
      </c>
      <c r="BG561" t="s">
        <v>66</v>
      </c>
      <c r="BI561" t="s">
        <v>66</v>
      </c>
      <c r="BK561" t="s">
        <v>66</v>
      </c>
      <c r="BM561" t="s">
        <v>66</v>
      </c>
      <c r="BO561" t="s">
        <v>66</v>
      </c>
      <c r="BQ561" t="s">
        <v>66</v>
      </c>
      <c r="BS561" t="s">
        <v>66</v>
      </c>
      <c r="BU561" t="s">
        <v>66</v>
      </c>
      <c r="BW561" t="s">
        <v>66</v>
      </c>
      <c r="BY561" t="s">
        <v>66</v>
      </c>
      <c r="CA561" t="s">
        <v>66</v>
      </c>
      <c r="CC561" t="s">
        <v>66</v>
      </c>
      <c r="CE561" t="s">
        <v>66</v>
      </c>
      <c r="CG561" t="s">
        <v>66</v>
      </c>
      <c r="CI561" t="s">
        <v>66</v>
      </c>
      <c r="CK561" t="s">
        <v>66</v>
      </c>
      <c r="CM561" t="s">
        <v>66</v>
      </c>
      <c r="CO561" t="s">
        <v>66</v>
      </c>
      <c r="CQ561" t="s">
        <v>66</v>
      </c>
      <c r="CS561" t="s">
        <v>66</v>
      </c>
      <c r="CU561" t="s">
        <v>66</v>
      </c>
      <c r="CW561" t="s">
        <v>66</v>
      </c>
      <c r="CY561" t="s">
        <v>66</v>
      </c>
      <c r="DA561" t="s">
        <v>66</v>
      </c>
      <c r="DC561" t="s">
        <v>66</v>
      </c>
      <c r="DE561" t="s">
        <v>66</v>
      </c>
      <c r="DG561" t="s">
        <v>66</v>
      </c>
      <c r="DI561" t="s">
        <v>66</v>
      </c>
      <c r="DK561" t="s">
        <v>66</v>
      </c>
      <c r="DM561" t="s">
        <v>66</v>
      </c>
      <c r="DO561" t="s">
        <v>66</v>
      </c>
      <c r="DQ561" t="s">
        <v>66</v>
      </c>
    </row>
    <row r="562" spans="1:121" x14ac:dyDescent="0.2">
      <c r="A562" t="s">
        <v>682</v>
      </c>
      <c r="D562" t="s">
        <v>60</v>
      </c>
      <c r="E562" t="s">
        <v>61</v>
      </c>
      <c r="G562">
        <v>9016.2000000000007</v>
      </c>
      <c r="I562">
        <v>754.5</v>
      </c>
      <c r="K562">
        <v>42668.2</v>
      </c>
      <c r="M562">
        <v>93108.4</v>
      </c>
      <c r="O562">
        <v>787.8</v>
      </c>
      <c r="Q562">
        <v>3389.7</v>
      </c>
      <c r="S562">
        <v>1403.1</v>
      </c>
      <c r="U562">
        <v>1078.8</v>
      </c>
      <c r="W562">
        <v>13294.8</v>
      </c>
      <c r="Y562">
        <v>1225.8</v>
      </c>
      <c r="AA562">
        <v>2864924</v>
      </c>
      <c r="AC562">
        <v>815652.3</v>
      </c>
      <c r="AE562">
        <v>164896.4</v>
      </c>
      <c r="AG562">
        <v>20580</v>
      </c>
      <c r="AI562">
        <v>48129.5</v>
      </c>
      <c r="AK562">
        <v>2329</v>
      </c>
      <c r="AM562">
        <v>3310.4</v>
      </c>
      <c r="AO562">
        <v>256.3</v>
      </c>
      <c r="AQ562">
        <v>442.8</v>
      </c>
      <c r="AS562">
        <v>241.7</v>
      </c>
      <c r="AU562">
        <v>201.1</v>
      </c>
      <c r="AW562">
        <v>116.7</v>
      </c>
      <c r="AY562">
        <v>2343.6999999999998</v>
      </c>
      <c r="BA562">
        <v>662039.80000000005</v>
      </c>
      <c r="BC562">
        <v>2423.9</v>
      </c>
      <c r="BE562">
        <v>4085.3</v>
      </c>
      <c r="BG562">
        <v>106427</v>
      </c>
      <c r="BI562">
        <v>89008.8</v>
      </c>
      <c r="BK562">
        <v>217925.2</v>
      </c>
      <c r="BM562">
        <v>120763.4</v>
      </c>
      <c r="BO562">
        <v>552921.80000000005</v>
      </c>
      <c r="BQ562">
        <v>76788.5</v>
      </c>
      <c r="BS562">
        <v>180518.9</v>
      </c>
      <c r="BU562">
        <v>823957.3</v>
      </c>
      <c r="BW562">
        <v>38177.4</v>
      </c>
      <c r="BY562">
        <v>84092.1</v>
      </c>
      <c r="CA562">
        <v>37194.300000000003</v>
      </c>
      <c r="CC562">
        <v>215.7</v>
      </c>
      <c r="CE562">
        <v>351.9</v>
      </c>
      <c r="CG562">
        <v>33343.199999999997</v>
      </c>
      <c r="CI562">
        <v>29292.5</v>
      </c>
      <c r="CK562">
        <v>623965.9</v>
      </c>
      <c r="CM562">
        <v>1448.2</v>
      </c>
      <c r="CO562">
        <v>7636.5</v>
      </c>
      <c r="CQ562">
        <v>39202.199999999997</v>
      </c>
      <c r="CS562">
        <v>34018</v>
      </c>
      <c r="CU562">
        <v>247626.9</v>
      </c>
      <c r="CW562">
        <v>82259.3</v>
      </c>
      <c r="CY562">
        <v>57292.9</v>
      </c>
      <c r="DA562">
        <v>376824.9</v>
      </c>
      <c r="DC562">
        <v>1.7</v>
      </c>
      <c r="DE562">
        <v>8130.8</v>
      </c>
      <c r="DG562">
        <v>391</v>
      </c>
      <c r="DI562">
        <v>3385.7</v>
      </c>
      <c r="DK562">
        <v>696.7</v>
      </c>
      <c r="DM562">
        <v>63477.5</v>
      </c>
      <c r="DO562">
        <v>18227.3</v>
      </c>
      <c r="DQ562">
        <v>13770.4</v>
      </c>
    </row>
    <row r="563" spans="1:121" x14ac:dyDescent="0.2">
      <c r="D563" t="s">
        <v>62</v>
      </c>
      <c r="E563" t="s">
        <v>61</v>
      </c>
      <c r="G563">
        <v>546.20000000000005</v>
      </c>
      <c r="I563">
        <v>39.799999999999997</v>
      </c>
      <c r="K563">
        <v>742.9</v>
      </c>
      <c r="M563">
        <v>1020.6</v>
      </c>
      <c r="O563">
        <v>113.8</v>
      </c>
      <c r="Q563">
        <v>95</v>
      </c>
      <c r="S563">
        <v>62.6</v>
      </c>
      <c r="U563">
        <v>128.69999999999999</v>
      </c>
      <c r="W563">
        <v>196.3</v>
      </c>
      <c r="Y563">
        <v>94</v>
      </c>
      <c r="AA563">
        <v>30047</v>
      </c>
      <c r="AC563">
        <v>11076.2</v>
      </c>
      <c r="AE563">
        <v>220.4</v>
      </c>
      <c r="AG563">
        <v>235.2</v>
      </c>
      <c r="AI563">
        <v>285.5</v>
      </c>
      <c r="AK563">
        <v>156.19999999999999</v>
      </c>
      <c r="AM563">
        <v>61.2</v>
      </c>
      <c r="AO563">
        <v>65.5</v>
      </c>
      <c r="AQ563">
        <v>26.6</v>
      </c>
      <c r="AS563">
        <v>14.8</v>
      </c>
      <c r="AU563">
        <v>47</v>
      </c>
      <c r="AW563">
        <v>18.3</v>
      </c>
      <c r="AY563">
        <v>126.5</v>
      </c>
      <c r="BA563">
        <v>1169.5</v>
      </c>
      <c r="BC563">
        <v>103.7</v>
      </c>
      <c r="BE563">
        <v>90.7</v>
      </c>
      <c r="BG563">
        <v>1542.8</v>
      </c>
      <c r="BI563">
        <v>757.4</v>
      </c>
      <c r="BK563">
        <v>2604.5</v>
      </c>
      <c r="BM563">
        <v>618.6</v>
      </c>
      <c r="BO563">
        <v>2879.2</v>
      </c>
      <c r="BQ563">
        <v>1187.5</v>
      </c>
      <c r="BS563">
        <v>1718.9</v>
      </c>
      <c r="BU563">
        <v>10522</v>
      </c>
      <c r="BW563">
        <v>377.9</v>
      </c>
      <c r="BY563">
        <v>1351.1</v>
      </c>
      <c r="CA563">
        <v>221.3</v>
      </c>
      <c r="CC563">
        <v>54.6</v>
      </c>
      <c r="CE563">
        <v>28.4</v>
      </c>
      <c r="CG563">
        <v>246.6</v>
      </c>
      <c r="CI563">
        <v>896</v>
      </c>
      <c r="CK563">
        <v>6976.9</v>
      </c>
      <c r="CM563">
        <v>67.900000000000006</v>
      </c>
      <c r="CO563">
        <v>131.1</v>
      </c>
      <c r="CQ563">
        <v>390.3</v>
      </c>
      <c r="CS563">
        <v>295.10000000000002</v>
      </c>
      <c r="CU563">
        <v>1154.3</v>
      </c>
      <c r="CW563">
        <v>835.4</v>
      </c>
      <c r="CY563">
        <v>1148</v>
      </c>
      <c r="DA563">
        <v>4155.1000000000004</v>
      </c>
      <c r="DC563">
        <v>2.9</v>
      </c>
      <c r="DE563">
        <v>146.4</v>
      </c>
      <c r="DG563">
        <v>100.7</v>
      </c>
      <c r="DI563">
        <v>214.2</v>
      </c>
      <c r="DK563">
        <v>56.5</v>
      </c>
      <c r="DM563">
        <v>1017.9</v>
      </c>
      <c r="DO563">
        <v>344.7</v>
      </c>
      <c r="DQ563">
        <v>294.39999999999998</v>
      </c>
    </row>
    <row r="564" spans="1:121" x14ac:dyDescent="0.2">
      <c r="D564" t="s">
        <v>63</v>
      </c>
      <c r="G564">
        <v>3.8969999999999998E-2</v>
      </c>
      <c r="H564" t="s">
        <v>75</v>
      </c>
      <c r="I564">
        <v>1.434E-2</v>
      </c>
      <c r="J564" t="s">
        <v>75</v>
      </c>
      <c r="K564">
        <v>5.2080000000000001E-2</v>
      </c>
      <c r="L564" t="s">
        <v>75</v>
      </c>
      <c r="M564">
        <v>6.2649999999999997E-2</v>
      </c>
      <c r="N564" t="s">
        <v>75</v>
      </c>
      <c r="O564">
        <v>3.5999999999999999E-3</v>
      </c>
      <c r="P564" t="s">
        <v>75</v>
      </c>
      <c r="Q564">
        <v>4.3409999999999997E-2</v>
      </c>
      <c r="R564" t="s">
        <v>75</v>
      </c>
      <c r="S564">
        <v>5.6999999999999998E-4</v>
      </c>
      <c r="T564" t="s">
        <v>75</v>
      </c>
      <c r="U564">
        <v>1.022E-2</v>
      </c>
      <c r="V564" t="s">
        <v>75</v>
      </c>
      <c r="W564">
        <v>3.2419999999999997E-2</v>
      </c>
      <c r="X564" t="s">
        <v>75</v>
      </c>
      <c r="Y564">
        <v>1.864E-2</v>
      </c>
      <c r="Z564" t="s">
        <v>75</v>
      </c>
      <c r="AB564" t="s">
        <v>76</v>
      </c>
      <c r="AC564">
        <v>3.0128300000000001</v>
      </c>
      <c r="AD564" t="s">
        <v>75</v>
      </c>
      <c r="AE564">
        <v>0.67161000000000004</v>
      </c>
      <c r="AF564" t="s">
        <v>75</v>
      </c>
      <c r="AG564">
        <v>1.9000000000000001E-4</v>
      </c>
      <c r="AH564" t="s">
        <v>75</v>
      </c>
      <c r="AI564">
        <v>0.3115</v>
      </c>
      <c r="AJ564" t="s">
        <v>75</v>
      </c>
      <c r="AK564">
        <v>-5.1000000000000004E-4</v>
      </c>
      <c r="AL564" t="s">
        <v>75</v>
      </c>
      <c r="AM564">
        <v>-3.14E-3</v>
      </c>
      <c r="AN564" t="s">
        <v>75</v>
      </c>
      <c r="AO564">
        <v>2.3900000000000002E-3</v>
      </c>
      <c r="AP564" t="s">
        <v>75</v>
      </c>
      <c r="AQ564">
        <v>9.8999999999999999E-4</v>
      </c>
      <c r="AR564" t="s">
        <v>75</v>
      </c>
      <c r="AS564">
        <v>6.0000000000000002E-5</v>
      </c>
      <c r="AT564" t="s">
        <v>75</v>
      </c>
      <c r="AU564">
        <v>1.49E-3</v>
      </c>
      <c r="AV564" t="s">
        <v>75</v>
      </c>
      <c r="AW564">
        <v>-5.1000000000000004E-4</v>
      </c>
      <c r="AX564" t="s">
        <v>75</v>
      </c>
      <c r="AY564">
        <v>-2.6199999999999999E-3</v>
      </c>
      <c r="AZ564" t="s">
        <v>75</v>
      </c>
      <c r="BC564">
        <v>-2.0524800000000001</v>
      </c>
      <c r="BD564" t="s">
        <v>75</v>
      </c>
      <c r="BE564">
        <v>6.5599999999999999E-3</v>
      </c>
      <c r="BF564" t="s">
        <v>75</v>
      </c>
      <c r="BG564">
        <v>0.27451999999999999</v>
      </c>
      <c r="BH564" t="s">
        <v>75</v>
      </c>
      <c r="BI564">
        <v>0.28512999999999999</v>
      </c>
      <c r="BJ564" t="s">
        <v>75</v>
      </c>
      <c r="BK564">
        <v>0.26350000000000001</v>
      </c>
      <c r="BL564" t="s">
        <v>75</v>
      </c>
      <c r="BM564">
        <v>0.10621999999999999</v>
      </c>
      <c r="BN564" t="s">
        <v>75</v>
      </c>
      <c r="BO564">
        <v>10.976190000000001</v>
      </c>
      <c r="BP564" t="s">
        <v>75</v>
      </c>
      <c r="BQ564">
        <v>2.2851499999999998</v>
      </c>
      <c r="BR564" t="s">
        <v>75</v>
      </c>
      <c r="BS564">
        <v>3.7513899999999998</v>
      </c>
      <c r="BT564" t="s">
        <v>75</v>
      </c>
      <c r="BU564">
        <v>15.00085</v>
      </c>
      <c r="BV564" t="s">
        <v>75</v>
      </c>
      <c r="BW564">
        <v>16.618279999999999</v>
      </c>
      <c r="BX564" t="s">
        <v>75</v>
      </c>
      <c r="BY564">
        <v>16.456610000000001</v>
      </c>
      <c r="BZ564" t="s">
        <v>75</v>
      </c>
      <c r="CA564">
        <v>17.138870000000001</v>
      </c>
      <c r="CB564" t="s">
        <v>75</v>
      </c>
      <c r="CC564">
        <v>3.3509999999999998E-2</v>
      </c>
      <c r="CD564" t="s">
        <v>75</v>
      </c>
      <c r="CE564">
        <v>3.82E-3</v>
      </c>
      <c r="CF564" t="s">
        <v>75</v>
      </c>
      <c r="CG564">
        <v>0.57420000000000004</v>
      </c>
      <c r="CH564" t="s">
        <v>75</v>
      </c>
      <c r="CI564">
        <v>0.36915999999999999</v>
      </c>
      <c r="CJ564" t="s">
        <v>75</v>
      </c>
      <c r="CK564">
        <v>8.8676100000000009</v>
      </c>
      <c r="CL564" t="s">
        <v>75</v>
      </c>
      <c r="CM564">
        <v>1.4409999999999999E-2</v>
      </c>
      <c r="CN564" t="s">
        <v>75</v>
      </c>
      <c r="CO564">
        <v>0.45973000000000003</v>
      </c>
      <c r="CP564" t="s">
        <v>75</v>
      </c>
      <c r="CQ564">
        <v>1.20686</v>
      </c>
      <c r="CR564" t="s">
        <v>75</v>
      </c>
      <c r="CS564">
        <v>9.1650100000000005</v>
      </c>
      <c r="CT564" t="s">
        <v>75</v>
      </c>
      <c r="CV564" t="s">
        <v>76</v>
      </c>
      <c r="CW564">
        <v>3.1535000000000002</v>
      </c>
      <c r="CX564" t="s">
        <v>75</v>
      </c>
      <c r="DA564">
        <v>26.3733</v>
      </c>
      <c r="DB564" t="s">
        <v>75</v>
      </c>
      <c r="DC564">
        <v>-1.8000000000000001E-4</v>
      </c>
      <c r="DD564" t="s">
        <v>75</v>
      </c>
      <c r="DE564">
        <v>4.3391900000000003</v>
      </c>
      <c r="DF564" t="s">
        <v>75</v>
      </c>
      <c r="DG564">
        <v>2.3662000000000001</v>
      </c>
      <c r="DH564" t="s">
        <v>75</v>
      </c>
      <c r="DI564">
        <v>6.6102499999999997</v>
      </c>
      <c r="DJ564" t="s">
        <v>75</v>
      </c>
      <c r="DL564" t="s">
        <v>76</v>
      </c>
      <c r="DN564" t="s">
        <v>76</v>
      </c>
      <c r="DO564">
        <v>3.1858399999999998</v>
      </c>
      <c r="DP564" t="s">
        <v>75</v>
      </c>
    </row>
    <row r="565" spans="1:121" x14ac:dyDescent="0.2">
      <c r="D565" t="s">
        <v>64</v>
      </c>
      <c r="G565">
        <v>4.4400000000000004E-3</v>
      </c>
      <c r="H565" t="s">
        <v>75</v>
      </c>
      <c r="I565">
        <v>1.4E-3</v>
      </c>
      <c r="J565" t="s">
        <v>75</v>
      </c>
      <c r="K565">
        <v>9.3000000000000005E-4</v>
      </c>
      <c r="L565" t="s">
        <v>75</v>
      </c>
      <c r="M565">
        <v>8.9999999999999998E-4</v>
      </c>
      <c r="N565" t="s">
        <v>75</v>
      </c>
      <c r="O565">
        <v>1E-4</v>
      </c>
      <c r="P565" t="s">
        <v>75</v>
      </c>
      <c r="Q565">
        <v>5.9000000000000003E-4</v>
      </c>
      <c r="R565" t="s">
        <v>75</v>
      </c>
      <c r="S565">
        <v>6.0000000000000002E-5</v>
      </c>
      <c r="T565" t="s">
        <v>75</v>
      </c>
      <c r="U565">
        <v>5.5000000000000003E-4</v>
      </c>
      <c r="V565" t="s">
        <v>75</v>
      </c>
      <c r="W565">
        <v>3.8999999999999999E-4</v>
      </c>
      <c r="X565" t="s">
        <v>75</v>
      </c>
      <c r="Y565">
        <v>1.41E-3</v>
      </c>
      <c r="Z565" t="s">
        <v>75</v>
      </c>
      <c r="AC565">
        <v>3.5770000000000003E-2</v>
      </c>
      <c r="AD565" t="s">
        <v>75</v>
      </c>
      <c r="AE565">
        <v>1.6999999999999999E-3</v>
      </c>
      <c r="AF565" t="s">
        <v>75</v>
      </c>
      <c r="AG565">
        <v>1.8000000000000001E-4</v>
      </c>
      <c r="AH565" t="s">
        <v>75</v>
      </c>
      <c r="AI565">
        <v>2.2399999999999998E-3</v>
      </c>
      <c r="AJ565" t="s">
        <v>75</v>
      </c>
      <c r="AK565">
        <v>1.1E-4</v>
      </c>
      <c r="AL565" t="s">
        <v>75</v>
      </c>
      <c r="AM565">
        <v>4.0000000000000003E-5</v>
      </c>
      <c r="AN565" t="s">
        <v>75</v>
      </c>
      <c r="AO565">
        <v>2.4000000000000001E-4</v>
      </c>
      <c r="AP565" t="s">
        <v>75</v>
      </c>
      <c r="AQ565">
        <v>1.2E-4</v>
      </c>
      <c r="AR565" t="s">
        <v>75</v>
      </c>
      <c r="AS565">
        <v>6.9999999999999994E-5</v>
      </c>
      <c r="AT565" t="s">
        <v>75</v>
      </c>
      <c r="AU565">
        <v>3.0000000000000001E-5</v>
      </c>
      <c r="AV565" t="s">
        <v>75</v>
      </c>
      <c r="AW565">
        <v>4.0000000000000003E-5</v>
      </c>
      <c r="AX565" t="s">
        <v>75</v>
      </c>
      <c r="AY565">
        <v>4.0999999999999999E-4</v>
      </c>
      <c r="AZ565" t="s">
        <v>75</v>
      </c>
      <c r="BC565">
        <v>3.1E-4</v>
      </c>
      <c r="BD565" t="s">
        <v>75</v>
      </c>
      <c r="BE565">
        <v>1E-4</v>
      </c>
      <c r="BF565" t="s">
        <v>75</v>
      </c>
      <c r="BG565">
        <v>5.0400000000000002E-3</v>
      </c>
      <c r="BH565" t="s">
        <v>75</v>
      </c>
      <c r="BI565">
        <v>2.6800000000000001E-3</v>
      </c>
      <c r="BJ565" t="s">
        <v>75</v>
      </c>
      <c r="BK565">
        <v>3.79E-3</v>
      </c>
      <c r="BL565" t="s">
        <v>75</v>
      </c>
      <c r="BM565">
        <v>8.0000000000000004E-4</v>
      </c>
      <c r="BN565" t="s">
        <v>75</v>
      </c>
      <c r="BO565">
        <v>0.21126</v>
      </c>
      <c r="BP565" t="s">
        <v>75</v>
      </c>
      <c r="BQ565">
        <v>3.6999999999999998E-2</v>
      </c>
      <c r="BR565" t="s">
        <v>75</v>
      </c>
      <c r="BS565">
        <v>5.8299999999999998E-2</v>
      </c>
      <c r="BT565" t="s">
        <v>75</v>
      </c>
      <c r="BU565">
        <v>0.76710999999999996</v>
      </c>
      <c r="BV565" t="s">
        <v>75</v>
      </c>
      <c r="BW565">
        <v>0.42612</v>
      </c>
      <c r="BX565" t="s">
        <v>75</v>
      </c>
      <c r="BY565">
        <v>0.29437999999999998</v>
      </c>
      <c r="BZ565" t="s">
        <v>75</v>
      </c>
      <c r="CA565">
        <v>0.44292999999999999</v>
      </c>
      <c r="CB565" t="s">
        <v>75</v>
      </c>
      <c r="CC565">
        <v>1.1169999999999999E-2</v>
      </c>
      <c r="CD565" t="s">
        <v>75</v>
      </c>
      <c r="CE565">
        <v>5.4000000000000001E-4</v>
      </c>
      <c r="CF565" t="s">
        <v>75</v>
      </c>
      <c r="CG565">
        <v>1.0619999999999999E-2</v>
      </c>
      <c r="CH565" t="s">
        <v>75</v>
      </c>
      <c r="CI565">
        <v>1.5820000000000001E-2</v>
      </c>
      <c r="CJ565" t="s">
        <v>75</v>
      </c>
      <c r="CK565">
        <v>0.24753</v>
      </c>
      <c r="CL565" t="s">
        <v>75</v>
      </c>
      <c r="CM565">
        <v>8.0000000000000004E-4</v>
      </c>
      <c r="CN565" t="s">
        <v>75</v>
      </c>
      <c r="CO565">
        <v>3.9899999999999996E-3</v>
      </c>
      <c r="CP565" t="s">
        <v>75</v>
      </c>
      <c r="CQ565">
        <v>1.26E-2</v>
      </c>
      <c r="CR565" t="s">
        <v>75</v>
      </c>
      <c r="CS565">
        <v>0.23286000000000001</v>
      </c>
      <c r="CT565" t="s">
        <v>75</v>
      </c>
      <c r="CW565">
        <v>9.5060000000000006E-2</v>
      </c>
      <c r="CX565" t="s">
        <v>75</v>
      </c>
      <c r="DA565">
        <v>0.39550999999999997</v>
      </c>
      <c r="DB565" t="s">
        <v>75</v>
      </c>
      <c r="DC565">
        <v>1.5399999999999999E-3</v>
      </c>
      <c r="DD565" t="s">
        <v>75</v>
      </c>
      <c r="DE565">
        <v>9.6939999999999998E-2</v>
      </c>
      <c r="DF565" t="s">
        <v>75</v>
      </c>
      <c r="DG565">
        <v>0.57684999999999997</v>
      </c>
      <c r="DH565" t="s">
        <v>75</v>
      </c>
      <c r="DI565">
        <v>0.43776999999999999</v>
      </c>
      <c r="DJ565" t="s">
        <v>75</v>
      </c>
      <c r="DO565">
        <v>0.11427</v>
      </c>
      <c r="DP565" t="s">
        <v>75</v>
      </c>
    </row>
    <row r="566" spans="1:121" x14ac:dyDescent="0.2">
      <c r="D566" t="s">
        <v>65</v>
      </c>
      <c r="G566" t="s">
        <v>66</v>
      </c>
      <c r="I566" t="s">
        <v>66</v>
      </c>
      <c r="K566" t="s">
        <v>66</v>
      </c>
      <c r="M566" t="s">
        <v>66</v>
      </c>
      <c r="O566" t="s">
        <v>66</v>
      </c>
      <c r="Q566" t="s">
        <v>66</v>
      </c>
      <c r="S566" t="s">
        <v>66</v>
      </c>
      <c r="U566" t="s">
        <v>66</v>
      </c>
      <c r="W566" t="s">
        <v>66</v>
      </c>
      <c r="Y566" t="s">
        <v>66</v>
      </c>
      <c r="AA566" t="s">
        <v>66</v>
      </c>
      <c r="AC566" t="s">
        <v>66</v>
      </c>
      <c r="AE566" t="s">
        <v>66</v>
      </c>
      <c r="AG566" t="s">
        <v>66</v>
      </c>
      <c r="AI566" t="s">
        <v>66</v>
      </c>
      <c r="AK566" t="s">
        <v>66</v>
      </c>
      <c r="AM566" t="s">
        <v>66</v>
      </c>
      <c r="AO566" t="s">
        <v>66</v>
      </c>
      <c r="AQ566" t="s">
        <v>66</v>
      </c>
      <c r="AS566" t="s">
        <v>66</v>
      </c>
      <c r="AU566" t="s">
        <v>66</v>
      </c>
      <c r="AW566" t="s">
        <v>66</v>
      </c>
      <c r="AY566" t="s">
        <v>66</v>
      </c>
      <c r="BA566" t="s">
        <v>66</v>
      </c>
      <c r="BC566" t="s">
        <v>66</v>
      </c>
      <c r="BE566" t="s">
        <v>66</v>
      </c>
      <c r="BG566" t="s">
        <v>66</v>
      </c>
      <c r="BI566" t="s">
        <v>66</v>
      </c>
      <c r="BK566" t="s">
        <v>66</v>
      </c>
      <c r="BM566" t="s">
        <v>66</v>
      </c>
      <c r="BO566" t="s">
        <v>66</v>
      </c>
      <c r="BQ566" t="s">
        <v>66</v>
      </c>
      <c r="BS566" t="s">
        <v>66</v>
      </c>
      <c r="BU566" t="s">
        <v>66</v>
      </c>
      <c r="BW566" t="s">
        <v>66</v>
      </c>
      <c r="BY566" t="s">
        <v>66</v>
      </c>
      <c r="CA566" t="s">
        <v>66</v>
      </c>
      <c r="CC566" t="s">
        <v>66</v>
      </c>
      <c r="CE566" t="s">
        <v>66</v>
      </c>
      <c r="CG566" t="s">
        <v>66</v>
      </c>
      <c r="CI566" t="s">
        <v>66</v>
      </c>
      <c r="CK566" t="s">
        <v>66</v>
      </c>
      <c r="CM566" t="s">
        <v>66</v>
      </c>
      <c r="CO566" t="s">
        <v>66</v>
      </c>
      <c r="CQ566" t="s">
        <v>66</v>
      </c>
      <c r="CS566" t="s">
        <v>66</v>
      </c>
      <c r="CU566" t="s">
        <v>66</v>
      </c>
      <c r="CW566" t="s">
        <v>66</v>
      </c>
      <c r="CY566" t="s">
        <v>66</v>
      </c>
      <c r="DA566" t="s">
        <v>66</v>
      </c>
      <c r="DC566" t="s">
        <v>66</v>
      </c>
      <c r="DE566" t="s">
        <v>66</v>
      </c>
      <c r="DG566" t="s">
        <v>66</v>
      </c>
      <c r="DI566" t="s">
        <v>66</v>
      </c>
      <c r="DK566" t="s">
        <v>66</v>
      </c>
      <c r="DM566" t="s">
        <v>66</v>
      </c>
      <c r="DO566" t="s">
        <v>66</v>
      </c>
      <c r="DQ566" t="s">
        <v>66</v>
      </c>
    </row>
    <row r="567" spans="1:121" x14ac:dyDescent="0.2">
      <c r="A567" t="s">
        <v>683</v>
      </c>
      <c r="D567" t="s">
        <v>60</v>
      </c>
      <c r="E567" t="s">
        <v>61</v>
      </c>
      <c r="G567">
        <v>9119</v>
      </c>
      <c r="I567">
        <v>641.70000000000005</v>
      </c>
      <c r="K567">
        <v>50405.5</v>
      </c>
      <c r="M567">
        <v>296906.5</v>
      </c>
      <c r="O567">
        <v>1577.2</v>
      </c>
      <c r="Q567">
        <v>2598.1</v>
      </c>
      <c r="S567">
        <v>1387.4</v>
      </c>
      <c r="U567">
        <v>1036</v>
      </c>
      <c r="W567">
        <v>8359.7999999999993</v>
      </c>
      <c r="Y567">
        <v>1373.9</v>
      </c>
      <c r="AA567">
        <v>2903041</v>
      </c>
      <c r="AC567">
        <v>811274</v>
      </c>
      <c r="AE567">
        <v>154830.29999999999</v>
      </c>
      <c r="AG567">
        <v>13552.6</v>
      </c>
      <c r="AI567">
        <v>158466.1</v>
      </c>
      <c r="AK567">
        <v>4169.8</v>
      </c>
      <c r="AM567">
        <v>5972.1</v>
      </c>
      <c r="AO567">
        <v>535.6</v>
      </c>
      <c r="AQ567">
        <v>363.6</v>
      </c>
      <c r="AS567">
        <v>328.2</v>
      </c>
      <c r="AU567">
        <v>246.9</v>
      </c>
      <c r="AW567">
        <v>210.4</v>
      </c>
      <c r="AY567">
        <v>1902.5</v>
      </c>
      <c r="BA567">
        <v>659205.4</v>
      </c>
      <c r="BC567">
        <v>2544.9</v>
      </c>
      <c r="BE567">
        <v>4213.6000000000004</v>
      </c>
      <c r="BG567">
        <v>75320.3</v>
      </c>
      <c r="BI567">
        <v>63396.800000000003</v>
      </c>
      <c r="BK567">
        <v>158799.1</v>
      </c>
      <c r="BM567">
        <v>22165.599999999999</v>
      </c>
      <c r="BO567">
        <v>718530.5</v>
      </c>
      <c r="BQ567">
        <v>297432.5</v>
      </c>
      <c r="BS567">
        <v>213297.3</v>
      </c>
      <c r="BU567">
        <v>717234.4</v>
      </c>
      <c r="BW567">
        <v>52396.2</v>
      </c>
      <c r="BY567">
        <v>126602.7</v>
      </c>
      <c r="CA567">
        <v>66271</v>
      </c>
      <c r="CC567">
        <v>557.5</v>
      </c>
      <c r="CE567">
        <v>405.6</v>
      </c>
      <c r="CG567">
        <v>25966.799999999999</v>
      </c>
      <c r="CI567">
        <v>80942.600000000006</v>
      </c>
      <c r="CK567">
        <v>471301.7</v>
      </c>
      <c r="CM567">
        <v>2083.1999999999998</v>
      </c>
      <c r="CO567">
        <v>9592.2000000000007</v>
      </c>
      <c r="CQ567">
        <v>21358.1</v>
      </c>
      <c r="CS567">
        <v>35702.300000000003</v>
      </c>
      <c r="CU567">
        <v>249544.7</v>
      </c>
      <c r="CW567">
        <v>82037.3</v>
      </c>
      <c r="CY567">
        <v>57449.3</v>
      </c>
      <c r="DA567">
        <v>485479.9</v>
      </c>
      <c r="DC567">
        <v>1.1000000000000001</v>
      </c>
      <c r="DE567">
        <v>21279.5</v>
      </c>
      <c r="DG567">
        <v>218.8</v>
      </c>
      <c r="DI567">
        <v>2095.1</v>
      </c>
      <c r="DK567">
        <v>683.9</v>
      </c>
      <c r="DM567">
        <v>62868.6</v>
      </c>
      <c r="DO567">
        <v>18634</v>
      </c>
      <c r="DQ567">
        <v>13472.5</v>
      </c>
    </row>
    <row r="568" spans="1:121" x14ac:dyDescent="0.2">
      <c r="D568" t="s">
        <v>62</v>
      </c>
      <c r="E568" t="s">
        <v>61</v>
      </c>
      <c r="G568">
        <v>971.8</v>
      </c>
      <c r="I568">
        <v>134.9</v>
      </c>
      <c r="K568">
        <v>1920.6</v>
      </c>
      <c r="M568">
        <v>38326.199999999997</v>
      </c>
      <c r="O568">
        <v>429.8</v>
      </c>
      <c r="Q568">
        <v>461.6</v>
      </c>
      <c r="S568">
        <v>125.2</v>
      </c>
      <c r="U568">
        <v>70.3</v>
      </c>
      <c r="W568">
        <v>154.30000000000001</v>
      </c>
      <c r="Y568">
        <v>37.299999999999997</v>
      </c>
      <c r="AA568">
        <v>19913.400000000001</v>
      </c>
      <c r="AC568">
        <v>18160.099999999999</v>
      </c>
      <c r="AE568">
        <v>1212</v>
      </c>
      <c r="AG568">
        <v>112.8</v>
      </c>
      <c r="AI568">
        <v>2127.3000000000002</v>
      </c>
      <c r="AK568">
        <v>87.6</v>
      </c>
      <c r="AM568">
        <v>226</v>
      </c>
      <c r="AO568">
        <v>92.3</v>
      </c>
      <c r="AQ568">
        <v>51.6</v>
      </c>
      <c r="AS568">
        <v>37.9</v>
      </c>
      <c r="AU568">
        <v>27.1</v>
      </c>
      <c r="AW568">
        <v>39.299999999999997</v>
      </c>
      <c r="AY568">
        <v>70</v>
      </c>
      <c r="BA568">
        <v>19450</v>
      </c>
      <c r="BC568">
        <v>82.6</v>
      </c>
      <c r="BE568">
        <v>25.6</v>
      </c>
      <c r="BG568">
        <v>484.3</v>
      </c>
      <c r="BI568">
        <v>113.7</v>
      </c>
      <c r="BK568">
        <v>1321.7</v>
      </c>
      <c r="BM568">
        <v>174.7</v>
      </c>
      <c r="BO568">
        <v>5849.9</v>
      </c>
      <c r="BQ568">
        <v>2497.8000000000002</v>
      </c>
      <c r="BS568">
        <v>3013.7</v>
      </c>
      <c r="BU568">
        <v>2506.1999999999998</v>
      </c>
      <c r="BW568">
        <v>598.9</v>
      </c>
      <c r="BY568">
        <v>622.6</v>
      </c>
      <c r="CA568">
        <v>84</v>
      </c>
      <c r="CC568">
        <v>44.4</v>
      </c>
      <c r="CE568">
        <v>52.8</v>
      </c>
      <c r="CG568">
        <v>440.1</v>
      </c>
      <c r="CI568">
        <v>271.89999999999998</v>
      </c>
      <c r="CK568">
        <v>2022.4</v>
      </c>
      <c r="CM568">
        <v>94.7</v>
      </c>
      <c r="CO568">
        <v>129.6</v>
      </c>
      <c r="CQ568">
        <v>79.5</v>
      </c>
      <c r="CS568">
        <v>488.2</v>
      </c>
      <c r="CU568">
        <v>524.4</v>
      </c>
      <c r="CW568">
        <v>977.1</v>
      </c>
      <c r="CY568">
        <v>694.6</v>
      </c>
      <c r="DA568">
        <v>2670.5</v>
      </c>
      <c r="DC568">
        <v>1</v>
      </c>
      <c r="DE568">
        <v>384.1</v>
      </c>
      <c r="DG568">
        <v>37.299999999999997</v>
      </c>
      <c r="DI568">
        <v>198.3</v>
      </c>
      <c r="DK568">
        <v>71.8</v>
      </c>
      <c r="DM568">
        <v>656.3</v>
      </c>
      <c r="DO568">
        <v>220.4</v>
      </c>
      <c r="DQ568">
        <v>275.8</v>
      </c>
    </row>
    <row r="569" spans="1:121" x14ac:dyDescent="0.2">
      <c r="D569" t="s">
        <v>63</v>
      </c>
      <c r="G569">
        <v>4.0300000000000002E-2</v>
      </c>
      <c r="H569" t="s">
        <v>75</v>
      </c>
      <c r="I569">
        <v>1.0410000000000001E-2</v>
      </c>
      <c r="J569" t="s">
        <v>75</v>
      </c>
      <c r="K569">
        <v>6.2530000000000002E-2</v>
      </c>
      <c r="L569" t="s">
        <v>75</v>
      </c>
      <c r="M569">
        <v>0.27667000000000003</v>
      </c>
      <c r="N569" t="s">
        <v>75</v>
      </c>
      <c r="O569">
        <v>4.2900000000000004E-3</v>
      </c>
      <c r="P569" t="s">
        <v>75</v>
      </c>
      <c r="Q569">
        <v>3.8309999999999997E-2</v>
      </c>
      <c r="R569" t="s">
        <v>75</v>
      </c>
      <c r="S569">
        <v>5.5999999999999995E-4</v>
      </c>
      <c r="T569" t="s">
        <v>75</v>
      </c>
      <c r="U569">
        <v>1.005E-2</v>
      </c>
      <c r="V569" t="s">
        <v>75</v>
      </c>
      <c r="W569">
        <v>2.18E-2</v>
      </c>
      <c r="X569" t="s">
        <v>75</v>
      </c>
      <c r="Y569">
        <v>2.1000000000000001E-2</v>
      </c>
      <c r="Z569" t="s">
        <v>75</v>
      </c>
      <c r="AB569" t="s">
        <v>76</v>
      </c>
      <c r="AC569">
        <v>3.0127000000000002</v>
      </c>
      <c r="AD569" t="s">
        <v>75</v>
      </c>
      <c r="AE569">
        <v>0.63592000000000004</v>
      </c>
      <c r="AF569" t="s">
        <v>75</v>
      </c>
      <c r="AG569">
        <v>-5.4099999999999999E-3</v>
      </c>
      <c r="AH569" t="s">
        <v>75</v>
      </c>
      <c r="AI569">
        <v>1.03088</v>
      </c>
      <c r="AJ569" t="s">
        <v>75</v>
      </c>
      <c r="AK569">
        <v>8.0000000000000004E-4</v>
      </c>
      <c r="AL569" t="s">
        <v>75</v>
      </c>
      <c r="AM569">
        <v>-1.07E-3</v>
      </c>
      <c r="AN569" t="s">
        <v>75</v>
      </c>
      <c r="AO569">
        <v>3.4399999999999999E-3</v>
      </c>
      <c r="AP569" t="s">
        <v>75</v>
      </c>
      <c r="AQ569">
        <v>6.4000000000000005E-4</v>
      </c>
      <c r="AR569" t="s">
        <v>75</v>
      </c>
      <c r="AS569">
        <v>4.6000000000000001E-4</v>
      </c>
      <c r="AT569" t="s">
        <v>75</v>
      </c>
      <c r="AU569">
        <v>1.5200000000000001E-3</v>
      </c>
      <c r="AV569" t="s">
        <v>75</v>
      </c>
      <c r="AW569">
        <v>-2.7999999999999998E-4</v>
      </c>
      <c r="AX569" t="s">
        <v>75</v>
      </c>
      <c r="AY569">
        <v>-4.0499999999999998E-3</v>
      </c>
      <c r="AZ569" t="s">
        <v>75</v>
      </c>
      <c r="BC569">
        <v>-2.0520700000000001</v>
      </c>
      <c r="BD569" t="s">
        <v>75</v>
      </c>
      <c r="BE569">
        <v>6.7099999999999998E-3</v>
      </c>
      <c r="BF569" t="s">
        <v>75</v>
      </c>
      <c r="BG569">
        <v>0.184</v>
      </c>
      <c r="BH569" t="s">
        <v>75</v>
      </c>
      <c r="BI569">
        <v>0.19947999999999999</v>
      </c>
      <c r="BJ569" t="s">
        <v>75</v>
      </c>
      <c r="BK569">
        <v>0.17727000000000001</v>
      </c>
      <c r="BL569" t="s">
        <v>75</v>
      </c>
      <c r="BM569">
        <v>1.1440000000000001E-2</v>
      </c>
      <c r="BN569" t="s">
        <v>75</v>
      </c>
      <c r="BO569">
        <v>14.735720000000001</v>
      </c>
      <c r="BP569" t="s">
        <v>75</v>
      </c>
      <c r="BQ569">
        <v>10.028460000000001</v>
      </c>
      <c r="BR569" t="s">
        <v>75</v>
      </c>
      <c r="BS569">
        <v>4.5027100000000004</v>
      </c>
      <c r="BT569" t="s">
        <v>75</v>
      </c>
      <c r="BU569">
        <v>10.31836</v>
      </c>
      <c r="BV569" t="s">
        <v>75</v>
      </c>
      <c r="BW569">
        <v>22.834029999999998</v>
      </c>
      <c r="BX569" t="s">
        <v>75</v>
      </c>
      <c r="BY569">
        <v>28.786100000000001</v>
      </c>
      <c r="BZ569" t="s">
        <v>75</v>
      </c>
      <c r="CA569">
        <v>33.249389999999998</v>
      </c>
      <c r="CB569" t="s">
        <v>75</v>
      </c>
      <c r="CC569">
        <v>0.10927000000000001</v>
      </c>
      <c r="CD569" t="s">
        <v>75</v>
      </c>
      <c r="CE569">
        <v>4.6299999999999996E-3</v>
      </c>
      <c r="CF569" t="s">
        <v>75</v>
      </c>
      <c r="CG569">
        <v>0.44206000000000001</v>
      </c>
      <c r="CH569" t="s">
        <v>75</v>
      </c>
      <c r="CI569">
        <v>1.0673999999999999</v>
      </c>
      <c r="CJ569" t="s">
        <v>75</v>
      </c>
      <c r="CK569">
        <v>6.5968999999999998</v>
      </c>
      <c r="CL569" t="s">
        <v>75</v>
      </c>
      <c r="CM569">
        <v>2.3709999999999998E-2</v>
      </c>
      <c r="CN569" t="s">
        <v>75</v>
      </c>
      <c r="CO569">
        <v>0.57335000000000003</v>
      </c>
      <c r="CP569" t="s">
        <v>75</v>
      </c>
      <c r="CQ569">
        <v>0.64322000000000001</v>
      </c>
      <c r="CR569" t="s">
        <v>75</v>
      </c>
      <c r="CS569">
        <v>9.5957799999999995</v>
      </c>
      <c r="CT569" t="s">
        <v>75</v>
      </c>
      <c r="CV569" t="s">
        <v>76</v>
      </c>
      <c r="CW569">
        <v>3.1351100000000001</v>
      </c>
      <c r="CX569" t="s">
        <v>75</v>
      </c>
      <c r="DA569">
        <v>34.806780000000003</v>
      </c>
      <c r="DB569" t="s">
        <v>75</v>
      </c>
      <c r="DC569">
        <v>-4.8000000000000001E-4</v>
      </c>
      <c r="DD569" t="s">
        <v>75</v>
      </c>
      <c r="DE569">
        <v>11.641260000000001</v>
      </c>
      <c r="DF569" t="s">
        <v>75</v>
      </c>
      <c r="DG569">
        <v>1.3292299999999999</v>
      </c>
      <c r="DH569" t="s">
        <v>75</v>
      </c>
      <c r="DI569">
        <v>4.00922</v>
      </c>
      <c r="DJ569" t="s">
        <v>75</v>
      </c>
      <c r="DL569" t="s">
        <v>76</v>
      </c>
      <c r="DN569" t="s">
        <v>76</v>
      </c>
      <c r="DO569">
        <v>3.3285399999999998</v>
      </c>
      <c r="DP569" t="s">
        <v>75</v>
      </c>
    </row>
    <row r="570" spans="1:121" x14ac:dyDescent="0.2">
      <c r="D570" t="s">
        <v>64</v>
      </c>
      <c r="G570">
        <v>9.8899999999999995E-3</v>
      </c>
      <c r="H570" t="s">
        <v>75</v>
      </c>
      <c r="I570">
        <v>4.79E-3</v>
      </c>
      <c r="J570" t="s">
        <v>75</v>
      </c>
      <c r="K570">
        <v>4.4099999999999999E-3</v>
      </c>
      <c r="L570" t="s">
        <v>75</v>
      </c>
      <c r="M570">
        <v>4.6109999999999998E-2</v>
      </c>
      <c r="N570" t="s">
        <v>75</v>
      </c>
      <c r="O570">
        <v>3.8000000000000002E-4</v>
      </c>
      <c r="P570" t="s">
        <v>75</v>
      </c>
      <c r="Q570">
        <v>3.4299999999999999E-3</v>
      </c>
      <c r="R570" t="s">
        <v>75</v>
      </c>
      <c r="S570">
        <v>9.0000000000000006E-5</v>
      </c>
      <c r="T570" t="s">
        <v>75</v>
      </c>
      <c r="U570">
        <v>2.7E-4</v>
      </c>
      <c r="V570" t="s">
        <v>75</v>
      </c>
      <c r="W570">
        <v>8.8000000000000003E-4</v>
      </c>
      <c r="X570" t="s">
        <v>75</v>
      </c>
      <c r="Y570">
        <v>1.1900000000000001E-3</v>
      </c>
      <c r="Z570" t="s">
        <v>75</v>
      </c>
      <c r="AC570">
        <v>0.15631</v>
      </c>
      <c r="AD570" t="s">
        <v>75</v>
      </c>
      <c r="AE570">
        <v>1.9109999999999999E-2</v>
      </c>
      <c r="AF570" t="s">
        <v>75</v>
      </c>
      <c r="AG570">
        <v>4.2000000000000002E-4</v>
      </c>
      <c r="AH570" t="s">
        <v>75</v>
      </c>
      <c r="AI570">
        <v>4.4839999999999998E-2</v>
      </c>
      <c r="AJ570" t="s">
        <v>75</v>
      </c>
      <c r="AK570">
        <v>1.2E-4</v>
      </c>
      <c r="AL570" t="s">
        <v>75</v>
      </c>
      <c r="AM570">
        <v>2.9999999999999997E-4</v>
      </c>
      <c r="AN570" t="s">
        <v>75</v>
      </c>
      <c r="AO570">
        <v>3.6000000000000002E-4</v>
      </c>
      <c r="AP570" t="s">
        <v>75</v>
      </c>
      <c r="AQ570">
        <v>2.2000000000000001E-4</v>
      </c>
      <c r="AR570" t="s">
        <v>75</v>
      </c>
      <c r="AS570">
        <v>1.2999999999999999E-4</v>
      </c>
      <c r="AT570" t="s">
        <v>75</v>
      </c>
      <c r="AU570">
        <v>1.0000000000000001E-5</v>
      </c>
      <c r="AV570" t="s">
        <v>75</v>
      </c>
      <c r="AW570">
        <v>1E-4</v>
      </c>
      <c r="AX570" t="s">
        <v>75</v>
      </c>
      <c r="AY570">
        <v>2.9999999999999997E-4</v>
      </c>
      <c r="AZ570" t="s">
        <v>75</v>
      </c>
      <c r="BC570">
        <v>4.8999999999999998E-4</v>
      </c>
      <c r="BD570" t="s">
        <v>75</v>
      </c>
      <c r="BE570">
        <v>1.2E-4</v>
      </c>
      <c r="BF570" t="s">
        <v>75</v>
      </c>
      <c r="BG570">
        <v>5.2399999999999999E-3</v>
      </c>
      <c r="BH570" t="s">
        <v>75</v>
      </c>
      <c r="BI570">
        <v>6.1000000000000004E-3</v>
      </c>
      <c r="BJ570" t="s">
        <v>75</v>
      </c>
      <c r="BK570">
        <v>5.3400000000000001E-3</v>
      </c>
      <c r="BL570" t="s">
        <v>75</v>
      </c>
      <c r="BM570">
        <v>7.1000000000000002E-4</v>
      </c>
      <c r="BN570" t="s">
        <v>75</v>
      </c>
      <c r="BO570">
        <v>0.29802000000000001</v>
      </c>
      <c r="BP570" t="s">
        <v>75</v>
      </c>
      <c r="BQ570">
        <v>0.1759</v>
      </c>
      <c r="BR570" t="s">
        <v>75</v>
      </c>
      <c r="BS570">
        <v>0.12825</v>
      </c>
      <c r="BT570" t="s">
        <v>75</v>
      </c>
      <c r="BU570">
        <v>0.44435999999999998</v>
      </c>
      <c r="BV570" t="s">
        <v>75</v>
      </c>
      <c r="BW570">
        <v>0.45049</v>
      </c>
      <c r="BX570" t="s">
        <v>75</v>
      </c>
      <c r="BY570">
        <v>0.57606000000000002</v>
      </c>
      <c r="BZ570" t="s">
        <v>75</v>
      </c>
      <c r="CA570">
        <v>0.48505999999999999</v>
      </c>
      <c r="CB570" t="s">
        <v>75</v>
      </c>
      <c r="CC570">
        <v>1.0970000000000001E-2</v>
      </c>
      <c r="CD570" t="s">
        <v>75</v>
      </c>
      <c r="CE570">
        <v>8.3000000000000001E-4</v>
      </c>
      <c r="CF570" t="s">
        <v>75</v>
      </c>
      <c r="CG570">
        <v>1.218E-2</v>
      </c>
      <c r="CH570" t="s">
        <v>75</v>
      </c>
      <c r="CI570">
        <v>1.04E-2</v>
      </c>
      <c r="CJ570" t="s">
        <v>75</v>
      </c>
      <c r="CK570">
        <v>0.10203</v>
      </c>
      <c r="CL570" t="s">
        <v>75</v>
      </c>
      <c r="CM570">
        <v>1.0399999999999999E-3</v>
      </c>
      <c r="CN570" t="s">
        <v>75</v>
      </c>
      <c r="CO570">
        <v>1.34E-2</v>
      </c>
      <c r="CP570" t="s">
        <v>75</v>
      </c>
      <c r="CQ570">
        <v>1.009E-2</v>
      </c>
      <c r="CR570" t="s">
        <v>75</v>
      </c>
      <c r="CS570">
        <v>0.2296</v>
      </c>
      <c r="CT570" t="s">
        <v>75</v>
      </c>
      <c r="CW570">
        <v>2.6919999999999999E-2</v>
      </c>
      <c r="CX570" t="s">
        <v>75</v>
      </c>
      <c r="DA570">
        <v>0.89619000000000004</v>
      </c>
      <c r="DB570" t="s">
        <v>75</v>
      </c>
      <c r="DC570">
        <v>5.1000000000000004E-4</v>
      </c>
      <c r="DD570" t="s">
        <v>75</v>
      </c>
      <c r="DE570">
        <v>0.42903999999999998</v>
      </c>
      <c r="DF570" t="s">
        <v>75</v>
      </c>
      <c r="DG570">
        <v>0.22005</v>
      </c>
      <c r="DH570" t="s">
        <v>75</v>
      </c>
      <c r="DI570">
        <v>0.33323000000000003</v>
      </c>
      <c r="DJ570" t="s">
        <v>75</v>
      </c>
      <c r="DO570">
        <v>6.9389999999999993E-2</v>
      </c>
      <c r="DP570" t="s">
        <v>75</v>
      </c>
    </row>
    <row r="571" spans="1:121" x14ac:dyDescent="0.2">
      <c r="D571" t="s">
        <v>65</v>
      </c>
      <c r="G571" t="s">
        <v>66</v>
      </c>
      <c r="I571" t="s">
        <v>66</v>
      </c>
      <c r="K571" t="s">
        <v>66</v>
      </c>
      <c r="M571" t="s">
        <v>66</v>
      </c>
      <c r="O571" t="s">
        <v>66</v>
      </c>
      <c r="Q571" t="s">
        <v>66</v>
      </c>
      <c r="S571" t="s">
        <v>66</v>
      </c>
      <c r="U571" t="s">
        <v>66</v>
      </c>
      <c r="W571" t="s">
        <v>66</v>
      </c>
      <c r="Y571" t="s">
        <v>66</v>
      </c>
      <c r="AA571" t="s">
        <v>66</v>
      </c>
      <c r="AC571" t="s">
        <v>66</v>
      </c>
      <c r="AE571" t="s">
        <v>66</v>
      </c>
      <c r="AG571" t="s">
        <v>66</v>
      </c>
      <c r="AI571" t="s">
        <v>66</v>
      </c>
      <c r="AK571" t="s">
        <v>66</v>
      </c>
      <c r="AM571" t="s">
        <v>66</v>
      </c>
      <c r="AO571" t="s">
        <v>66</v>
      </c>
      <c r="AQ571" t="s">
        <v>66</v>
      </c>
      <c r="AS571" t="s">
        <v>66</v>
      </c>
      <c r="AU571" t="s">
        <v>66</v>
      </c>
      <c r="AW571" t="s">
        <v>66</v>
      </c>
      <c r="AY571" t="s">
        <v>66</v>
      </c>
      <c r="BA571" t="s">
        <v>66</v>
      </c>
      <c r="BC571" t="s">
        <v>66</v>
      </c>
      <c r="BE571" t="s">
        <v>66</v>
      </c>
      <c r="BG571" t="s">
        <v>66</v>
      </c>
      <c r="BI571" t="s">
        <v>66</v>
      </c>
      <c r="BK571" t="s">
        <v>66</v>
      </c>
      <c r="BM571" t="s">
        <v>66</v>
      </c>
      <c r="BO571" t="s">
        <v>66</v>
      </c>
      <c r="BQ571" t="s">
        <v>66</v>
      </c>
      <c r="BS571" t="s">
        <v>66</v>
      </c>
      <c r="BU571" t="s">
        <v>66</v>
      </c>
      <c r="BW571" t="s">
        <v>66</v>
      </c>
      <c r="BY571" t="s">
        <v>66</v>
      </c>
      <c r="CA571" t="s">
        <v>66</v>
      </c>
      <c r="CC571" t="s">
        <v>66</v>
      </c>
      <c r="CE571" t="s">
        <v>66</v>
      </c>
      <c r="CG571" t="s">
        <v>66</v>
      </c>
      <c r="CI571" t="s">
        <v>66</v>
      </c>
      <c r="CK571" t="s">
        <v>66</v>
      </c>
      <c r="CM571" t="s">
        <v>66</v>
      </c>
      <c r="CO571" t="s">
        <v>66</v>
      </c>
      <c r="CQ571" t="s">
        <v>66</v>
      </c>
      <c r="CS571" t="s">
        <v>66</v>
      </c>
      <c r="CU571" t="s">
        <v>66</v>
      </c>
      <c r="CW571" t="s">
        <v>66</v>
      </c>
      <c r="CY571" t="s">
        <v>66</v>
      </c>
      <c r="DA571" t="s">
        <v>66</v>
      </c>
      <c r="DC571" t="s">
        <v>66</v>
      </c>
      <c r="DE571" t="s">
        <v>66</v>
      </c>
      <c r="DG571" t="s">
        <v>66</v>
      </c>
      <c r="DI571" t="s">
        <v>66</v>
      </c>
      <c r="DK571" t="s">
        <v>66</v>
      </c>
      <c r="DM571" t="s">
        <v>66</v>
      </c>
      <c r="DO571" t="s">
        <v>66</v>
      </c>
      <c r="DQ571" t="s">
        <v>66</v>
      </c>
    </row>
    <row r="572" spans="1:121" x14ac:dyDescent="0.2">
      <c r="A572" t="s">
        <v>684</v>
      </c>
      <c r="D572" t="s">
        <v>60</v>
      </c>
      <c r="E572" t="s">
        <v>61</v>
      </c>
      <c r="G572">
        <v>9523.1</v>
      </c>
      <c r="I572">
        <v>743.5</v>
      </c>
      <c r="K572">
        <v>129846.8</v>
      </c>
      <c r="M572">
        <v>920430.6</v>
      </c>
      <c r="O572">
        <v>4001.9</v>
      </c>
      <c r="Q572">
        <v>14441.6</v>
      </c>
      <c r="S572">
        <v>1457.3</v>
      </c>
      <c r="U572">
        <v>1113.2</v>
      </c>
      <c r="W572">
        <v>9782.7999999999993</v>
      </c>
      <c r="Y572">
        <v>3200.9</v>
      </c>
      <c r="AA572">
        <v>2987198</v>
      </c>
      <c r="AC572">
        <v>472264.8</v>
      </c>
      <c r="AE572">
        <v>330081.40000000002</v>
      </c>
      <c r="AG572">
        <v>12212.8</v>
      </c>
      <c r="AI572">
        <v>476078.7</v>
      </c>
      <c r="AK572">
        <v>10166.799999999999</v>
      </c>
      <c r="AM572">
        <v>12833.6</v>
      </c>
      <c r="AO572">
        <v>931.8</v>
      </c>
      <c r="AQ572">
        <v>455.3</v>
      </c>
      <c r="AS572">
        <v>343.8</v>
      </c>
      <c r="AU572">
        <v>299</v>
      </c>
      <c r="AW572">
        <v>289.60000000000002</v>
      </c>
      <c r="AY572">
        <v>4441</v>
      </c>
      <c r="BA572">
        <v>663803.5</v>
      </c>
      <c r="BC572">
        <v>2233.1</v>
      </c>
      <c r="BE572">
        <v>11043.1</v>
      </c>
      <c r="BG572">
        <v>220765.1</v>
      </c>
      <c r="BI572">
        <v>182215.2</v>
      </c>
      <c r="BK572">
        <v>454682.5</v>
      </c>
      <c r="BM572">
        <v>67296.2</v>
      </c>
      <c r="BO572">
        <v>763005.6</v>
      </c>
      <c r="BQ572">
        <v>511935.7</v>
      </c>
      <c r="BS572">
        <v>1537157</v>
      </c>
      <c r="BU572">
        <v>796921.9</v>
      </c>
      <c r="BW572">
        <v>12783.3</v>
      </c>
      <c r="BY572">
        <v>301184.90000000002</v>
      </c>
      <c r="CA572">
        <v>145816.5</v>
      </c>
      <c r="CC572">
        <v>1673.4</v>
      </c>
      <c r="CE572">
        <v>1563.1</v>
      </c>
      <c r="CG572">
        <v>34042.6</v>
      </c>
      <c r="CI572">
        <v>244138.5</v>
      </c>
      <c r="CK572">
        <v>1213063.3999999999</v>
      </c>
      <c r="CM572">
        <v>9121.2000000000007</v>
      </c>
      <c r="CO572">
        <v>9082.1</v>
      </c>
      <c r="CQ572">
        <v>46913.4</v>
      </c>
      <c r="CS572">
        <v>64081.3</v>
      </c>
      <c r="CU572">
        <v>253626.7</v>
      </c>
      <c r="CW572">
        <v>48693.4</v>
      </c>
      <c r="CY572">
        <v>58882.3</v>
      </c>
      <c r="DA572">
        <v>1057709.6000000001</v>
      </c>
      <c r="DC572">
        <v>6.2</v>
      </c>
      <c r="DE572">
        <v>151745.79999999999</v>
      </c>
      <c r="DG572">
        <v>787.6</v>
      </c>
      <c r="DI572">
        <v>4845.5</v>
      </c>
      <c r="DK572">
        <v>712.3</v>
      </c>
      <c r="DM572">
        <v>61419.3</v>
      </c>
      <c r="DO572">
        <v>11018.9</v>
      </c>
      <c r="DQ572">
        <v>13704.2</v>
      </c>
    </row>
    <row r="573" spans="1:121" x14ac:dyDescent="0.2">
      <c r="D573" t="s">
        <v>62</v>
      </c>
      <c r="E573" t="s">
        <v>61</v>
      </c>
      <c r="G573">
        <v>147.30000000000001</v>
      </c>
      <c r="I573">
        <v>30.1</v>
      </c>
      <c r="K573">
        <v>818.5</v>
      </c>
      <c r="M573">
        <v>6463.3</v>
      </c>
      <c r="O573">
        <v>140.30000000000001</v>
      </c>
      <c r="Q573">
        <v>262.39999999999998</v>
      </c>
      <c r="S573">
        <v>91.7</v>
      </c>
      <c r="U573">
        <v>50.4</v>
      </c>
      <c r="W573">
        <v>149.30000000000001</v>
      </c>
      <c r="Y573">
        <v>73.3</v>
      </c>
      <c r="AA573">
        <v>27706.400000000001</v>
      </c>
      <c r="AC573">
        <v>5022.8</v>
      </c>
      <c r="AE573">
        <v>5179.6000000000004</v>
      </c>
      <c r="AG573">
        <v>8.1999999999999993</v>
      </c>
      <c r="AI573">
        <v>10776</v>
      </c>
      <c r="AK573">
        <v>439.5</v>
      </c>
      <c r="AM573">
        <v>545.5</v>
      </c>
      <c r="AO573">
        <v>60.8</v>
      </c>
      <c r="AQ573">
        <v>27.4</v>
      </c>
      <c r="AS573">
        <v>71.5</v>
      </c>
      <c r="AU573">
        <v>50.1</v>
      </c>
      <c r="AW573">
        <v>15.7</v>
      </c>
      <c r="AY573">
        <v>85.4</v>
      </c>
      <c r="BA573">
        <v>7370.3</v>
      </c>
      <c r="BC573">
        <v>11.3</v>
      </c>
      <c r="BE573">
        <v>151.80000000000001</v>
      </c>
      <c r="BG573">
        <v>2787</v>
      </c>
      <c r="BI573">
        <v>988.9</v>
      </c>
      <c r="BK573">
        <v>6921.3</v>
      </c>
      <c r="BM573">
        <v>992.4</v>
      </c>
      <c r="BO573">
        <v>14975</v>
      </c>
      <c r="BQ573">
        <v>8761.2999999999993</v>
      </c>
      <c r="BS573">
        <v>43272.800000000003</v>
      </c>
      <c r="BU573">
        <v>8580.2000000000007</v>
      </c>
      <c r="BW573">
        <v>370.2</v>
      </c>
      <c r="BY573">
        <v>3041.5</v>
      </c>
      <c r="CA573">
        <v>4988.5</v>
      </c>
      <c r="CC573">
        <v>140.30000000000001</v>
      </c>
      <c r="CE573">
        <v>55.3</v>
      </c>
      <c r="CG573">
        <v>1031.2</v>
      </c>
      <c r="CI573">
        <v>3081.2</v>
      </c>
      <c r="CK573">
        <v>14400.4</v>
      </c>
      <c r="CM573">
        <v>213.5</v>
      </c>
      <c r="CO573">
        <v>198.7</v>
      </c>
      <c r="CQ573">
        <v>557.6</v>
      </c>
      <c r="CS573">
        <v>438.9</v>
      </c>
      <c r="CU573">
        <v>3403.5</v>
      </c>
      <c r="CW573">
        <v>1575.9</v>
      </c>
      <c r="CY573">
        <v>1467.7</v>
      </c>
      <c r="DA573">
        <v>11389.8</v>
      </c>
      <c r="DC573">
        <v>4.9000000000000004</v>
      </c>
      <c r="DE573">
        <v>1228.4000000000001</v>
      </c>
      <c r="DG573">
        <v>94.3</v>
      </c>
      <c r="DI573">
        <v>236.8</v>
      </c>
      <c r="DK573">
        <v>15</v>
      </c>
      <c r="DM573">
        <v>105.9</v>
      </c>
      <c r="DO573">
        <v>186.1</v>
      </c>
      <c r="DQ573">
        <v>88.2</v>
      </c>
    </row>
    <row r="574" spans="1:121" x14ac:dyDescent="0.2">
      <c r="D574" t="s">
        <v>63</v>
      </c>
      <c r="G574">
        <v>4.2889999999999998E-2</v>
      </c>
      <c r="H574" t="s">
        <v>75</v>
      </c>
      <c r="I574">
        <v>1.387E-2</v>
      </c>
      <c r="J574" t="s">
        <v>75</v>
      </c>
      <c r="K574">
        <v>0.16517999999999999</v>
      </c>
      <c r="L574" t="s">
        <v>75</v>
      </c>
      <c r="M574">
        <v>0.92081000000000002</v>
      </c>
      <c r="N574" t="s">
        <v>75</v>
      </c>
      <c r="O574">
        <v>6.3400000000000001E-3</v>
      </c>
      <c r="P574" t="s">
        <v>75</v>
      </c>
      <c r="Q574">
        <v>0.11624</v>
      </c>
      <c r="R574" t="s">
        <v>75</v>
      </c>
      <c r="S574">
        <v>6.0999999999999997E-4</v>
      </c>
      <c r="T574" t="s">
        <v>75</v>
      </c>
      <c r="U574">
        <v>1.035E-2</v>
      </c>
      <c r="V574" t="s">
        <v>75</v>
      </c>
      <c r="W574">
        <v>2.4740000000000002E-2</v>
      </c>
      <c r="X574" t="s">
        <v>75</v>
      </c>
      <c r="Y574">
        <v>4.8550000000000003E-2</v>
      </c>
      <c r="Z574" t="s">
        <v>75</v>
      </c>
      <c r="AB574" t="s">
        <v>76</v>
      </c>
      <c r="AC574">
        <v>1.7577100000000001</v>
      </c>
      <c r="AD574" t="s">
        <v>75</v>
      </c>
      <c r="AE574">
        <v>1.3017700000000001</v>
      </c>
      <c r="AF574" t="s">
        <v>75</v>
      </c>
      <c r="AG574">
        <v>-6.5599999999999999E-3</v>
      </c>
      <c r="AH574" t="s">
        <v>75</v>
      </c>
      <c r="AI574">
        <v>3.07287</v>
      </c>
      <c r="AJ574" t="s">
        <v>75</v>
      </c>
      <c r="AK574">
        <v>4.9800000000000001E-3</v>
      </c>
      <c r="AL574" t="s">
        <v>75</v>
      </c>
      <c r="AM574">
        <v>4.1599999999999996E-3</v>
      </c>
      <c r="AN574" t="s">
        <v>75</v>
      </c>
      <c r="AO574">
        <v>4.8999999999999998E-3</v>
      </c>
      <c r="AP574" t="s">
        <v>75</v>
      </c>
      <c r="AQ574">
        <v>1.0399999999999999E-3</v>
      </c>
      <c r="AR574" t="s">
        <v>75</v>
      </c>
      <c r="AS574">
        <v>5.1999999999999995E-4</v>
      </c>
      <c r="AT574" t="s">
        <v>75</v>
      </c>
      <c r="AU574">
        <v>1.5499999999999999E-3</v>
      </c>
      <c r="AV574" t="s">
        <v>75</v>
      </c>
      <c r="AW574">
        <v>-9.0000000000000006E-5</v>
      </c>
      <c r="AX574" t="s">
        <v>75</v>
      </c>
      <c r="AY574">
        <v>4.2700000000000004E-3</v>
      </c>
      <c r="AZ574" t="s">
        <v>75</v>
      </c>
      <c r="BC574">
        <v>-2.05308</v>
      </c>
      <c r="BD574" t="s">
        <v>75</v>
      </c>
      <c r="BE574">
        <v>1.3339999999999999E-2</v>
      </c>
      <c r="BF574" t="s">
        <v>75</v>
      </c>
      <c r="BG574">
        <v>0.60948000000000002</v>
      </c>
      <c r="BH574" t="s">
        <v>75</v>
      </c>
      <c r="BI574">
        <v>0.59902</v>
      </c>
      <c r="BJ574" t="s">
        <v>75</v>
      </c>
      <c r="BK574">
        <v>0.59672000000000003</v>
      </c>
      <c r="BL574" t="s">
        <v>75</v>
      </c>
      <c r="BM574">
        <v>5.4600000000000003E-2</v>
      </c>
      <c r="BN574" t="s">
        <v>75</v>
      </c>
      <c r="BO574">
        <v>15.33104</v>
      </c>
      <c r="BP574" t="s">
        <v>75</v>
      </c>
      <c r="BQ574">
        <v>17.128640000000001</v>
      </c>
      <c r="BR574" t="s">
        <v>75</v>
      </c>
      <c r="BS574">
        <v>34.428339999999999</v>
      </c>
      <c r="BT574" t="s">
        <v>75</v>
      </c>
      <c r="BU574">
        <v>12.912509999999999</v>
      </c>
      <c r="BV574" t="s">
        <v>75</v>
      </c>
      <c r="BW574">
        <v>5.2424900000000001</v>
      </c>
      <c r="BX574" t="s">
        <v>75</v>
      </c>
      <c r="BY574">
        <v>77.577939999999998</v>
      </c>
      <c r="BZ574" t="s">
        <v>75</v>
      </c>
      <c r="CA574">
        <v>75.501499999999993</v>
      </c>
      <c r="CB574" t="s">
        <v>75</v>
      </c>
      <c r="CC574">
        <v>0.34733000000000003</v>
      </c>
      <c r="CD574" t="s">
        <v>75</v>
      </c>
      <c r="CE574">
        <v>2.1940000000000001E-2</v>
      </c>
      <c r="CF574" t="s">
        <v>75</v>
      </c>
      <c r="CG574">
        <v>0.57013999999999998</v>
      </c>
      <c r="CH574" t="s">
        <v>75</v>
      </c>
      <c r="CI574">
        <v>3.1973099999999999</v>
      </c>
      <c r="CJ574" t="s">
        <v>75</v>
      </c>
      <c r="CK574">
        <v>17.067679999999999</v>
      </c>
      <c r="CL574" t="s">
        <v>75</v>
      </c>
      <c r="CM574">
        <v>0.12418</v>
      </c>
      <c r="CN574" t="s">
        <v>75</v>
      </c>
      <c r="CO574">
        <v>0.53037000000000001</v>
      </c>
      <c r="CP574" t="s">
        <v>75</v>
      </c>
      <c r="CQ574">
        <v>1.4103399999999999</v>
      </c>
      <c r="CR574" t="s">
        <v>75</v>
      </c>
      <c r="CS574">
        <v>16.883880000000001</v>
      </c>
      <c r="CT574" t="s">
        <v>75</v>
      </c>
      <c r="CV574" t="s">
        <v>76</v>
      </c>
      <c r="CW574">
        <v>1.8064</v>
      </c>
      <c r="CX574" t="s">
        <v>75</v>
      </c>
      <c r="DA574">
        <v>74.789029999999997</v>
      </c>
      <c r="DB574" t="s">
        <v>75</v>
      </c>
      <c r="DC574">
        <v>2.1900000000000001E-3</v>
      </c>
      <c r="DD574" t="s">
        <v>75</v>
      </c>
      <c r="DE574">
        <v>81.685329999999993</v>
      </c>
      <c r="DF574" t="s">
        <v>75</v>
      </c>
      <c r="DG574">
        <v>4.8671100000000003</v>
      </c>
      <c r="DH574" t="s">
        <v>75</v>
      </c>
      <c r="DI574">
        <v>9.7007899999999996</v>
      </c>
      <c r="DJ574" t="s">
        <v>75</v>
      </c>
      <c r="DL574" t="s">
        <v>76</v>
      </c>
      <c r="DN574" t="s">
        <v>76</v>
      </c>
      <c r="DO574">
        <v>1.93119</v>
      </c>
      <c r="DP574" t="s">
        <v>75</v>
      </c>
    </row>
    <row r="575" spans="1:121" x14ac:dyDescent="0.2">
      <c r="D575" t="s">
        <v>64</v>
      </c>
      <c r="G575">
        <v>4.8999999999999998E-4</v>
      </c>
      <c r="H575" t="s">
        <v>75</v>
      </c>
      <c r="I575">
        <v>9.7000000000000005E-4</v>
      </c>
      <c r="J575" t="s">
        <v>75</v>
      </c>
      <c r="K575">
        <v>1.92E-3</v>
      </c>
      <c r="L575" t="s">
        <v>75</v>
      </c>
      <c r="M575">
        <v>9.6399999999999993E-3</v>
      </c>
      <c r="N575" t="s">
        <v>75</v>
      </c>
      <c r="O575">
        <v>8.0000000000000007E-5</v>
      </c>
      <c r="P575" t="s">
        <v>75</v>
      </c>
      <c r="Q575">
        <v>2.5799999999999998E-3</v>
      </c>
      <c r="R575" t="s">
        <v>75</v>
      </c>
      <c r="S575">
        <v>6.9999999999999994E-5</v>
      </c>
      <c r="T575" t="s">
        <v>75</v>
      </c>
      <c r="U575">
        <v>1.6000000000000001E-4</v>
      </c>
      <c r="V575" t="s">
        <v>75</v>
      </c>
      <c r="W575">
        <v>5.5999999999999995E-4</v>
      </c>
      <c r="X575" t="s">
        <v>75</v>
      </c>
      <c r="Y575">
        <v>1.49E-3</v>
      </c>
      <c r="Z575" t="s">
        <v>75</v>
      </c>
      <c r="AC575">
        <v>3.6450000000000003E-2</v>
      </c>
      <c r="AD575" t="s">
        <v>75</v>
      </c>
      <c r="AE575">
        <v>1.8880000000000001E-2</v>
      </c>
      <c r="AF575" t="s">
        <v>75</v>
      </c>
      <c r="AG575">
        <v>1.1E-4</v>
      </c>
      <c r="AH575" t="s">
        <v>75</v>
      </c>
      <c r="AI575">
        <v>5.0509999999999999E-2</v>
      </c>
      <c r="AJ575" t="s">
        <v>75</v>
      </c>
      <c r="AK575">
        <v>2.3000000000000001E-4</v>
      </c>
      <c r="AL575" t="s">
        <v>75</v>
      </c>
      <c r="AM575">
        <v>3.5E-4</v>
      </c>
      <c r="AN575" t="s">
        <v>75</v>
      </c>
      <c r="AO575">
        <v>2.2000000000000001E-4</v>
      </c>
      <c r="AP575" t="s">
        <v>75</v>
      </c>
      <c r="AQ575">
        <v>1.3999999999999999E-4</v>
      </c>
      <c r="AR575" t="s">
        <v>75</v>
      </c>
      <c r="AS575">
        <v>3.3E-4</v>
      </c>
      <c r="AT575" t="s">
        <v>75</v>
      </c>
      <c r="AU575">
        <v>4.0000000000000003E-5</v>
      </c>
      <c r="AV575" t="s">
        <v>75</v>
      </c>
      <c r="AW575">
        <v>3.0000000000000001E-5</v>
      </c>
      <c r="AX575" t="s">
        <v>75</v>
      </c>
      <c r="AY575">
        <v>3.8000000000000002E-4</v>
      </c>
      <c r="AZ575" t="s">
        <v>75</v>
      </c>
      <c r="BC575">
        <v>4.0000000000000003E-5</v>
      </c>
      <c r="BD575" t="s">
        <v>75</v>
      </c>
      <c r="BE575">
        <v>1.9000000000000001E-4</v>
      </c>
      <c r="BF575" t="s">
        <v>75</v>
      </c>
      <c r="BG575">
        <v>1.256E-2</v>
      </c>
      <c r="BH575" t="s">
        <v>75</v>
      </c>
      <c r="BI575">
        <v>1.009E-2</v>
      </c>
      <c r="BJ575" t="s">
        <v>75</v>
      </c>
      <c r="BK575">
        <v>1.391E-2</v>
      </c>
      <c r="BL575" t="s">
        <v>75</v>
      </c>
      <c r="BM575">
        <v>1.5299999999999999E-3</v>
      </c>
      <c r="BN575" t="s">
        <v>75</v>
      </c>
      <c r="BO575">
        <v>0.37035000000000001</v>
      </c>
      <c r="BP575" t="s">
        <v>75</v>
      </c>
      <c r="BQ575">
        <v>0.40412999999999999</v>
      </c>
      <c r="BR575" t="s">
        <v>75</v>
      </c>
      <c r="BS575">
        <v>0.63017000000000001</v>
      </c>
      <c r="BT575" t="s">
        <v>75</v>
      </c>
      <c r="BU575">
        <v>0.63254999999999995</v>
      </c>
      <c r="BV575" t="s">
        <v>75</v>
      </c>
      <c r="BW575">
        <v>3.0360000000000002E-2</v>
      </c>
      <c r="BX575" t="s">
        <v>75</v>
      </c>
      <c r="BY575">
        <v>2.1473399999999998</v>
      </c>
      <c r="BZ575" t="s">
        <v>75</v>
      </c>
      <c r="CA575">
        <v>1.60791</v>
      </c>
      <c r="CB575" t="s">
        <v>75</v>
      </c>
      <c r="CC575">
        <v>2.9669999999999998E-2</v>
      </c>
      <c r="CD575" t="s">
        <v>75</v>
      </c>
      <c r="CE575">
        <v>8.9999999999999998E-4</v>
      </c>
      <c r="CF575" t="s">
        <v>75</v>
      </c>
      <c r="CG575">
        <v>7.1300000000000001E-3</v>
      </c>
      <c r="CH575" t="s">
        <v>75</v>
      </c>
      <c r="CI575">
        <v>3.9199999999999999E-2</v>
      </c>
      <c r="CJ575" t="s">
        <v>75</v>
      </c>
      <c r="CK575">
        <v>0.36403000000000002</v>
      </c>
      <c r="CL575" t="s">
        <v>75</v>
      </c>
      <c r="CM575">
        <v>4.4000000000000002E-4</v>
      </c>
      <c r="CN575" t="s">
        <v>75</v>
      </c>
      <c r="CO575">
        <v>2.1700000000000001E-3</v>
      </c>
      <c r="CP575" t="s">
        <v>75</v>
      </c>
      <c r="CQ575">
        <v>4.7710000000000002E-2</v>
      </c>
      <c r="CR575" t="s">
        <v>75</v>
      </c>
      <c r="CS575">
        <v>0.50565000000000004</v>
      </c>
      <c r="CT575" t="s">
        <v>75</v>
      </c>
      <c r="CW575">
        <v>0.10316</v>
      </c>
      <c r="CX575" t="s">
        <v>75</v>
      </c>
      <c r="DA575">
        <v>1.1665000000000001</v>
      </c>
      <c r="DB575" t="s">
        <v>75</v>
      </c>
      <c r="DC575">
        <v>2.5999999999999999E-3</v>
      </c>
      <c r="DD575" t="s">
        <v>75</v>
      </c>
      <c r="DE575">
        <v>1.0669299999999999</v>
      </c>
      <c r="DF575" t="s">
        <v>75</v>
      </c>
      <c r="DG575">
        <v>0.58970999999999996</v>
      </c>
      <c r="DH575" t="s">
        <v>75</v>
      </c>
      <c r="DI575">
        <v>0.44174999999999998</v>
      </c>
      <c r="DJ575" t="s">
        <v>75</v>
      </c>
      <c r="DO575">
        <v>3.5610000000000003E-2</v>
      </c>
      <c r="DP575" t="s">
        <v>75</v>
      </c>
    </row>
    <row r="576" spans="1:121" x14ac:dyDescent="0.2">
      <c r="D576" t="s">
        <v>65</v>
      </c>
      <c r="G576" t="s">
        <v>66</v>
      </c>
      <c r="I576" t="s">
        <v>66</v>
      </c>
      <c r="K576" t="s">
        <v>66</v>
      </c>
      <c r="M576" t="s">
        <v>66</v>
      </c>
      <c r="O576" t="s">
        <v>66</v>
      </c>
      <c r="Q576" t="s">
        <v>66</v>
      </c>
      <c r="S576" t="s">
        <v>66</v>
      </c>
      <c r="U576" t="s">
        <v>66</v>
      </c>
      <c r="W576" t="s">
        <v>66</v>
      </c>
      <c r="Y576" t="s">
        <v>66</v>
      </c>
      <c r="AA576" t="s">
        <v>66</v>
      </c>
      <c r="AC576" t="s">
        <v>66</v>
      </c>
      <c r="AE576" t="s">
        <v>66</v>
      </c>
      <c r="AG576" t="s">
        <v>66</v>
      </c>
      <c r="AI576" t="s">
        <v>66</v>
      </c>
      <c r="AK576" t="s">
        <v>66</v>
      </c>
      <c r="AM576" t="s">
        <v>66</v>
      </c>
      <c r="AO576" t="s">
        <v>66</v>
      </c>
      <c r="AQ576" t="s">
        <v>66</v>
      </c>
      <c r="AS576" t="s">
        <v>66</v>
      </c>
      <c r="AU576" t="s">
        <v>66</v>
      </c>
      <c r="AW576" t="s">
        <v>66</v>
      </c>
      <c r="AY576" t="s">
        <v>66</v>
      </c>
      <c r="BA576" t="s">
        <v>66</v>
      </c>
      <c r="BC576" t="s">
        <v>66</v>
      </c>
      <c r="BE576" t="s">
        <v>66</v>
      </c>
      <c r="BG576" t="s">
        <v>66</v>
      </c>
      <c r="BI576" t="s">
        <v>66</v>
      </c>
      <c r="BK576" t="s">
        <v>66</v>
      </c>
      <c r="BM576" t="s">
        <v>66</v>
      </c>
      <c r="BO576" t="s">
        <v>66</v>
      </c>
      <c r="BQ576" t="s">
        <v>66</v>
      </c>
      <c r="BS576" t="s">
        <v>66</v>
      </c>
      <c r="BU576" t="s">
        <v>66</v>
      </c>
      <c r="BW576" t="s">
        <v>66</v>
      </c>
      <c r="BY576" t="s">
        <v>66</v>
      </c>
      <c r="CA576" t="s">
        <v>66</v>
      </c>
      <c r="CC576" t="s">
        <v>66</v>
      </c>
      <c r="CE576" t="s">
        <v>66</v>
      </c>
      <c r="CG576" t="s">
        <v>66</v>
      </c>
      <c r="CI576" t="s">
        <v>66</v>
      </c>
      <c r="CK576" t="s">
        <v>66</v>
      </c>
      <c r="CM576" t="s">
        <v>66</v>
      </c>
      <c r="CO576" t="s">
        <v>66</v>
      </c>
      <c r="CQ576" t="s">
        <v>66</v>
      </c>
      <c r="CS576" t="s">
        <v>66</v>
      </c>
      <c r="CU576" t="s">
        <v>66</v>
      </c>
      <c r="CW576" t="s">
        <v>66</v>
      </c>
      <c r="CY576" t="s">
        <v>66</v>
      </c>
      <c r="DA576" t="s">
        <v>66</v>
      </c>
      <c r="DC576" t="s">
        <v>66</v>
      </c>
      <c r="DE576" t="s">
        <v>66</v>
      </c>
      <c r="DG576" t="s">
        <v>66</v>
      </c>
      <c r="DI576" t="s">
        <v>66</v>
      </c>
      <c r="DK576" t="s">
        <v>66</v>
      </c>
      <c r="DM576" t="s">
        <v>66</v>
      </c>
      <c r="DO576" t="s">
        <v>66</v>
      </c>
      <c r="DQ576" t="s">
        <v>66</v>
      </c>
    </row>
    <row r="577" spans="1:121" x14ac:dyDescent="0.2">
      <c r="A577" t="s">
        <v>685</v>
      </c>
      <c r="D577" t="s">
        <v>60</v>
      </c>
      <c r="E577" t="s">
        <v>61</v>
      </c>
      <c r="G577">
        <v>14776.8</v>
      </c>
      <c r="I577">
        <v>1128</v>
      </c>
      <c r="K577">
        <v>73987.199999999997</v>
      </c>
      <c r="M577">
        <v>1105846.2</v>
      </c>
      <c r="O577">
        <v>65462.6</v>
      </c>
      <c r="Q577">
        <v>10961.7</v>
      </c>
      <c r="S577">
        <v>2283.1</v>
      </c>
      <c r="U577">
        <v>2118.4</v>
      </c>
      <c r="W577">
        <v>16412.099999999999</v>
      </c>
      <c r="Y577">
        <v>28441</v>
      </c>
      <c r="AA577">
        <v>2809648.3</v>
      </c>
      <c r="AC577">
        <v>52123.7</v>
      </c>
      <c r="AE577">
        <v>34889.9</v>
      </c>
      <c r="AG577">
        <v>10461</v>
      </c>
      <c r="AI577">
        <v>546113.30000000005</v>
      </c>
      <c r="AK577">
        <v>156640.20000000001</v>
      </c>
      <c r="AM577">
        <v>196118.5</v>
      </c>
      <c r="AO577">
        <v>23427.9</v>
      </c>
      <c r="AQ577">
        <v>3890.3</v>
      </c>
      <c r="AS577">
        <v>4000.9</v>
      </c>
      <c r="AU577">
        <v>3233.2</v>
      </c>
      <c r="AW577">
        <v>4241.8</v>
      </c>
      <c r="AY577">
        <v>4961.3999999999996</v>
      </c>
      <c r="BA577">
        <v>641051.69999999995</v>
      </c>
      <c r="BC577">
        <v>2842.2</v>
      </c>
      <c r="BE577">
        <v>9767.1</v>
      </c>
      <c r="BG577">
        <v>13820037.1</v>
      </c>
      <c r="BI577">
        <v>10960686</v>
      </c>
      <c r="BK577">
        <v>27349194.699999999</v>
      </c>
      <c r="BM577">
        <v>43708.4</v>
      </c>
      <c r="BO577">
        <v>673572.4</v>
      </c>
      <c r="BQ577">
        <v>1244001.8</v>
      </c>
      <c r="BS577">
        <v>2599668.7000000002</v>
      </c>
      <c r="BU577">
        <v>1803132.4</v>
      </c>
      <c r="BW577">
        <v>107135.6</v>
      </c>
      <c r="BY577">
        <v>1526251</v>
      </c>
      <c r="CA577">
        <v>717777.9</v>
      </c>
      <c r="CC577">
        <v>10417.6</v>
      </c>
      <c r="CE577">
        <v>38818.300000000003</v>
      </c>
      <c r="CG577">
        <v>24327.8</v>
      </c>
      <c r="CI577">
        <v>304046.09999999998</v>
      </c>
      <c r="CK577">
        <v>6846959.0999999996</v>
      </c>
      <c r="CM577">
        <v>4588.1000000000004</v>
      </c>
      <c r="CO577">
        <v>5302.8</v>
      </c>
      <c r="CQ577">
        <v>113393</v>
      </c>
      <c r="CS577">
        <v>103060.5</v>
      </c>
      <c r="CU577">
        <v>247855.9</v>
      </c>
      <c r="CW577">
        <v>5421.9</v>
      </c>
      <c r="CY577">
        <v>56475.9</v>
      </c>
      <c r="DA577">
        <v>469608.3</v>
      </c>
      <c r="DC577">
        <v>132.80000000000001</v>
      </c>
      <c r="DE577">
        <v>1105.2</v>
      </c>
      <c r="DG577">
        <v>799.4</v>
      </c>
      <c r="DI577">
        <v>5130.7</v>
      </c>
      <c r="DK577">
        <v>998.3</v>
      </c>
      <c r="DM577">
        <v>59905.1</v>
      </c>
      <c r="DO577">
        <v>1210.7</v>
      </c>
      <c r="DQ577">
        <v>13016.6</v>
      </c>
    </row>
    <row r="578" spans="1:121" x14ac:dyDescent="0.2">
      <c r="D578" t="s">
        <v>62</v>
      </c>
      <c r="E578" t="s">
        <v>61</v>
      </c>
      <c r="G578">
        <v>240.7</v>
      </c>
      <c r="I578">
        <v>138.9</v>
      </c>
      <c r="K578">
        <v>535.4</v>
      </c>
      <c r="M578">
        <v>11168.8</v>
      </c>
      <c r="O578">
        <v>1179.0999999999999</v>
      </c>
      <c r="Q578">
        <v>160.4</v>
      </c>
      <c r="S578">
        <v>92.5</v>
      </c>
      <c r="U578">
        <v>52.1</v>
      </c>
      <c r="W578">
        <v>398.2</v>
      </c>
      <c r="Y578">
        <v>486.2</v>
      </c>
      <c r="AA578">
        <v>16996.2</v>
      </c>
      <c r="AC578">
        <v>747</v>
      </c>
      <c r="AE578">
        <v>614.1</v>
      </c>
      <c r="AG578">
        <v>153.9</v>
      </c>
      <c r="AI578">
        <v>6817.2</v>
      </c>
      <c r="AK578">
        <v>2157.6</v>
      </c>
      <c r="AM578">
        <v>967</v>
      </c>
      <c r="AO578">
        <v>609.5</v>
      </c>
      <c r="AQ578">
        <v>125</v>
      </c>
      <c r="AS578">
        <v>113.8</v>
      </c>
      <c r="AU578">
        <v>106.3</v>
      </c>
      <c r="AW578">
        <v>148.4</v>
      </c>
      <c r="AY578">
        <v>235</v>
      </c>
      <c r="BA578">
        <v>2978</v>
      </c>
      <c r="BC578">
        <v>96.6</v>
      </c>
      <c r="BE578">
        <v>309.2</v>
      </c>
      <c r="BG578">
        <v>347334.9</v>
      </c>
      <c r="BI578">
        <v>49771.7</v>
      </c>
      <c r="BK578">
        <v>260015</v>
      </c>
      <c r="BM578">
        <v>1320.6</v>
      </c>
      <c r="BO578">
        <v>9209.2999999999993</v>
      </c>
      <c r="BQ578">
        <v>15520.9</v>
      </c>
      <c r="BS578">
        <v>48784.7</v>
      </c>
      <c r="BU578">
        <v>6159.3</v>
      </c>
      <c r="BW578">
        <v>2368.6999999999998</v>
      </c>
      <c r="BY578">
        <v>30342.3</v>
      </c>
      <c r="CA578">
        <v>12446.2</v>
      </c>
      <c r="CC578">
        <v>273</v>
      </c>
      <c r="CE578">
        <v>1048.5999999999999</v>
      </c>
      <c r="CG578">
        <v>359.8</v>
      </c>
      <c r="CI578">
        <v>6235.4</v>
      </c>
      <c r="CK578">
        <v>151903.6</v>
      </c>
      <c r="CM578">
        <v>73.599999999999994</v>
      </c>
      <c r="CO578">
        <v>43.7</v>
      </c>
      <c r="CQ578">
        <v>2864.1</v>
      </c>
      <c r="CS578">
        <v>1534.8</v>
      </c>
      <c r="CU578">
        <v>3397.6</v>
      </c>
      <c r="CW578">
        <v>84.7</v>
      </c>
      <c r="CY578">
        <v>1750.1</v>
      </c>
      <c r="DA578">
        <v>7778.1</v>
      </c>
      <c r="DC578">
        <v>3.5</v>
      </c>
      <c r="DE578">
        <v>19.7</v>
      </c>
      <c r="DG578">
        <v>37.200000000000003</v>
      </c>
      <c r="DI578">
        <v>319.5</v>
      </c>
      <c r="DK578">
        <v>33.4</v>
      </c>
      <c r="DM578">
        <v>1399.6</v>
      </c>
      <c r="DO578">
        <v>103.5</v>
      </c>
      <c r="DQ578">
        <v>94.9</v>
      </c>
    </row>
    <row r="579" spans="1:121" x14ac:dyDescent="0.2">
      <c r="D579" t="s">
        <v>63</v>
      </c>
      <c r="G579">
        <v>8.9770000000000003E-2</v>
      </c>
      <c r="H579" t="s">
        <v>75</v>
      </c>
      <c r="I579">
        <v>2.904E-2</v>
      </c>
      <c r="J579" t="s">
        <v>75</v>
      </c>
      <c r="K579">
        <v>9.6030000000000004E-2</v>
      </c>
      <c r="L579" t="s">
        <v>75</v>
      </c>
      <c r="M579">
        <v>1.15384</v>
      </c>
      <c r="N579" t="s">
        <v>75</v>
      </c>
      <c r="O579">
        <v>6.0630000000000003E-2</v>
      </c>
      <c r="P579" t="s">
        <v>75</v>
      </c>
      <c r="Q579">
        <v>9.5850000000000005E-2</v>
      </c>
      <c r="R579" t="s">
        <v>75</v>
      </c>
      <c r="S579">
        <v>1.42E-3</v>
      </c>
      <c r="T579" t="s">
        <v>75</v>
      </c>
      <c r="U579">
        <v>1.491E-2</v>
      </c>
      <c r="V579" t="s">
        <v>75</v>
      </c>
      <c r="W579">
        <v>4.036E-2</v>
      </c>
      <c r="X579" t="s">
        <v>75</v>
      </c>
      <c r="Y579">
        <v>0.44658999999999999</v>
      </c>
      <c r="Z579" t="s">
        <v>75</v>
      </c>
      <c r="AB579" t="s">
        <v>76</v>
      </c>
      <c r="AC579">
        <v>0.23780000000000001</v>
      </c>
      <c r="AD579" t="s">
        <v>75</v>
      </c>
      <c r="AE579">
        <v>0.17741000000000001</v>
      </c>
      <c r="AF579" t="s">
        <v>75</v>
      </c>
      <c r="AG579">
        <v>-7.6699999999999997E-3</v>
      </c>
      <c r="AH579" t="s">
        <v>75</v>
      </c>
      <c r="AI579">
        <v>3.6503399999999999</v>
      </c>
      <c r="AJ579" t="s">
        <v>75</v>
      </c>
      <c r="AK579">
        <v>0.11151999999999999</v>
      </c>
      <c r="AL579" t="s">
        <v>75</v>
      </c>
      <c r="AM579">
        <v>0.15013000000000001</v>
      </c>
      <c r="AN579" t="s">
        <v>75</v>
      </c>
      <c r="AO579">
        <v>9.1889999999999999E-2</v>
      </c>
      <c r="AP579" t="s">
        <v>75</v>
      </c>
      <c r="AQ579">
        <v>1.668E-2</v>
      </c>
      <c r="AR579" t="s">
        <v>75</v>
      </c>
      <c r="AS579">
        <v>1.7749999999999998E-2</v>
      </c>
      <c r="AT579" t="s">
        <v>75</v>
      </c>
      <c r="AU579">
        <v>3.5999999999999999E-3</v>
      </c>
      <c r="AV579" t="s">
        <v>75</v>
      </c>
      <c r="AW579">
        <v>1.001E-2</v>
      </c>
      <c r="AX579" t="s">
        <v>75</v>
      </c>
      <c r="AY579">
        <v>6.5700000000000003E-3</v>
      </c>
      <c r="AZ579" t="s">
        <v>75</v>
      </c>
      <c r="BC579">
        <v>-2.0509200000000001</v>
      </c>
      <c r="BD579" t="s">
        <v>75</v>
      </c>
      <c r="BE579">
        <v>1.243E-2</v>
      </c>
      <c r="BF579" t="s">
        <v>75</v>
      </c>
      <c r="BG579">
        <v>41.981229999999996</v>
      </c>
      <c r="BH579" t="s">
        <v>75</v>
      </c>
      <c r="BI579">
        <v>38.295430000000003</v>
      </c>
      <c r="BJ579" t="s">
        <v>75</v>
      </c>
      <c r="BK579">
        <v>40.52467</v>
      </c>
      <c r="BL579" t="s">
        <v>75</v>
      </c>
      <c r="BM579">
        <v>3.3450000000000001E-2</v>
      </c>
      <c r="BN579" t="s">
        <v>75</v>
      </c>
      <c r="BO579">
        <v>13.98274</v>
      </c>
      <c r="BP579" t="s">
        <v>75</v>
      </c>
      <c r="BQ579">
        <v>44.066310000000001</v>
      </c>
      <c r="BR579" t="s">
        <v>75</v>
      </c>
      <c r="BS579">
        <v>61.117530000000002</v>
      </c>
      <c r="BT579" t="s">
        <v>75</v>
      </c>
      <c r="BU579">
        <v>58.315950000000001</v>
      </c>
      <c r="BV579" t="s">
        <v>75</v>
      </c>
      <c r="BW579">
        <v>47.804859999999998</v>
      </c>
      <c r="BX579" t="s">
        <v>75</v>
      </c>
      <c r="BY579">
        <v>444.78622000000001</v>
      </c>
      <c r="BZ579" t="s">
        <v>75</v>
      </c>
      <c r="CA579">
        <v>402.75373000000002</v>
      </c>
      <c r="CB579" t="s">
        <v>75</v>
      </c>
      <c r="CC579">
        <v>2.33345</v>
      </c>
      <c r="CD579" t="s">
        <v>75</v>
      </c>
      <c r="CE579">
        <v>0.60933999999999999</v>
      </c>
      <c r="CF579" t="s">
        <v>75</v>
      </c>
      <c r="CG579">
        <v>0.42054000000000002</v>
      </c>
      <c r="CH579" t="s">
        <v>75</v>
      </c>
      <c r="CI579">
        <v>4.16066</v>
      </c>
      <c r="CJ579" t="s">
        <v>75</v>
      </c>
      <c r="CK579">
        <v>102.05568</v>
      </c>
      <c r="CL579" t="s">
        <v>75</v>
      </c>
      <c r="CM579">
        <v>6.182E-2</v>
      </c>
      <c r="CN579" t="s">
        <v>75</v>
      </c>
      <c r="CO579">
        <v>0.32712999999999998</v>
      </c>
      <c r="CP579" t="s">
        <v>75</v>
      </c>
      <c r="CQ579">
        <v>3.5949599999999999</v>
      </c>
      <c r="CR579" t="s">
        <v>75</v>
      </c>
      <c r="CS579">
        <v>28.376190000000001</v>
      </c>
      <c r="CT579" t="s">
        <v>75</v>
      </c>
      <c r="CV579" t="s">
        <v>76</v>
      </c>
      <c r="CW579">
        <v>0.18697</v>
      </c>
      <c r="CX579" t="s">
        <v>75</v>
      </c>
      <c r="DA579">
        <v>34.83925</v>
      </c>
      <c r="DB579" t="s">
        <v>75</v>
      </c>
      <c r="DC579">
        <v>7.2059999999999999E-2</v>
      </c>
      <c r="DD579" t="s">
        <v>75</v>
      </c>
      <c r="DE579">
        <v>0.60818000000000005</v>
      </c>
      <c r="DF579" t="s">
        <v>75</v>
      </c>
      <c r="DG579">
        <v>5.2048500000000004</v>
      </c>
      <c r="DH579" t="s">
        <v>75</v>
      </c>
      <c r="DI579">
        <v>10.850350000000001</v>
      </c>
      <c r="DJ579" t="s">
        <v>75</v>
      </c>
      <c r="DL579" t="s">
        <v>76</v>
      </c>
      <c r="DN579" t="s">
        <v>76</v>
      </c>
      <c r="DO579">
        <v>0.21626999999999999</v>
      </c>
      <c r="DP579" t="s">
        <v>75</v>
      </c>
    </row>
    <row r="580" spans="1:121" x14ac:dyDescent="0.2">
      <c r="D580" t="s">
        <v>64</v>
      </c>
      <c r="G580">
        <v>2.0100000000000001E-3</v>
      </c>
      <c r="H580" t="s">
        <v>75</v>
      </c>
      <c r="I580">
        <v>5.3299999999999997E-3</v>
      </c>
      <c r="J580" t="s">
        <v>75</v>
      </c>
      <c r="K580">
        <v>3.8999999999999999E-4</v>
      </c>
      <c r="L580" t="s">
        <v>75</v>
      </c>
      <c r="M580">
        <v>7.6400000000000001E-3</v>
      </c>
      <c r="N580" t="s">
        <v>75</v>
      </c>
      <c r="O580">
        <v>8.8999999999999995E-4</v>
      </c>
      <c r="P580" t="s">
        <v>75</v>
      </c>
      <c r="Q580">
        <v>1.3699999999999999E-3</v>
      </c>
      <c r="R580" t="s">
        <v>75</v>
      </c>
      <c r="S580">
        <v>8.0000000000000007E-5</v>
      </c>
      <c r="T580" t="s">
        <v>75</v>
      </c>
      <c r="U580">
        <v>2.7E-4</v>
      </c>
      <c r="V580" t="s">
        <v>75</v>
      </c>
      <c r="W580">
        <v>1.01E-3</v>
      </c>
      <c r="X580" t="s">
        <v>75</v>
      </c>
      <c r="Y580">
        <v>7.3200000000000001E-3</v>
      </c>
      <c r="Z580" t="s">
        <v>75</v>
      </c>
      <c r="AC580">
        <v>3.49E-3</v>
      </c>
      <c r="AD580" t="s">
        <v>75</v>
      </c>
      <c r="AE580">
        <v>2.8400000000000001E-3</v>
      </c>
      <c r="AF580" t="s">
        <v>75</v>
      </c>
      <c r="AG580">
        <v>1.1E-4</v>
      </c>
      <c r="AH580" t="s">
        <v>75</v>
      </c>
      <c r="AI580">
        <v>6.1179999999999998E-2</v>
      </c>
      <c r="AJ580" t="s">
        <v>75</v>
      </c>
      <c r="AK580">
        <v>1.8799999999999999E-3</v>
      </c>
      <c r="AL580" t="s">
        <v>75</v>
      </c>
      <c r="AM580">
        <v>1.1000000000000001E-3</v>
      </c>
      <c r="AN580" t="s">
        <v>75</v>
      </c>
      <c r="AO580">
        <v>2.3500000000000001E-3</v>
      </c>
      <c r="AP580" t="s">
        <v>75</v>
      </c>
      <c r="AQ580">
        <v>5.9000000000000003E-4</v>
      </c>
      <c r="AR580" t="s">
        <v>75</v>
      </c>
      <c r="AS580">
        <v>5.0000000000000001E-4</v>
      </c>
      <c r="AT580" t="s">
        <v>75</v>
      </c>
      <c r="AU580">
        <v>6.0000000000000002E-5</v>
      </c>
      <c r="AV580" t="s">
        <v>75</v>
      </c>
      <c r="AW580">
        <v>4.0999999999999999E-4</v>
      </c>
      <c r="AX580" t="s">
        <v>75</v>
      </c>
      <c r="AY580">
        <v>8.0000000000000004E-4</v>
      </c>
      <c r="AZ580" t="s">
        <v>75</v>
      </c>
      <c r="BC580">
        <v>2.7999999999999998E-4</v>
      </c>
      <c r="BD580" t="s">
        <v>75</v>
      </c>
      <c r="BE580">
        <v>3.2000000000000003E-4</v>
      </c>
      <c r="BF580" t="s">
        <v>75</v>
      </c>
      <c r="BG580">
        <v>1.1265099999999999</v>
      </c>
      <c r="BH580" t="s">
        <v>75</v>
      </c>
      <c r="BI580">
        <v>8.133E-2</v>
      </c>
      <c r="BJ580" t="s">
        <v>75</v>
      </c>
      <c r="BK580">
        <v>0.55591999999999997</v>
      </c>
      <c r="BL580" t="s">
        <v>75</v>
      </c>
      <c r="BM580">
        <v>1.4599999999999999E-3</v>
      </c>
      <c r="BN580" t="s">
        <v>75</v>
      </c>
      <c r="BO580">
        <v>0.66513</v>
      </c>
      <c r="BP580" t="s">
        <v>75</v>
      </c>
      <c r="BQ580">
        <v>1.9091899999999999</v>
      </c>
      <c r="BR580" t="s">
        <v>75</v>
      </c>
      <c r="BS580">
        <v>3.0402200000000001</v>
      </c>
      <c r="BT580" t="s">
        <v>75</v>
      </c>
      <c r="BU580">
        <v>2.67299</v>
      </c>
      <c r="BV580" t="s">
        <v>75</v>
      </c>
      <c r="BW580">
        <v>2.35134</v>
      </c>
      <c r="BX580" t="s">
        <v>75</v>
      </c>
      <c r="BY580">
        <v>15.448919999999999</v>
      </c>
      <c r="BZ580" t="s">
        <v>75</v>
      </c>
      <c r="CA580">
        <v>17.713170000000002</v>
      </c>
      <c r="CB580" t="s">
        <v>75</v>
      </c>
      <c r="CC580">
        <v>6.2939999999999996E-2</v>
      </c>
      <c r="CD580" t="s">
        <v>75</v>
      </c>
      <c r="CE580">
        <v>2.896E-2</v>
      </c>
      <c r="CF580" t="s">
        <v>75</v>
      </c>
      <c r="CG580">
        <v>7.28E-3</v>
      </c>
      <c r="CH580" t="s">
        <v>75</v>
      </c>
      <c r="CI580">
        <v>9.1079999999999994E-2</v>
      </c>
      <c r="CJ580" t="s">
        <v>75</v>
      </c>
      <c r="CK580">
        <v>2.4935200000000002</v>
      </c>
      <c r="CL580" t="s">
        <v>75</v>
      </c>
      <c r="CM580">
        <v>1.07E-3</v>
      </c>
      <c r="CN580" t="s">
        <v>75</v>
      </c>
      <c r="CO580">
        <v>1.2330000000000001E-2</v>
      </c>
      <c r="CP580" t="s">
        <v>75</v>
      </c>
      <c r="CQ580">
        <v>9.0219999999999995E-2</v>
      </c>
      <c r="CR580" t="s">
        <v>75</v>
      </c>
      <c r="CS580">
        <v>0.66144000000000003</v>
      </c>
      <c r="CT580" t="s">
        <v>75</v>
      </c>
      <c r="CW580">
        <v>9.41E-3</v>
      </c>
      <c r="CX580" t="s">
        <v>75</v>
      </c>
      <c r="DA580">
        <v>0.77019000000000004</v>
      </c>
      <c r="DB580" t="s">
        <v>75</v>
      </c>
      <c r="DC580">
        <v>2.2200000000000002E-3</v>
      </c>
      <c r="DD580" t="s">
        <v>75</v>
      </c>
      <c r="DE580">
        <v>9.5099999999999994E-3</v>
      </c>
      <c r="DF580" t="s">
        <v>75</v>
      </c>
      <c r="DG580">
        <v>0.23238</v>
      </c>
      <c r="DH580" t="s">
        <v>75</v>
      </c>
      <c r="DI580">
        <v>0.78305000000000002</v>
      </c>
      <c r="DJ580" t="s">
        <v>75</v>
      </c>
      <c r="DO580">
        <v>2.0539999999999999E-2</v>
      </c>
      <c r="DP580" t="s">
        <v>75</v>
      </c>
    </row>
    <row r="581" spans="1:121" x14ac:dyDescent="0.2">
      <c r="D581" t="s">
        <v>65</v>
      </c>
      <c r="G581" t="s">
        <v>66</v>
      </c>
      <c r="I581" t="s">
        <v>66</v>
      </c>
      <c r="K581" t="s">
        <v>66</v>
      </c>
      <c r="M581" t="s">
        <v>66</v>
      </c>
      <c r="O581" t="s">
        <v>66</v>
      </c>
      <c r="Q581" t="s">
        <v>66</v>
      </c>
      <c r="S581" t="s">
        <v>66</v>
      </c>
      <c r="U581" t="s">
        <v>66</v>
      </c>
      <c r="W581" t="s">
        <v>66</v>
      </c>
      <c r="Y581" t="s">
        <v>66</v>
      </c>
      <c r="AA581" t="s">
        <v>66</v>
      </c>
      <c r="AC581" t="s">
        <v>66</v>
      </c>
      <c r="AE581" t="s">
        <v>66</v>
      </c>
      <c r="AG581" t="s">
        <v>66</v>
      </c>
      <c r="AI581" t="s">
        <v>66</v>
      </c>
      <c r="AK581" t="s">
        <v>66</v>
      </c>
      <c r="AM581" t="s">
        <v>66</v>
      </c>
      <c r="AO581" t="s">
        <v>66</v>
      </c>
      <c r="AQ581" t="s">
        <v>66</v>
      </c>
      <c r="AS581" t="s">
        <v>66</v>
      </c>
      <c r="AU581" t="s">
        <v>66</v>
      </c>
      <c r="AW581" t="s">
        <v>66</v>
      </c>
      <c r="AY581" t="s">
        <v>66</v>
      </c>
      <c r="BA581" t="s">
        <v>66</v>
      </c>
      <c r="BC581" t="s">
        <v>66</v>
      </c>
      <c r="BE581" t="s">
        <v>66</v>
      </c>
      <c r="BG581" t="s">
        <v>66</v>
      </c>
      <c r="BI581" t="s">
        <v>66</v>
      </c>
      <c r="BK581" t="s">
        <v>66</v>
      </c>
      <c r="BM581" t="s">
        <v>66</v>
      </c>
      <c r="BO581" t="s">
        <v>66</v>
      </c>
      <c r="BQ581" t="s">
        <v>66</v>
      </c>
      <c r="BS581" t="s">
        <v>66</v>
      </c>
      <c r="BU581" t="s">
        <v>66</v>
      </c>
      <c r="BW581" t="s">
        <v>66</v>
      </c>
      <c r="BY581" t="s">
        <v>66</v>
      </c>
      <c r="CA581" t="s">
        <v>66</v>
      </c>
      <c r="CC581" t="s">
        <v>66</v>
      </c>
      <c r="CE581" t="s">
        <v>66</v>
      </c>
      <c r="CG581" t="s">
        <v>66</v>
      </c>
      <c r="CI581" t="s">
        <v>66</v>
      </c>
      <c r="CK581" t="s">
        <v>66</v>
      </c>
      <c r="CM581" t="s">
        <v>66</v>
      </c>
      <c r="CO581" t="s">
        <v>66</v>
      </c>
      <c r="CQ581" t="s">
        <v>66</v>
      </c>
      <c r="CS581" t="s">
        <v>66</v>
      </c>
      <c r="CU581" t="s">
        <v>66</v>
      </c>
      <c r="CW581" t="s">
        <v>66</v>
      </c>
      <c r="CY581" t="s">
        <v>66</v>
      </c>
      <c r="DA581" t="s">
        <v>66</v>
      </c>
      <c r="DC581" t="s">
        <v>66</v>
      </c>
      <c r="DE581" t="s">
        <v>66</v>
      </c>
      <c r="DG581" t="s">
        <v>66</v>
      </c>
      <c r="DI581" t="s">
        <v>66</v>
      </c>
      <c r="DK581" t="s">
        <v>66</v>
      </c>
      <c r="DM581" t="s">
        <v>66</v>
      </c>
      <c r="DO581" t="s">
        <v>66</v>
      </c>
      <c r="DQ581" t="s">
        <v>66</v>
      </c>
    </row>
    <row r="582" spans="1:121" x14ac:dyDescent="0.2">
      <c r="A582" t="s">
        <v>686</v>
      </c>
      <c r="D582" t="s">
        <v>60</v>
      </c>
      <c r="E582" t="s">
        <v>61</v>
      </c>
      <c r="G582">
        <v>9730.1</v>
      </c>
      <c r="I582">
        <v>747.6</v>
      </c>
      <c r="K582">
        <v>173705.9</v>
      </c>
      <c r="M582">
        <v>123986.1</v>
      </c>
      <c r="O582">
        <v>2045.4</v>
      </c>
      <c r="Q582">
        <v>5862.6</v>
      </c>
      <c r="S582">
        <v>1269.5999999999999</v>
      </c>
      <c r="U582">
        <v>1052.5999999999999</v>
      </c>
      <c r="W582">
        <v>10712.4</v>
      </c>
      <c r="Y582">
        <v>8028.1</v>
      </c>
      <c r="AA582">
        <v>3405088.7</v>
      </c>
      <c r="AC582">
        <v>727663.9</v>
      </c>
      <c r="AE582">
        <v>3684313.8</v>
      </c>
      <c r="AG582">
        <v>13822.9</v>
      </c>
      <c r="AI582">
        <v>79157</v>
      </c>
      <c r="AK582">
        <v>4813.3999999999996</v>
      </c>
      <c r="AM582">
        <v>5468.3</v>
      </c>
      <c r="AO582">
        <v>583.5</v>
      </c>
      <c r="AQ582">
        <v>401.1</v>
      </c>
      <c r="AS582">
        <v>303.10000000000002</v>
      </c>
      <c r="AU582">
        <v>264.60000000000002</v>
      </c>
      <c r="AW582">
        <v>208.3</v>
      </c>
      <c r="AY582">
        <v>3429.3</v>
      </c>
      <c r="BA582">
        <v>684198.3</v>
      </c>
      <c r="BC582">
        <v>2183.1</v>
      </c>
      <c r="BE582">
        <v>2833.8</v>
      </c>
      <c r="BG582">
        <v>255568.3</v>
      </c>
      <c r="BI582">
        <v>214442.7</v>
      </c>
      <c r="BK582">
        <v>533338.69999999995</v>
      </c>
      <c r="BM582">
        <v>82116.5</v>
      </c>
      <c r="BO582">
        <v>1936920.9</v>
      </c>
      <c r="BQ582">
        <v>132326.39999999999</v>
      </c>
      <c r="BS582">
        <v>307261.90000000002</v>
      </c>
      <c r="BU582">
        <v>1082031.1000000001</v>
      </c>
      <c r="BW582">
        <v>28898.799999999999</v>
      </c>
      <c r="BY582">
        <v>178915.5</v>
      </c>
      <c r="CA582">
        <v>86966.8</v>
      </c>
      <c r="CC582">
        <v>758.6</v>
      </c>
      <c r="CE582">
        <v>709.5</v>
      </c>
      <c r="CG582">
        <v>72590.399999999994</v>
      </c>
      <c r="CI582">
        <v>73162</v>
      </c>
      <c r="CK582">
        <v>454006.1</v>
      </c>
      <c r="CM582">
        <v>3499.6</v>
      </c>
      <c r="CO582">
        <v>21244.799999999999</v>
      </c>
      <c r="CQ582">
        <v>27406.400000000001</v>
      </c>
      <c r="CS582">
        <v>705603.7</v>
      </c>
      <c r="CU582">
        <v>294915.3</v>
      </c>
      <c r="CW582">
        <v>76048.2</v>
      </c>
      <c r="CY582">
        <v>59896</v>
      </c>
      <c r="DA582">
        <v>947499.9</v>
      </c>
      <c r="DC582">
        <v>24.4</v>
      </c>
      <c r="DE582">
        <v>15055.2</v>
      </c>
      <c r="DG582">
        <v>142.80000000000001</v>
      </c>
      <c r="DI582">
        <v>1816</v>
      </c>
      <c r="DK582">
        <v>740.1</v>
      </c>
      <c r="DM582">
        <v>73494.600000000006</v>
      </c>
      <c r="DO582">
        <v>16481.099999999999</v>
      </c>
      <c r="DQ582">
        <v>13979.7</v>
      </c>
    </row>
    <row r="583" spans="1:121" x14ac:dyDescent="0.2">
      <c r="D583" t="s">
        <v>62</v>
      </c>
      <c r="E583" t="s">
        <v>61</v>
      </c>
      <c r="G583">
        <v>181.2</v>
      </c>
      <c r="I583">
        <v>42.8</v>
      </c>
      <c r="K583">
        <v>1839.7</v>
      </c>
      <c r="M583">
        <v>1078.5999999999999</v>
      </c>
      <c r="O583">
        <v>102.3</v>
      </c>
      <c r="Q583">
        <v>119.1</v>
      </c>
      <c r="S583">
        <v>73.5</v>
      </c>
      <c r="U583">
        <v>68.599999999999994</v>
      </c>
      <c r="W583">
        <v>249.4</v>
      </c>
      <c r="Y583">
        <v>213.9</v>
      </c>
      <c r="AA583">
        <v>47599.9</v>
      </c>
      <c r="AC583">
        <v>6843.4</v>
      </c>
      <c r="AE583">
        <v>19073.400000000001</v>
      </c>
      <c r="AG583">
        <v>153.5</v>
      </c>
      <c r="AI583">
        <v>101.6</v>
      </c>
      <c r="AK583">
        <v>204.7</v>
      </c>
      <c r="AM583">
        <v>95.4</v>
      </c>
      <c r="AO583">
        <v>80.7</v>
      </c>
      <c r="AQ583">
        <v>35.1</v>
      </c>
      <c r="AS583">
        <v>73.2</v>
      </c>
      <c r="AU583">
        <v>43.9</v>
      </c>
      <c r="AW583">
        <v>17.2</v>
      </c>
      <c r="AY583">
        <v>45.6</v>
      </c>
      <c r="BA583">
        <v>6321.3</v>
      </c>
      <c r="BC583">
        <v>110.7</v>
      </c>
      <c r="BE583">
        <v>59.9</v>
      </c>
      <c r="BG583">
        <v>1234.4000000000001</v>
      </c>
      <c r="BI583">
        <v>4186.2</v>
      </c>
      <c r="BK583">
        <v>1510.4</v>
      </c>
      <c r="BM583">
        <v>789</v>
      </c>
      <c r="BO583">
        <v>22607.3</v>
      </c>
      <c r="BQ583">
        <v>2928</v>
      </c>
      <c r="BS583">
        <v>8333.2000000000007</v>
      </c>
      <c r="BU583">
        <v>8625.2999999999993</v>
      </c>
      <c r="BW583">
        <v>1094.2</v>
      </c>
      <c r="BY583">
        <v>2355.6</v>
      </c>
      <c r="CA583">
        <v>1499.7</v>
      </c>
      <c r="CC583">
        <v>37.6</v>
      </c>
      <c r="CE583">
        <v>92.5</v>
      </c>
      <c r="CG583">
        <v>770.9</v>
      </c>
      <c r="CI583">
        <v>1912.7</v>
      </c>
      <c r="CK583">
        <v>9360.7999999999993</v>
      </c>
      <c r="CM583">
        <v>161.19999999999999</v>
      </c>
      <c r="CO583">
        <v>693.7</v>
      </c>
      <c r="CQ583">
        <v>438.6</v>
      </c>
      <c r="CS583">
        <v>13603.6</v>
      </c>
      <c r="CU583">
        <v>2558.6999999999998</v>
      </c>
      <c r="CW583">
        <v>2023.3</v>
      </c>
      <c r="CY583">
        <v>491.7</v>
      </c>
      <c r="DA583">
        <v>4956.8</v>
      </c>
      <c r="DC583">
        <v>11.3</v>
      </c>
      <c r="DE583">
        <v>172.8</v>
      </c>
      <c r="DG583">
        <v>37.1</v>
      </c>
      <c r="DI583">
        <v>186.2</v>
      </c>
      <c r="DK583">
        <v>19.899999999999999</v>
      </c>
      <c r="DM583">
        <v>1120</v>
      </c>
      <c r="DO583">
        <v>635</v>
      </c>
      <c r="DQ583">
        <v>206.7</v>
      </c>
    </row>
    <row r="584" spans="1:121" x14ac:dyDescent="0.2">
      <c r="D584" t="s">
        <v>63</v>
      </c>
      <c r="G584">
        <v>4.2209999999999998E-2</v>
      </c>
      <c r="H584" t="s">
        <v>75</v>
      </c>
      <c r="I584">
        <v>1.324E-2</v>
      </c>
      <c r="J584" t="s">
        <v>75</v>
      </c>
      <c r="K584">
        <v>0.21543000000000001</v>
      </c>
      <c r="L584" t="s">
        <v>75</v>
      </c>
      <c r="M584">
        <v>9.0609999999999996E-2</v>
      </c>
      <c r="N584" t="s">
        <v>75</v>
      </c>
      <c r="O584">
        <v>4.62E-3</v>
      </c>
      <c r="P584" t="s">
        <v>75</v>
      </c>
      <c r="Q584">
        <v>5.8500000000000003E-2</v>
      </c>
      <c r="R584" t="s">
        <v>75</v>
      </c>
      <c r="S584">
        <v>4.0999999999999999E-4</v>
      </c>
      <c r="T584" t="s">
        <v>75</v>
      </c>
      <c r="U584">
        <v>9.9600000000000001E-3</v>
      </c>
      <c r="V584" t="s">
        <v>75</v>
      </c>
      <c r="W584">
        <v>2.606E-2</v>
      </c>
      <c r="X584" t="s">
        <v>75</v>
      </c>
      <c r="Y584">
        <v>0.11814</v>
      </c>
      <c r="Z584" t="s">
        <v>75</v>
      </c>
      <c r="AB584" t="s">
        <v>76</v>
      </c>
      <c r="AC584">
        <v>2.6067100000000001</v>
      </c>
      <c r="AD584" t="s">
        <v>75</v>
      </c>
      <c r="AE584">
        <v>13.712289999999999</v>
      </c>
      <c r="AF584" t="s">
        <v>75</v>
      </c>
      <c r="AG584">
        <v>-5.6100000000000004E-3</v>
      </c>
      <c r="AH584" t="s">
        <v>75</v>
      </c>
      <c r="AI584">
        <v>0.49574000000000001</v>
      </c>
      <c r="AJ584" t="s">
        <v>75</v>
      </c>
      <c r="AK584">
        <v>1.1299999999999999E-3</v>
      </c>
      <c r="AL584" t="s">
        <v>75</v>
      </c>
      <c r="AM584">
        <v>-1.6199999999999999E-3</v>
      </c>
      <c r="AN584" t="s">
        <v>75</v>
      </c>
      <c r="AO584">
        <v>3.5400000000000002E-3</v>
      </c>
      <c r="AP584" t="s">
        <v>75</v>
      </c>
      <c r="AQ584">
        <v>7.5000000000000002E-4</v>
      </c>
      <c r="AR584" t="s">
        <v>75</v>
      </c>
      <c r="AS584">
        <v>2.9999999999999997E-4</v>
      </c>
      <c r="AT584" t="s">
        <v>75</v>
      </c>
      <c r="AU584">
        <v>1.5200000000000001E-3</v>
      </c>
      <c r="AV584" t="s">
        <v>75</v>
      </c>
      <c r="AW584">
        <v>-2.9999999999999997E-4</v>
      </c>
      <c r="AX584" t="s">
        <v>75</v>
      </c>
      <c r="AY584">
        <v>5.9999999999999995E-4</v>
      </c>
      <c r="AZ584" t="s">
        <v>75</v>
      </c>
      <c r="BC584">
        <v>-2.0534300000000001</v>
      </c>
      <c r="BD584" t="s">
        <v>75</v>
      </c>
      <c r="BE584">
        <v>5.2500000000000003E-3</v>
      </c>
      <c r="BF584" t="s">
        <v>75</v>
      </c>
      <c r="BG584">
        <v>0.68928</v>
      </c>
      <c r="BH584" t="s">
        <v>75</v>
      </c>
      <c r="BI584">
        <v>0.68625999999999998</v>
      </c>
      <c r="BJ584" t="s">
        <v>75</v>
      </c>
      <c r="BK584">
        <v>0.68369000000000002</v>
      </c>
      <c r="BL584" t="s">
        <v>75</v>
      </c>
      <c r="BM584">
        <v>6.6479999999999997E-2</v>
      </c>
      <c r="BN584" t="s">
        <v>75</v>
      </c>
      <c r="BO584">
        <v>40.842460000000003</v>
      </c>
      <c r="BP584" t="s">
        <v>75</v>
      </c>
      <c r="BQ584">
        <v>4.0390300000000003</v>
      </c>
      <c r="BR584" t="s">
        <v>75</v>
      </c>
      <c r="BS584">
        <v>6.3968100000000003</v>
      </c>
      <c r="BT584" t="s">
        <v>75</v>
      </c>
      <c r="BU584">
        <v>24.080159999999999</v>
      </c>
      <c r="BV584" t="s">
        <v>75</v>
      </c>
      <c r="BW584">
        <v>11.96217</v>
      </c>
      <c r="BX584" t="s">
        <v>75</v>
      </c>
      <c r="BY584">
        <v>41.908819999999999</v>
      </c>
      <c r="BZ584" t="s">
        <v>75</v>
      </c>
      <c r="CA584">
        <v>42.784820000000003</v>
      </c>
      <c r="CB584" t="s">
        <v>75</v>
      </c>
      <c r="CC584">
        <v>0.14692</v>
      </c>
      <c r="CD584" t="s">
        <v>75</v>
      </c>
      <c r="CE584">
        <v>8.8900000000000003E-3</v>
      </c>
      <c r="CF584" t="s">
        <v>75</v>
      </c>
      <c r="CG584">
        <v>1.2143699999999999</v>
      </c>
      <c r="CH584" t="s">
        <v>75</v>
      </c>
      <c r="CI584">
        <v>0.92166999999999999</v>
      </c>
      <c r="CJ584" t="s">
        <v>75</v>
      </c>
      <c r="CK584">
        <v>6.0702199999999999</v>
      </c>
      <c r="CL584" t="s">
        <v>75</v>
      </c>
      <c r="CM584">
        <v>4.2500000000000003E-2</v>
      </c>
      <c r="CN584" t="s">
        <v>75</v>
      </c>
      <c r="CO584">
        <v>1.20604</v>
      </c>
      <c r="CP584" t="s">
        <v>75</v>
      </c>
      <c r="CQ584">
        <v>0.79798000000000002</v>
      </c>
      <c r="CR584" t="s">
        <v>75</v>
      </c>
      <c r="CS584">
        <v>183.64105000000001</v>
      </c>
      <c r="CT584" t="s">
        <v>75</v>
      </c>
      <c r="CV584" t="s">
        <v>76</v>
      </c>
      <c r="CW584">
        <v>2.7845399999999998</v>
      </c>
      <c r="CX584" t="s">
        <v>75</v>
      </c>
      <c r="DA584">
        <v>65.657660000000007</v>
      </c>
      <c r="DB584" t="s">
        <v>75</v>
      </c>
      <c r="DC584">
        <v>1.1520000000000001E-2</v>
      </c>
      <c r="DD584" t="s">
        <v>75</v>
      </c>
      <c r="DE584">
        <v>7.9288699999999999</v>
      </c>
      <c r="DF584" t="s">
        <v>75</v>
      </c>
      <c r="DG584">
        <v>0.81301999999999996</v>
      </c>
      <c r="DH584" t="s">
        <v>75</v>
      </c>
      <c r="DI584">
        <v>3.2741600000000002</v>
      </c>
      <c r="DJ584" t="s">
        <v>75</v>
      </c>
      <c r="DL584" t="s">
        <v>76</v>
      </c>
      <c r="DN584" t="s">
        <v>76</v>
      </c>
      <c r="DO584">
        <v>2.83677</v>
      </c>
      <c r="DP584" t="s">
        <v>75</v>
      </c>
    </row>
    <row r="585" spans="1:121" x14ac:dyDescent="0.2">
      <c r="D585" t="s">
        <v>64</v>
      </c>
      <c r="G585">
        <v>1.08E-3</v>
      </c>
      <c r="H585" t="s">
        <v>75</v>
      </c>
      <c r="I585">
        <v>1.72E-3</v>
      </c>
      <c r="J585" t="s">
        <v>75</v>
      </c>
      <c r="K585">
        <v>3.16E-3</v>
      </c>
      <c r="L585" t="s">
        <v>75</v>
      </c>
      <c r="M585">
        <v>2.2300000000000002E-3</v>
      </c>
      <c r="N585" t="s">
        <v>75</v>
      </c>
      <c r="O585">
        <v>1E-4</v>
      </c>
      <c r="P585" t="s">
        <v>75</v>
      </c>
      <c r="Q585">
        <v>4.2999999999999999E-4</v>
      </c>
      <c r="R585" t="s">
        <v>75</v>
      </c>
      <c r="S585">
        <v>5.0000000000000002E-5</v>
      </c>
      <c r="T585" t="s">
        <v>75</v>
      </c>
      <c r="U585">
        <v>2.7E-4</v>
      </c>
      <c r="V585" t="s">
        <v>75</v>
      </c>
      <c r="W585">
        <v>3.6999999999999999E-4</v>
      </c>
      <c r="X585" t="s">
        <v>75</v>
      </c>
      <c r="Y585">
        <v>4.1999999999999997E-3</v>
      </c>
      <c r="Z585" t="s">
        <v>75</v>
      </c>
      <c r="AC585">
        <v>3.9919999999999997E-2</v>
      </c>
      <c r="AD585" t="s">
        <v>75</v>
      </c>
      <c r="AE585">
        <v>0.19511999999999999</v>
      </c>
      <c r="AF585" t="s">
        <v>75</v>
      </c>
      <c r="AG585">
        <v>8.0000000000000007E-5</v>
      </c>
      <c r="AH585" t="s">
        <v>75</v>
      </c>
      <c r="AI585">
        <v>5.1799999999999997E-3</v>
      </c>
      <c r="AJ585" t="s">
        <v>75</v>
      </c>
      <c r="AK585">
        <v>1.1E-4</v>
      </c>
      <c r="AL585" t="s">
        <v>75</v>
      </c>
      <c r="AM585">
        <v>1.1E-4</v>
      </c>
      <c r="AN585" t="s">
        <v>75</v>
      </c>
      <c r="AO585">
        <v>3.1E-4</v>
      </c>
      <c r="AP585" t="s">
        <v>75</v>
      </c>
      <c r="AQ585">
        <v>1.4999999999999999E-4</v>
      </c>
      <c r="AR585" t="s">
        <v>75</v>
      </c>
      <c r="AS585">
        <v>3.3E-4</v>
      </c>
      <c r="AT585" t="s">
        <v>75</v>
      </c>
      <c r="AU585">
        <v>3.0000000000000001E-5</v>
      </c>
      <c r="AV585" t="s">
        <v>75</v>
      </c>
      <c r="AW585">
        <v>4.0000000000000003E-5</v>
      </c>
      <c r="AX585" t="s">
        <v>75</v>
      </c>
      <c r="AY585">
        <v>2.4000000000000001E-4</v>
      </c>
      <c r="AZ585" t="s">
        <v>75</v>
      </c>
      <c r="BC585">
        <v>3.8999999999999999E-4</v>
      </c>
      <c r="BD585" t="s">
        <v>75</v>
      </c>
      <c r="BE585">
        <v>4.0000000000000003E-5</v>
      </c>
      <c r="BF585" t="s">
        <v>75</v>
      </c>
      <c r="BG585">
        <v>9.4800000000000006E-3</v>
      </c>
      <c r="BH585" t="s">
        <v>75</v>
      </c>
      <c r="BI585">
        <v>1.924E-2</v>
      </c>
      <c r="BJ585" t="s">
        <v>75</v>
      </c>
      <c r="BK585">
        <v>1.0019999999999999E-2</v>
      </c>
      <c r="BL585" t="s">
        <v>75</v>
      </c>
      <c r="BM585">
        <v>1.4400000000000001E-3</v>
      </c>
      <c r="BN585" t="s">
        <v>75</v>
      </c>
      <c r="BO585">
        <v>0.84116000000000002</v>
      </c>
      <c r="BP585" t="s">
        <v>75</v>
      </c>
      <c r="BQ585">
        <v>0.13564000000000001</v>
      </c>
      <c r="BR585" t="s">
        <v>75</v>
      </c>
      <c r="BS585">
        <v>0.24152000000000001</v>
      </c>
      <c r="BT585" t="s">
        <v>75</v>
      </c>
      <c r="BU585">
        <v>0.70404999999999995</v>
      </c>
      <c r="BV585" t="s">
        <v>75</v>
      </c>
      <c r="BW585">
        <v>0.55586999999999998</v>
      </c>
      <c r="BX585" t="s">
        <v>75</v>
      </c>
      <c r="BY585">
        <v>1.0729900000000001</v>
      </c>
      <c r="BZ585" t="s">
        <v>75</v>
      </c>
      <c r="CA585">
        <v>1.17788</v>
      </c>
      <c r="CB585" t="s">
        <v>75</v>
      </c>
      <c r="CC585">
        <v>9.0399999999999994E-3</v>
      </c>
      <c r="CD585" t="s">
        <v>75</v>
      </c>
      <c r="CE585">
        <v>1.4499999999999999E-3</v>
      </c>
      <c r="CF585" t="s">
        <v>75</v>
      </c>
      <c r="CG585">
        <v>2.2089999999999999E-2</v>
      </c>
      <c r="CH585" t="s">
        <v>75</v>
      </c>
      <c r="CI585">
        <v>3.2750000000000001E-2</v>
      </c>
      <c r="CJ585" t="s">
        <v>75</v>
      </c>
      <c r="CK585">
        <v>0.17312</v>
      </c>
      <c r="CL585" t="s">
        <v>75</v>
      </c>
      <c r="CM585">
        <v>2.66E-3</v>
      </c>
      <c r="CN585" t="s">
        <v>75</v>
      </c>
      <c r="CO585">
        <v>2.9340000000000001E-2</v>
      </c>
      <c r="CP585" t="s">
        <v>75</v>
      </c>
      <c r="CQ585">
        <v>1.984E-2</v>
      </c>
      <c r="CR585" t="s">
        <v>75</v>
      </c>
      <c r="CS585">
        <v>2.6892800000000001</v>
      </c>
      <c r="CT585" t="s">
        <v>75</v>
      </c>
      <c r="CW585">
        <v>6.7830000000000001E-2</v>
      </c>
      <c r="CX585" t="s">
        <v>75</v>
      </c>
      <c r="DA585">
        <v>1.31809</v>
      </c>
      <c r="DB585" t="s">
        <v>75</v>
      </c>
      <c r="DC585">
        <v>5.96E-3</v>
      </c>
      <c r="DD585" t="s">
        <v>75</v>
      </c>
      <c r="DE585">
        <v>0.14895</v>
      </c>
      <c r="DF585" t="s">
        <v>75</v>
      </c>
      <c r="DG585">
        <v>0.21847</v>
      </c>
      <c r="DH585" t="s">
        <v>75</v>
      </c>
      <c r="DI585">
        <v>0.34762999999999999</v>
      </c>
      <c r="DJ585" t="s">
        <v>75</v>
      </c>
      <c r="DO585">
        <v>0.15159</v>
      </c>
      <c r="DP585" t="s">
        <v>75</v>
      </c>
    </row>
    <row r="586" spans="1:121" x14ac:dyDescent="0.2">
      <c r="D586" t="s">
        <v>65</v>
      </c>
      <c r="G586" t="s">
        <v>66</v>
      </c>
      <c r="I586" t="s">
        <v>66</v>
      </c>
      <c r="K586" t="s">
        <v>66</v>
      </c>
      <c r="M586" t="s">
        <v>66</v>
      </c>
      <c r="O586" t="s">
        <v>66</v>
      </c>
      <c r="Q586" t="s">
        <v>66</v>
      </c>
      <c r="S586" t="s">
        <v>66</v>
      </c>
      <c r="U586" t="s">
        <v>66</v>
      </c>
      <c r="W586" t="s">
        <v>66</v>
      </c>
      <c r="Y586" t="s">
        <v>66</v>
      </c>
      <c r="AA586" t="s">
        <v>66</v>
      </c>
      <c r="AC586" t="s">
        <v>66</v>
      </c>
      <c r="AE586" t="s">
        <v>66</v>
      </c>
      <c r="AG586" t="s">
        <v>66</v>
      </c>
      <c r="AI586" t="s">
        <v>66</v>
      </c>
      <c r="AK586" t="s">
        <v>66</v>
      </c>
      <c r="AM586" t="s">
        <v>66</v>
      </c>
      <c r="AO586" t="s">
        <v>66</v>
      </c>
      <c r="AQ586" t="s">
        <v>66</v>
      </c>
      <c r="AS586" t="s">
        <v>66</v>
      </c>
      <c r="AU586" t="s">
        <v>66</v>
      </c>
      <c r="AW586" t="s">
        <v>66</v>
      </c>
      <c r="AY586" t="s">
        <v>66</v>
      </c>
      <c r="BA586" t="s">
        <v>66</v>
      </c>
      <c r="BC586" t="s">
        <v>66</v>
      </c>
      <c r="BE586" t="s">
        <v>66</v>
      </c>
      <c r="BG586" t="s">
        <v>66</v>
      </c>
      <c r="BI586" t="s">
        <v>66</v>
      </c>
      <c r="BK586" t="s">
        <v>66</v>
      </c>
      <c r="BM586" t="s">
        <v>66</v>
      </c>
      <c r="BO586" t="s">
        <v>66</v>
      </c>
      <c r="BQ586" t="s">
        <v>66</v>
      </c>
      <c r="BS586" t="s">
        <v>66</v>
      </c>
      <c r="BU586" t="s">
        <v>66</v>
      </c>
      <c r="BW586" t="s">
        <v>66</v>
      </c>
      <c r="BY586" t="s">
        <v>66</v>
      </c>
      <c r="CA586" t="s">
        <v>66</v>
      </c>
      <c r="CC586" t="s">
        <v>66</v>
      </c>
      <c r="CE586" t="s">
        <v>66</v>
      </c>
      <c r="CG586" t="s">
        <v>66</v>
      </c>
      <c r="CI586" t="s">
        <v>66</v>
      </c>
      <c r="CK586" t="s">
        <v>66</v>
      </c>
      <c r="CM586" t="s">
        <v>66</v>
      </c>
      <c r="CO586" t="s">
        <v>66</v>
      </c>
      <c r="CQ586" t="s">
        <v>66</v>
      </c>
      <c r="CS586" t="s">
        <v>66</v>
      </c>
      <c r="CU586" t="s">
        <v>66</v>
      </c>
      <c r="CW586" t="s">
        <v>66</v>
      </c>
      <c r="CY586" t="s">
        <v>66</v>
      </c>
      <c r="DA586" t="s">
        <v>66</v>
      </c>
      <c r="DC586" t="s">
        <v>66</v>
      </c>
      <c r="DE586" t="s">
        <v>66</v>
      </c>
      <c r="DG586" t="s">
        <v>66</v>
      </c>
      <c r="DI586" t="s">
        <v>66</v>
      </c>
      <c r="DK586" t="s">
        <v>66</v>
      </c>
      <c r="DM586" t="s">
        <v>66</v>
      </c>
      <c r="DO586" t="s">
        <v>66</v>
      </c>
      <c r="DQ586" t="s">
        <v>66</v>
      </c>
    </row>
    <row r="587" spans="1:121" x14ac:dyDescent="0.2">
      <c r="A587" t="s">
        <v>687</v>
      </c>
      <c r="D587" t="s">
        <v>60</v>
      </c>
      <c r="E587" t="s">
        <v>61</v>
      </c>
      <c r="G587">
        <v>147447.29999999999</v>
      </c>
      <c r="I587">
        <v>33198.800000000003</v>
      </c>
      <c r="K587">
        <v>894776.3</v>
      </c>
      <c r="M587">
        <v>1185427.7</v>
      </c>
      <c r="O587">
        <v>1391588.3</v>
      </c>
      <c r="Q587">
        <v>170763.3</v>
      </c>
      <c r="S587">
        <v>1319593.5</v>
      </c>
      <c r="U587">
        <v>262370.8</v>
      </c>
      <c r="W587">
        <v>525110.30000000005</v>
      </c>
      <c r="Y587">
        <v>75888.7</v>
      </c>
      <c r="AA587">
        <v>3010232</v>
      </c>
      <c r="AC587">
        <v>301143.5</v>
      </c>
      <c r="AE587">
        <v>301968</v>
      </c>
      <c r="AG587">
        <v>1498445.5</v>
      </c>
      <c r="AI587">
        <v>626433.30000000005</v>
      </c>
      <c r="AK587">
        <v>1692727</v>
      </c>
      <c r="AM587">
        <v>1538298</v>
      </c>
      <c r="AO587">
        <v>314545.2</v>
      </c>
      <c r="AQ587">
        <v>271250.40000000002</v>
      </c>
      <c r="AS587">
        <v>259434.8</v>
      </c>
      <c r="AU587">
        <v>1803487.5</v>
      </c>
      <c r="AW587">
        <v>484357.3</v>
      </c>
      <c r="AY587">
        <v>364461.1</v>
      </c>
      <c r="BA587">
        <v>696198.8</v>
      </c>
      <c r="BC587">
        <v>287268.3</v>
      </c>
      <c r="BE587">
        <v>1189269.3</v>
      </c>
      <c r="BG587">
        <v>400614.3</v>
      </c>
      <c r="BI587">
        <v>343193.1</v>
      </c>
      <c r="BK587">
        <v>855713.4</v>
      </c>
      <c r="BM587">
        <v>1304587.3</v>
      </c>
      <c r="BO587">
        <v>390389.6</v>
      </c>
      <c r="BQ587">
        <v>241968.7</v>
      </c>
      <c r="BS587">
        <v>190388.7</v>
      </c>
      <c r="BU587">
        <v>641116.69999999995</v>
      </c>
      <c r="BW587">
        <v>3118.6</v>
      </c>
      <c r="BY587">
        <v>106014</v>
      </c>
      <c r="CA587">
        <v>21119</v>
      </c>
      <c r="CC587">
        <v>5244.4</v>
      </c>
      <c r="CE587">
        <v>75036.3</v>
      </c>
      <c r="CG587">
        <v>66561.5</v>
      </c>
      <c r="CI587">
        <v>85443.199999999997</v>
      </c>
      <c r="CK587">
        <v>268021.09999999998</v>
      </c>
      <c r="CM587">
        <v>78438.5</v>
      </c>
      <c r="CO587">
        <v>17978.900000000001</v>
      </c>
      <c r="CQ587">
        <v>37025.199999999997</v>
      </c>
      <c r="CS587">
        <v>18869.5</v>
      </c>
      <c r="CU587">
        <v>252737.1</v>
      </c>
      <c r="CW587">
        <v>30956.3</v>
      </c>
      <c r="CY587">
        <v>59081.8</v>
      </c>
      <c r="DA587">
        <v>159248.5</v>
      </c>
      <c r="DC587">
        <v>2927.7</v>
      </c>
      <c r="DE587">
        <v>2323.9</v>
      </c>
      <c r="DG587">
        <v>556.1</v>
      </c>
      <c r="DI587">
        <v>4170.6000000000004</v>
      </c>
      <c r="DK587">
        <v>809.7</v>
      </c>
      <c r="DM587">
        <v>63233</v>
      </c>
      <c r="DO587">
        <v>6870.1</v>
      </c>
      <c r="DQ587">
        <v>14116.1</v>
      </c>
    </row>
    <row r="588" spans="1:121" x14ac:dyDescent="0.2">
      <c r="D588" t="s">
        <v>62</v>
      </c>
      <c r="E588" t="s">
        <v>61</v>
      </c>
      <c r="G588">
        <v>433</v>
      </c>
      <c r="I588">
        <v>669.8</v>
      </c>
      <c r="K588">
        <v>8772.6</v>
      </c>
      <c r="M588">
        <v>8525.4</v>
      </c>
      <c r="O588">
        <v>33952.6</v>
      </c>
      <c r="Q588">
        <v>1361.2</v>
      </c>
      <c r="S588">
        <v>11478</v>
      </c>
      <c r="U588">
        <v>588.79999999999995</v>
      </c>
      <c r="W588">
        <v>2513.6999999999998</v>
      </c>
      <c r="Y588">
        <v>1354.8</v>
      </c>
      <c r="AA588">
        <v>65125.8</v>
      </c>
      <c r="AC588">
        <v>364</v>
      </c>
      <c r="AE588">
        <v>1557.6</v>
      </c>
      <c r="AG588">
        <v>9178.4</v>
      </c>
      <c r="AI588">
        <v>5566.1</v>
      </c>
      <c r="AK588">
        <v>28351.599999999999</v>
      </c>
      <c r="AM588">
        <v>7742.3</v>
      </c>
      <c r="AO588">
        <v>2424.9</v>
      </c>
      <c r="AQ588">
        <v>873.3</v>
      </c>
      <c r="AS588">
        <v>694</v>
      </c>
      <c r="AU588">
        <v>17253.8</v>
      </c>
      <c r="AW588">
        <v>5397.4</v>
      </c>
      <c r="AY588">
        <v>9112.6</v>
      </c>
      <c r="BA588">
        <v>10765</v>
      </c>
      <c r="BC588">
        <v>1718.5</v>
      </c>
      <c r="BE588">
        <v>19078.599999999999</v>
      </c>
      <c r="BG588">
        <v>7291.8</v>
      </c>
      <c r="BI588">
        <v>4726.5</v>
      </c>
      <c r="BK588">
        <v>19573.5</v>
      </c>
      <c r="BM588">
        <v>13364.8</v>
      </c>
      <c r="BO588">
        <v>4623</v>
      </c>
      <c r="BQ588">
        <v>617.29999999999995</v>
      </c>
      <c r="BS588">
        <v>895.9</v>
      </c>
      <c r="BU588">
        <v>4520.5</v>
      </c>
      <c r="BW588">
        <v>93.6</v>
      </c>
      <c r="BY588">
        <v>477.2</v>
      </c>
      <c r="CA588">
        <v>166.8</v>
      </c>
      <c r="CC588">
        <v>92</v>
      </c>
      <c r="CE588">
        <v>703.9</v>
      </c>
      <c r="CG588">
        <v>589.1</v>
      </c>
      <c r="CI588">
        <v>1097</v>
      </c>
      <c r="CK588">
        <v>1986</v>
      </c>
      <c r="CM588">
        <v>1260.0999999999999</v>
      </c>
      <c r="CO588">
        <v>271</v>
      </c>
      <c r="CQ588">
        <v>358.6</v>
      </c>
      <c r="CS588">
        <v>507.7</v>
      </c>
      <c r="CU588">
        <v>1475.1</v>
      </c>
      <c r="CW588">
        <v>444.3</v>
      </c>
      <c r="CY588">
        <v>276.60000000000002</v>
      </c>
      <c r="DA588">
        <v>127</v>
      </c>
      <c r="DC588">
        <v>75.5</v>
      </c>
      <c r="DE588">
        <v>16</v>
      </c>
      <c r="DG588">
        <v>65.2</v>
      </c>
      <c r="DI588">
        <v>21.8</v>
      </c>
      <c r="DK588">
        <v>16.899999999999999</v>
      </c>
      <c r="DM588">
        <v>841.1</v>
      </c>
      <c r="DO588">
        <v>54.1</v>
      </c>
      <c r="DQ588">
        <v>96.7</v>
      </c>
    </row>
    <row r="589" spans="1:121" x14ac:dyDescent="0.2">
      <c r="D589" t="s">
        <v>63</v>
      </c>
      <c r="G589">
        <v>1.10629</v>
      </c>
      <c r="H589" t="s">
        <v>75</v>
      </c>
      <c r="I589">
        <v>1.11737</v>
      </c>
      <c r="J589" t="s">
        <v>75</v>
      </c>
      <c r="K589">
        <v>1.1048500000000001</v>
      </c>
      <c r="L589" t="s">
        <v>75</v>
      </c>
      <c r="M589">
        <v>1.1386400000000001</v>
      </c>
      <c r="N589" t="s">
        <v>75</v>
      </c>
      <c r="O589">
        <v>1.13239</v>
      </c>
      <c r="P589" t="s">
        <v>75</v>
      </c>
      <c r="Q589">
        <v>1.0947</v>
      </c>
      <c r="R589" t="s">
        <v>75</v>
      </c>
      <c r="S589">
        <v>1.12331</v>
      </c>
      <c r="T589" t="s">
        <v>75</v>
      </c>
      <c r="U589">
        <v>1.0626199999999999</v>
      </c>
      <c r="V589" t="s">
        <v>75</v>
      </c>
      <c r="W589">
        <v>1.08822</v>
      </c>
      <c r="X589" t="s">
        <v>75</v>
      </c>
      <c r="Y589">
        <v>1.09751</v>
      </c>
      <c r="Z589" t="s">
        <v>75</v>
      </c>
      <c r="AB589" t="s">
        <v>76</v>
      </c>
      <c r="AC589">
        <v>1.0850299999999999</v>
      </c>
      <c r="AD589" t="s">
        <v>75</v>
      </c>
      <c r="AE589">
        <v>1.14066</v>
      </c>
      <c r="AF589" t="s">
        <v>75</v>
      </c>
      <c r="AG589">
        <v>1.1293500000000001</v>
      </c>
      <c r="AH589" t="s">
        <v>75</v>
      </c>
      <c r="AI589">
        <v>3.85562</v>
      </c>
      <c r="AJ589" t="s">
        <v>75</v>
      </c>
      <c r="AK589">
        <v>1.12914</v>
      </c>
      <c r="AL589" t="s">
        <v>75</v>
      </c>
      <c r="AM589">
        <v>1.1198699999999999</v>
      </c>
      <c r="AN589" t="s">
        <v>75</v>
      </c>
      <c r="AO589">
        <v>1.12005</v>
      </c>
      <c r="AP589" t="s">
        <v>75</v>
      </c>
      <c r="AQ589">
        <v>1.1318900000000001</v>
      </c>
      <c r="AR589" t="s">
        <v>75</v>
      </c>
      <c r="AS589">
        <v>1.1206100000000001</v>
      </c>
      <c r="AT589" t="s">
        <v>75</v>
      </c>
      <c r="AU589">
        <v>1.1571899999999999</v>
      </c>
      <c r="AV589" t="s">
        <v>75</v>
      </c>
      <c r="AW589">
        <v>1.13615</v>
      </c>
      <c r="AX589" t="s">
        <v>75</v>
      </c>
      <c r="AY589">
        <v>1.1350800000000001</v>
      </c>
      <c r="AZ589" t="s">
        <v>75</v>
      </c>
      <c r="BC589">
        <v>-1.22265</v>
      </c>
      <c r="BD589" t="s">
        <v>75</v>
      </c>
      <c r="BE589">
        <v>1.1084400000000001</v>
      </c>
      <c r="BF589" t="s">
        <v>75</v>
      </c>
      <c r="BG589">
        <v>1.0829899999999999</v>
      </c>
      <c r="BH589" t="s">
        <v>75</v>
      </c>
      <c r="BI589">
        <v>1.08867</v>
      </c>
      <c r="BJ589" t="s">
        <v>75</v>
      </c>
      <c r="BK589">
        <v>1.0985</v>
      </c>
      <c r="BL589" t="s">
        <v>75</v>
      </c>
      <c r="BM589">
        <v>1.18405</v>
      </c>
      <c r="BN589" t="s">
        <v>75</v>
      </c>
      <c r="BO589">
        <v>6.9674500000000004</v>
      </c>
      <c r="BP589" t="s">
        <v>75</v>
      </c>
      <c r="BQ589">
        <v>7.8443699999999996</v>
      </c>
      <c r="BR589" t="s">
        <v>75</v>
      </c>
      <c r="BS589">
        <v>3.8465600000000002</v>
      </c>
      <c r="BT589" t="s">
        <v>75</v>
      </c>
      <c r="BU589">
        <v>6.2877400000000003</v>
      </c>
      <c r="BV589" t="s">
        <v>75</v>
      </c>
      <c r="BW589">
        <v>1.08439</v>
      </c>
      <c r="BX589" t="s">
        <v>75</v>
      </c>
      <c r="BY589">
        <v>21.924810000000001</v>
      </c>
      <c r="BZ589" t="s">
        <v>75</v>
      </c>
      <c r="CA589">
        <v>7.8131199999999996</v>
      </c>
      <c r="CB589" t="s">
        <v>75</v>
      </c>
      <c r="CC589">
        <v>1.11513</v>
      </c>
      <c r="CD589" t="s">
        <v>75</v>
      </c>
      <c r="CE589">
        <v>1.12643</v>
      </c>
      <c r="CF589" t="s">
        <v>75</v>
      </c>
      <c r="CG589">
        <v>1.1275599999999999</v>
      </c>
      <c r="CH589" t="s">
        <v>75</v>
      </c>
      <c r="CI589">
        <v>1.0963099999999999</v>
      </c>
      <c r="CJ589" t="s">
        <v>75</v>
      </c>
      <c r="CK589">
        <v>3.5002300000000002</v>
      </c>
      <c r="CL589" t="s">
        <v>75</v>
      </c>
      <c r="CM589">
        <v>1.11721</v>
      </c>
      <c r="CN589" t="s">
        <v>75</v>
      </c>
      <c r="CO589">
        <v>1.03637</v>
      </c>
      <c r="CP589" t="s">
        <v>75</v>
      </c>
      <c r="CQ589">
        <v>1.1029199999999999</v>
      </c>
      <c r="CR589" t="s">
        <v>75</v>
      </c>
      <c r="CS589">
        <v>4.8822099999999997</v>
      </c>
      <c r="CT589" t="s">
        <v>75</v>
      </c>
      <c r="CV589" t="s">
        <v>76</v>
      </c>
      <c r="CW589">
        <v>1.13408</v>
      </c>
      <c r="CX589" t="s">
        <v>75</v>
      </c>
      <c r="DA589">
        <v>10.73723</v>
      </c>
      <c r="DB589" t="s">
        <v>75</v>
      </c>
      <c r="DC589">
        <v>1.48566</v>
      </c>
      <c r="DD589" t="s">
        <v>75</v>
      </c>
      <c r="DE589">
        <v>1.19642</v>
      </c>
      <c r="DF589" t="s">
        <v>75</v>
      </c>
      <c r="DG589">
        <v>3.3180000000000001</v>
      </c>
      <c r="DH589" t="s">
        <v>75</v>
      </c>
      <c r="DI589">
        <v>8.0281000000000002</v>
      </c>
      <c r="DJ589" t="s">
        <v>75</v>
      </c>
      <c r="DL589" t="s">
        <v>76</v>
      </c>
      <c r="DN589" t="s">
        <v>76</v>
      </c>
      <c r="DO589">
        <v>1.1656599999999999</v>
      </c>
      <c r="DP589" t="s">
        <v>75</v>
      </c>
    </row>
    <row r="590" spans="1:121" x14ac:dyDescent="0.2">
      <c r="D590" t="s">
        <v>64</v>
      </c>
      <c r="G590">
        <v>1.478E-2</v>
      </c>
      <c r="H590" t="s">
        <v>75</v>
      </c>
      <c r="I590">
        <v>3.3799999999999997E-2</v>
      </c>
      <c r="J590" t="s">
        <v>75</v>
      </c>
      <c r="K590">
        <v>2.197E-2</v>
      </c>
      <c r="L590" t="s">
        <v>75</v>
      </c>
      <c r="M590">
        <v>1.8159999999999999E-2</v>
      </c>
      <c r="N590" t="s">
        <v>75</v>
      </c>
      <c r="O590">
        <v>2.419E-2</v>
      </c>
      <c r="P590" t="s">
        <v>75</v>
      </c>
      <c r="Q590">
        <v>1.3950000000000001E-2</v>
      </c>
      <c r="R590" t="s">
        <v>75</v>
      </c>
      <c r="S590">
        <v>1.925E-2</v>
      </c>
      <c r="T590" t="s">
        <v>75</v>
      </c>
      <c r="U590">
        <v>1.5769999999999999E-2</v>
      </c>
      <c r="V590" t="s">
        <v>75</v>
      </c>
      <c r="W590">
        <v>1.486E-2</v>
      </c>
      <c r="X590" t="s">
        <v>75</v>
      </c>
      <c r="Y590">
        <v>3.1609999999999999E-2</v>
      </c>
      <c r="Z590" t="s">
        <v>75</v>
      </c>
      <c r="AC590">
        <v>1.695E-2</v>
      </c>
      <c r="AD590" t="s">
        <v>75</v>
      </c>
      <c r="AE590">
        <v>2.0240000000000001E-2</v>
      </c>
      <c r="AF590" t="s">
        <v>75</v>
      </c>
      <c r="AG590">
        <v>2.0480000000000002E-2</v>
      </c>
      <c r="AH590" t="s">
        <v>75</v>
      </c>
      <c r="AI590">
        <v>2.682E-2</v>
      </c>
      <c r="AJ590" t="s">
        <v>75</v>
      </c>
      <c r="AK590">
        <v>3.3849999999999998E-2</v>
      </c>
      <c r="AL590" t="s">
        <v>75</v>
      </c>
      <c r="AM590">
        <v>2.0420000000000001E-2</v>
      </c>
      <c r="AN590" t="s">
        <v>75</v>
      </c>
      <c r="AO590">
        <v>2.4330000000000001E-2</v>
      </c>
      <c r="AP590" t="s">
        <v>75</v>
      </c>
      <c r="AQ590">
        <v>2.026E-2</v>
      </c>
      <c r="AR590" t="s">
        <v>75</v>
      </c>
      <c r="AS590">
        <v>1.44E-2</v>
      </c>
      <c r="AT590" t="s">
        <v>75</v>
      </c>
      <c r="AU590">
        <v>2.2450000000000001E-2</v>
      </c>
      <c r="AV590" t="s">
        <v>75</v>
      </c>
      <c r="AW590">
        <v>2.6630000000000001E-2</v>
      </c>
      <c r="AX590" t="s">
        <v>75</v>
      </c>
      <c r="AY590">
        <v>3.5990000000000001E-2</v>
      </c>
      <c r="AZ590" t="s">
        <v>75</v>
      </c>
      <c r="BC590">
        <v>1.5689999999999999E-2</v>
      </c>
      <c r="BD590" t="s">
        <v>75</v>
      </c>
      <c r="BE590">
        <v>2.3369999999999998E-2</v>
      </c>
      <c r="BF590" t="s">
        <v>75</v>
      </c>
      <c r="BG590">
        <v>3.0620000000000001E-2</v>
      </c>
      <c r="BH590" t="s">
        <v>75</v>
      </c>
      <c r="BI590">
        <v>2.6759999999999999E-2</v>
      </c>
      <c r="BJ590" t="s">
        <v>75</v>
      </c>
      <c r="BK590">
        <v>3.1919999999999997E-2</v>
      </c>
      <c r="BL590" t="s">
        <v>75</v>
      </c>
      <c r="BM590">
        <v>1.8100000000000002E-2</v>
      </c>
      <c r="BN590" t="s">
        <v>75</v>
      </c>
      <c r="BO590">
        <v>8.2070000000000004E-2</v>
      </c>
      <c r="BP590" t="s">
        <v>75</v>
      </c>
      <c r="BQ590">
        <v>1.78E-2</v>
      </c>
      <c r="BR590" t="s">
        <v>75</v>
      </c>
      <c r="BS590">
        <v>4.0039999999999999E-2</v>
      </c>
      <c r="BT590" t="s">
        <v>75</v>
      </c>
      <c r="BU590">
        <v>0.26249</v>
      </c>
      <c r="BV590" t="s">
        <v>75</v>
      </c>
      <c r="BW590">
        <v>4.5859999999999998E-2</v>
      </c>
      <c r="BX590" t="s">
        <v>75</v>
      </c>
      <c r="BY590">
        <v>4.1360000000000001E-2</v>
      </c>
      <c r="BZ590" t="s">
        <v>75</v>
      </c>
      <c r="CA590">
        <v>4.1029999999999997E-2</v>
      </c>
      <c r="CB590" t="s">
        <v>75</v>
      </c>
      <c r="CC590">
        <v>1.9709999999999998E-2</v>
      </c>
      <c r="CD590" t="s">
        <v>75</v>
      </c>
      <c r="CE590">
        <v>1.4840000000000001E-2</v>
      </c>
      <c r="CF590" t="s">
        <v>75</v>
      </c>
      <c r="CG590">
        <v>1.406E-2</v>
      </c>
      <c r="CH590" t="s">
        <v>75</v>
      </c>
      <c r="CI590">
        <v>1.6650000000000002E-2</v>
      </c>
      <c r="CJ590" t="s">
        <v>75</v>
      </c>
      <c r="CK590">
        <v>4.6260000000000003E-2</v>
      </c>
      <c r="CL590" t="s">
        <v>75</v>
      </c>
      <c r="CM590">
        <v>2.0930000000000001E-2</v>
      </c>
      <c r="CN590" t="s">
        <v>75</v>
      </c>
      <c r="CO590">
        <v>2.0209999999999999E-2</v>
      </c>
      <c r="CP590" t="s">
        <v>75</v>
      </c>
      <c r="CQ590">
        <v>1.6109999999999999E-2</v>
      </c>
      <c r="CR590" t="s">
        <v>75</v>
      </c>
      <c r="CS590">
        <v>0.11713999999999999</v>
      </c>
      <c r="CT590" t="s">
        <v>75</v>
      </c>
      <c r="CW590">
        <v>2.1600000000000001E-2</v>
      </c>
      <c r="CX590" t="s">
        <v>75</v>
      </c>
      <c r="DA590">
        <v>8.0790000000000001E-2</v>
      </c>
      <c r="DB590" t="s">
        <v>75</v>
      </c>
      <c r="DC590">
        <v>3.6299999999999999E-2</v>
      </c>
      <c r="DD590" t="s">
        <v>75</v>
      </c>
      <c r="DE590">
        <v>4.0800000000000003E-3</v>
      </c>
      <c r="DF590" t="s">
        <v>75</v>
      </c>
      <c r="DG590">
        <v>0.40917999999999999</v>
      </c>
      <c r="DH590" t="s">
        <v>75</v>
      </c>
      <c r="DI590">
        <v>9.2179999999999998E-2</v>
      </c>
      <c r="DJ590" t="s">
        <v>75</v>
      </c>
      <c r="DO590">
        <v>2.1199999999999999E-3</v>
      </c>
      <c r="DP590" t="s">
        <v>75</v>
      </c>
    </row>
    <row r="591" spans="1:121" x14ac:dyDescent="0.2">
      <c r="D591" t="s">
        <v>65</v>
      </c>
      <c r="G591" t="s">
        <v>66</v>
      </c>
      <c r="I591" t="s">
        <v>66</v>
      </c>
      <c r="K591" t="s">
        <v>66</v>
      </c>
      <c r="M591" t="s">
        <v>66</v>
      </c>
      <c r="O591" t="s">
        <v>66</v>
      </c>
      <c r="Q591" t="s">
        <v>66</v>
      </c>
      <c r="S591" t="s">
        <v>66</v>
      </c>
      <c r="U591" t="s">
        <v>66</v>
      </c>
      <c r="W591" t="s">
        <v>66</v>
      </c>
      <c r="Y591" t="s">
        <v>66</v>
      </c>
      <c r="AA591" t="s">
        <v>66</v>
      </c>
      <c r="AC591" t="s">
        <v>66</v>
      </c>
      <c r="AE591" t="s">
        <v>66</v>
      </c>
      <c r="AG591" t="s">
        <v>66</v>
      </c>
      <c r="AI591" t="s">
        <v>66</v>
      </c>
      <c r="AK591" t="s">
        <v>66</v>
      </c>
      <c r="AM591" t="s">
        <v>66</v>
      </c>
      <c r="AO591" t="s">
        <v>66</v>
      </c>
      <c r="AQ591" t="s">
        <v>66</v>
      </c>
      <c r="AS591" t="s">
        <v>66</v>
      </c>
      <c r="AU591" t="s">
        <v>66</v>
      </c>
      <c r="AW591" t="s">
        <v>66</v>
      </c>
      <c r="AY591" t="s">
        <v>66</v>
      </c>
      <c r="BA591" t="s">
        <v>66</v>
      </c>
      <c r="BC591" t="s">
        <v>66</v>
      </c>
      <c r="BE591" t="s">
        <v>66</v>
      </c>
      <c r="BG591" t="s">
        <v>66</v>
      </c>
      <c r="BI591" t="s">
        <v>66</v>
      </c>
      <c r="BK591" t="s">
        <v>66</v>
      </c>
      <c r="BM591" t="s">
        <v>66</v>
      </c>
      <c r="BO591" t="s">
        <v>66</v>
      </c>
      <c r="BQ591" t="s">
        <v>66</v>
      </c>
      <c r="BS591" t="s">
        <v>66</v>
      </c>
      <c r="BU591" t="s">
        <v>66</v>
      </c>
      <c r="BW591" t="s">
        <v>66</v>
      </c>
      <c r="BY591" t="s">
        <v>66</v>
      </c>
      <c r="CA591" t="s">
        <v>66</v>
      </c>
      <c r="CC591" t="s">
        <v>66</v>
      </c>
      <c r="CE591" t="s">
        <v>66</v>
      </c>
      <c r="CG591" t="s">
        <v>66</v>
      </c>
      <c r="CI591" t="s">
        <v>66</v>
      </c>
      <c r="CK591" t="s">
        <v>66</v>
      </c>
      <c r="CM591" t="s">
        <v>66</v>
      </c>
      <c r="CO591" t="s">
        <v>66</v>
      </c>
      <c r="CQ591" t="s">
        <v>66</v>
      </c>
      <c r="CS591" t="s">
        <v>66</v>
      </c>
      <c r="CU591" t="s">
        <v>66</v>
      </c>
      <c r="CW591" t="s">
        <v>66</v>
      </c>
      <c r="CY591" t="s">
        <v>66</v>
      </c>
      <c r="DA591" t="s">
        <v>66</v>
      </c>
      <c r="DC591" t="s">
        <v>66</v>
      </c>
      <c r="DE591" t="s">
        <v>66</v>
      </c>
      <c r="DG591" t="s">
        <v>66</v>
      </c>
      <c r="DI591" t="s">
        <v>66</v>
      </c>
      <c r="DK591" t="s">
        <v>66</v>
      </c>
      <c r="DM591" t="s">
        <v>66</v>
      </c>
      <c r="DO591" t="s">
        <v>66</v>
      </c>
      <c r="DQ591" t="s">
        <v>66</v>
      </c>
    </row>
    <row r="592" spans="1:121" x14ac:dyDescent="0.2">
      <c r="A592" t="s">
        <v>688</v>
      </c>
      <c r="D592" t="s">
        <v>60</v>
      </c>
      <c r="E592" t="s">
        <v>61</v>
      </c>
      <c r="G592">
        <v>9337.7999999999993</v>
      </c>
      <c r="I592">
        <v>798.6</v>
      </c>
      <c r="K592">
        <v>7636</v>
      </c>
      <c r="M592">
        <v>24501.4</v>
      </c>
      <c r="O592">
        <v>257.3</v>
      </c>
      <c r="Q592">
        <v>492.8</v>
      </c>
      <c r="S592">
        <v>1478.1</v>
      </c>
      <c r="U592">
        <v>1086.0999999999999</v>
      </c>
      <c r="W592">
        <v>1740.9</v>
      </c>
      <c r="Y592">
        <v>56.3</v>
      </c>
      <c r="AA592">
        <v>2899427.3</v>
      </c>
      <c r="AC592">
        <v>1510.4</v>
      </c>
      <c r="AE592">
        <v>4913.3999999999996</v>
      </c>
      <c r="AG592">
        <v>2378</v>
      </c>
      <c r="AI592">
        <v>5511.1</v>
      </c>
      <c r="AK592">
        <v>357.3</v>
      </c>
      <c r="AM592">
        <v>234.4</v>
      </c>
      <c r="AO592">
        <v>128.1</v>
      </c>
      <c r="AQ592">
        <v>375</v>
      </c>
      <c r="AS592">
        <v>243.8</v>
      </c>
      <c r="AU592">
        <v>303.2</v>
      </c>
      <c r="AW592">
        <v>167.7</v>
      </c>
      <c r="AY592">
        <v>1866</v>
      </c>
      <c r="BA592">
        <v>676338.4</v>
      </c>
      <c r="BC592">
        <v>2429.1999999999998</v>
      </c>
      <c r="BE592">
        <v>377.1</v>
      </c>
      <c r="BG592">
        <v>646.1</v>
      </c>
      <c r="BI592">
        <v>634.6</v>
      </c>
      <c r="BK592">
        <v>1493.8</v>
      </c>
      <c r="BM592">
        <v>1054.8</v>
      </c>
      <c r="BO592">
        <v>32468.5</v>
      </c>
      <c r="BQ592">
        <v>7757.1</v>
      </c>
      <c r="BS592">
        <v>12212.1</v>
      </c>
      <c r="BU592">
        <v>424134.7</v>
      </c>
      <c r="BW592">
        <v>452.8</v>
      </c>
      <c r="BY592">
        <v>22709.1</v>
      </c>
      <c r="CA592">
        <v>6660.2</v>
      </c>
      <c r="CC592">
        <v>25</v>
      </c>
      <c r="CE592">
        <v>147.19999999999999</v>
      </c>
      <c r="CG592">
        <v>522.29999999999995</v>
      </c>
      <c r="CI592">
        <v>154.6</v>
      </c>
      <c r="CK592">
        <v>2530.9</v>
      </c>
      <c r="CM592">
        <v>45.4</v>
      </c>
      <c r="CO592">
        <v>163.9</v>
      </c>
      <c r="CQ592">
        <v>248.2</v>
      </c>
      <c r="CS592">
        <v>589</v>
      </c>
      <c r="CU592">
        <v>254028.5</v>
      </c>
      <c r="CW592">
        <v>150.9</v>
      </c>
      <c r="CY592">
        <v>59357.7</v>
      </c>
      <c r="DA592">
        <v>16027.2</v>
      </c>
      <c r="DC592">
        <v>2.2999999999999998</v>
      </c>
      <c r="DE592">
        <v>124.2</v>
      </c>
      <c r="DG592">
        <v>183.4</v>
      </c>
      <c r="DI592">
        <v>2479.9</v>
      </c>
      <c r="DK592">
        <v>767.4</v>
      </c>
      <c r="DM592">
        <v>62282.1</v>
      </c>
      <c r="DO592">
        <v>41.3</v>
      </c>
      <c r="DQ592">
        <v>14108.4</v>
      </c>
    </row>
    <row r="593" spans="1:121" x14ac:dyDescent="0.2">
      <c r="D593" t="s">
        <v>62</v>
      </c>
      <c r="E593" t="s">
        <v>61</v>
      </c>
      <c r="G593">
        <v>267.3</v>
      </c>
      <c r="I593">
        <v>41.5</v>
      </c>
      <c r="K593">
        <v>107.9</v>
      </c>
      <c r="M593">
        <v>132</v>
      </c>
      <c r="O593">
        <v>25.3</v>
      </c>
      <c r="Q593">
        <v>88.7</v>
      </c>
      <c r="S593">
        <v>185</v>
      </c>
      <c r="U593">
        <v>129.9</v>
      </c>
      <c r="W593">
        <v>54.9</v>
      </c>
      <c r="Y593">
        <v>19</v>
      </c>
      <c r="AA593">
        <v>26048.7</v>
      </c>
      <c r="AC593">
        <v>75.099999999999994</v>
      </c>
      <c r="AE593">
        <v>180</v>
      </c>
      <c r="AG593">
        <v>142.1</v>
      </c>
      <c r="AI593">
        <v>178.8</v>
      </c>
      <c r="AK593">
        <v>32.799999999999997</v>
      </c>
      <c r="AM593">
        <v>14.3</v>
      </c>
      <c r="AO593">
        <v>24.8</v>
      </c>
      <c r="AQ593">
        <v>57.1</v>
      </c>
      <c r="AS593">
        <v>30.8</v>
      </c>
      <c r="AU593">
        <v>84</v>
      </c>
      <c r="AW593">
        <v>23</v>
      </c>
      <c r="AY593">
        <v>241.2</v>
      </c>
      <c r="BA593">
        <v>1981.2</v>
      </c>
      <c r="BC593">
        <v>22.2</v>
      </c>
      <c r="BE593">
        <v>27.3</v>
      </c>
      <c r="BG593">
        <v>63.3</v>
      </c>
      <c r="BI593">
        <v>37.9</v>
      </c>
      <c r="BK593">
        <v>20.3</v>
      </c>
      <c r="BM593">
        <v>128.6</v>
      </c>
      <c r="BO593">
        <v>666</v>
      </c>
      <c r="BQ593">
        <v>260.3</v>
      </c>
      <c r="BS593">
        <v>391.4</v>
      </c>
      <c r="BU593">
        <v>10144.6</v>
      </c>
      <c r="BW593">
        <v>19.399999999999999</v>
      </c>
      <c r="BY593">
        <v>221.6</v>
      </c>
      <c r="CA593">
        <v>48.8</v>
      </c>
      <c r="CC593">
        <v>2.8</v>
      </c>
      <c r="CE593">
        <v>10</v>
      </c>
      <c r="CG593">
        <v>32.1</v>
      </c>
      <c r="CI593">
        <v>29.4</v>
      </c>
      <c r="CK593">
        <v>102.7</v>
      </c>
      <c r="CM593">
        <v>8.5</v>
      </c>
      <c r="CO593">
        <v>14.7</v>
      </c>
      <c r="CQ593">
        <v>20.8</v>
      </c>
      <c r="CS593">
        <v>25.5</v>
      </c>
      <c r="CU593">
        <v>6551.4</v>
      </c>
      <c r="CW593">
        <v>12</v>
      </c>
      <c r="CY593">
        <v>710.2</v>
      </c>
      <c r="DA593">
        <v>345.2</v>
      </c>
      <c r="DC593">
        <v>2.5</v>
      </c>
      <c r="DE593">
        <v>34.4</v>
      </c>
      <c r="DG593">
        <v>24.5</v>
      </c>
      <c r="DI593">
        <v>298.2</v>
      </c>
      <c r="DK593">
        <v>60.2</v>
      </c>
      <c r="DM593">
        <v>818.9</v>
      </c>
      <c r="DO593">
        <v>4.5</v>
      </c>
      <c r="DQ593">
        <v>438.3</v>
      </c>
    </row>
    <row r="594" spans="1:121" x14ac:dyDescent="0.2">
      <c r="D594" t="s">
        <v>63</v>
      </c>
      <c r="G594">
        <v>3.9980000000000002E-2</v>
      </c>
      <c r="H594" t="s">
        <v>75</v>
      </c>
      <c r="I594">
        <v>1.532E-2</v>
      </c>
      <c r="J594" t="s">
        <v>75</v>
      </c>
      <c r="K594">
        <v>6.2500000000000003E-3</v>
      </c>
      <c r="L594" t="s">
        <v>75</v>
      </c>
      <c r="M594">
        <v>-9.2599999999999991E-3</v>
      </c>
      <c r="N594" t="s">
        <v>75</v>
      </c>
      <c r="O594">
        <v>3.14E-3</v>
      </c>
      <c r="P594" t="s">
        <v>75</v>
      </c>
      <c r="Q594">
        <v>2.419E-2</v>
      </c>
      <c r="R594" t="s">
        <v>75</v>
      </c>
      <c r="S594">
        <v>5.9999999999999995E-4</v>
      </c>
      <c r="T594" t="s">
        <v>75</v>
      </c>
      <c r="U594">
        <v>1.0149999999999999E-2</v>
      </c>
      <c r="V594" t="s">
        <v>75</v>
      </c>
      <c r="W594">
        <v>7.2500000000000004E-3</v>
      </c>
      <c r="X594" t="s">
        <v>75</v>
      </c>
      <c r="Y594">
        <v>8.4000000000000003E-4</v>
      </c>
      <c r="Z594" t="s">
        <v>75</v>
      </c>
      <c r="AB594" t="s">
        <v>76</v>
      </c>
      <c r="AC594">
        <v>4.709E-2</v>
      </c>
      <c r="AD594" t="s">
        <v>75</v>
      </c>
      <c r="AE594">
        <v>5.7669999999999999E-2</v>
      </c>
      <c r="AF594" t="s">
        <v>75</v>
      </c>
      <c r="AG594">
        <v>-1.4489999999999999E-2</v>
      </c>
      <c r="AH594" t="s">
        <v>75</v>
      </c>
      <c r="AI594">
        <v>3.492E-2</v>
      </c>
      <c r="AJ594" t="s">
        <v>75</v>
      </c>
      <c r="AK594">
        <v>-1.9E-3</v>
      </c>
      <c r="AL594" t="s">
        <v>75</v>
      </c>
      <c r="AM594">
        <v>-5.5100000000000001E-3</v>
      </c>
      <c r="AN594" t="s">
        <v>75</v>
      </c>
      <c r="AO594">
        <v>1.9E-3</v>
      </c>
      <c r="AP594" t="s">
        <v>75</v>
      </c>
      <c r="AQ594">
        <v>6.4999999999999997E-4</v>
      </c>
      <c r="AR594" t="s">
        <v>75</v>
      </c>
      <c r="AS594">
        <v>5.0000000000000002E-5</v>
      </c>
      <c r="AT594" t="s">
        <v>75</v>
      </c>
      <c r="AU594">
        <v>1.5499999999999999E-3</v>
      </c>
      <c r="AV594" t="s">
        <v>75</v>
      </c>
      <c r="AW594">
        <v>-3.8999999999999999E-4</v>
      </c>
      <c r="AX594" t="s">
        <v>75</v>
      </c>
      <c r="AY594">
        <v>-4.3299999999999996E-3</v>
      </c>
      <c r="AZ594" t="s">
        <v>75</v>
      </c>
      <c r="BC594">
        <v>-2.0526200000000001</v>
      </c>
      <c r="BD594" t="s">
        <v>75</v>
      </c>
      <c r="BE594">
        <v>2.9299999999999999E-3</v>
      </c>
      <c r="BF594" t="s">
        <v>75</v>
      </c>
      <c r="BG594">
        <v>-3.6940000000000001E-2</v>
      </c>
      <c r="BH594" t="s">
        <v>75</v>
      </c>
      <c r="BI594">
        <v>-1.4019999999999999E-2</v>
      </c>
      <c r="BJ594" t="s">
        <v>75</v>
      </c>
      <c r="BK594">
        <v>-4.5960000000000001E-2</v>
      </c>
      <c r="BL594" t="s">
        <v>75</v>
      </c>
      <c r="BM594">
        <v>-8.9999999999999993E-3</v>
      </c>
      <c r="BN594" t="s">
        <v>75</v>
      </c>
      <c r="BO594">
        <v>-1.0102</v>
      </c>
      <c r="BP594" t="s">
        <v>75</v>
      </c>
      <c r="BQ594">
        <v>-0.15581999999999999</v>
      </c>
      <c r="BR594" t="s">
        <v>75</v>
      </c>
      <c r="BS594">
        <v>-0.18496000000000001</v>
      </c>
      <c r="BT594" t="s">
        <v>75</v>
      </c>
      <c r="BU594">
        <v>-2.8485399999999998</v>
      </c>
      <c r="BV594" t="s">
        <v>75</v>
      </c>
      <c r="BW594">
        <v>-5.8520000000000003E-2</v>
      </c>
      <c r="BX594" t="s">
        <v>75</v>
      </c>
      <c r="BY594">
        <v>-1.7215100000000001</v>
      </c>
      <c r="BZ594" t="s">
        <v>75</v>
      </c>
      <c r="CA594">
        <v>-2.128E-2</v>
      </c>
      <c r="CB594" t="s">
        <v>75</v>
      </c>
      <c r="CC594">
        <v>-8.9099999999999995E-3</v>
      </c>
      <c r="CD594" t="s">
        <v>75</v>
      </c>
      <c r="CE594">
        <v>5.5999999999999995E-4</v>
      </c>
      <c r="CF594" t="s">
        <v>75</v>
      </c>
      <c r="CG594">
        <v>-8.4200000000000004E-3</v>
      </c>
      <c r="CH594" t="s">
        <v>75</v>
      </c>
      <c r="CI594">
        <v>-2.6689999999999998E-2</v>
      </c>
      <c r="CJ594" t="s">
        <v>75</v>
      </c>
      <c r="CK594">
        <v>-0.29360999999999998</v>
      </c>
      <c r="CL594" t="s">
        <v>75</v>
      </c>
      <c r="CM594">
        <v>-6.3400000000000001E-3</v>
      </c>
      <c r="CN594" t="s">
        <v>75</v>
      </c>
      <c r="CO594">
        <v>1.9609999999999999E-2</v>
      </c>
      <c r="CP594" t="s">
        <v>75</v>
      </c>
      <c r="CQ594">
        <v>-1.984E-2</v>
      </c>
      <c r="CR594" t="s">
        <v>75</v>
      </c>
      <c r="CS594">
        <v>5.5800000000000002E-2</v>
      </c>
      <c r="CT594" t="s">
        <v>75</v>
      </c>
      <c r="CV594" t="s">
        <v>76</v>
      </c>
      <c r="CW594">
        <v>-2.009E-2</v>
      </c>
      <c r="CX594" t="s">
        <v>75</v>
      </c>
      <c r="DA594">
        <v>0.87780999999999998</v>
      </c>
      <c r="DB594" t="s">
        <v>75</v>
      </c>
      <c r="DC594">
        <v>1.2E-4</v>
      </c>
      <c r="DD594" t="s">
        <v>75</v>
      </c>
      <c r="DE594">
        <v>4.6600000000000003E-2</v>
      </c>
      <c r="DF594" t="s">
        <v>75</v>
      </c>
      <c r="DG594">
        <v>1.05148</v>
      </c>
      <c r="DH594" t="s">
        <v>75</v>
      </c>
      <c r="DI594">
        <v>4.5834900000000003</v>
      </c>
      <c r="DJ594" t="s">
        <v>75</v>
      </c>
      <c r="DL594" t="s">
        <v>76</v>
      </c>
      <c r="DN594" t="s">
        <v>76</v>
      </c>
      <c r="DO594">
        <v>-1.1100000000000001E-3</v>
      </c>
      <c r="DP594" t="s">
        <v>75</v>
      </c>
    </row>
    <row r="595" spans="1:121" x14ac:dyDescent="0.2">
      <c r="D595" t="s">
        <v>64</v>
      </c>
      <c r="G595">
        <v>2.0600000000000002E-3</v>
      </c>
      <c r="H595" t="s">
        <v>75</v>
      </c>
      <c r="I595">
        <v>1.5100000000000001E-3</v>
      </c>
      <c r="J595" t="s">
        <v>75</v>
      </c>
      <c r="K595">
        <v>1.3999999999999999E-4</v>
      </c>
      <c r="L595" t="s">
        <v>75</v>
      </c>
      <c r="M595">
        <v>2.0000000000000001E-4</v>
      </c>
      <c r="N595" t="s">
        <v>75</v>
      </c>
      <c r="O595">
        <v>2.0000000000000002E-5</v>
      </c>
      <c r="P595" t="s">
        <v>75</v>
      </c>
      <c r="Q595">
        <v>5.8E-4</v>
      </c>
      <c r="R595" t="s">
        <v>75</v>
      </c>
      <c r="S595">
        <v>1.6000000000000001E-4</v>
      </c>
      <c r="T595" t="s">
        <v>75</v>
      </c>
      <c r="U595">
        <v>5.5000000000000003E-4</v>
      </c>
      <c r="V595" t="s">
        <v>75</v>
      </c>
      <c r="W595">
        <v>1.1E-4</v>
      </c>
      <c r="X595" t="s">
        <v>75</v>
      </c>
      <c r="Y595">
        <v>2.9E-4</v>
      </c>
      <c r="Z595" t="s">
        <v>75</v>
      </c>
      <c r="AC595">
        <v>2.7999999999999998E-4</v>
      </c>
      <c r="AD595" t="s">
        <v>75</v>
      </c>
      <c r="AE595">
        <v>6.7000000000000002E-4</v>
      </c>
      <c r="AF595" t="s">
        <v>75</v>
      </c>
      <c r="AG595">
        <v>1.1E-4</v>
      </c>
      <c r="AH595" t="s">
        <v>75</v>
      </c>
      <c r="AI595">
        <v>1.24E-3</v>
      </c>
      <c r="AJ595" t="s">
        <v>75</v>
      </c>
      <c r="AK595">
        <v>2.0000000000000002E-5</v>
      </c>
      <c r="AL595" t="s">
        <v>75</v>
      </c>
      <c r="AM595">
        <v>1.0000000000000001E-5</v>
      </c>
      <c r="AN595" t="s">
        <v>75</v>
      </c>
      <c r="AO595">
        <v>9.0000000000000006E-5</v>
      </c>
      <c r="AP595" t="s">
        <v>75</v>
      </c>
      <c r="AQ595">
        <v>2.5000000000000001E-4</v>
      </c>
      <c r="AR595" t="s">
        <v>75</v>
      </c>
      <c r="AS595">
        <v>1.3999999999999999E-4</v>
      </c>
      <c r="AT595" t="s">
        <v>75</v>
      </c>
      <c r="AU595">
        <v>6.0000000000000002E-5</v>
      </c>
      <c r="AV595" t="s">
        <v>75</v>
      </c>
      <c r="AW595">
        <v>6.0000000000000002E-5</v>
      </c>
      <c r="AX595" t="s">
        <v>75</v>
      </c>
      <c r="AY595">
        <v>7.9000000000000001E-4</v>
      </c>
      <c r="AZ595" t="s">
        <v>75</v>
      </c>
      <c r="BC595">
        <v>9.0000000000000006E-5</v>
      </c>
      <c r="BD595" t="s">
        <v>75</v>
      </c>
      <c r="BE595">
        <v>3.0000000000000001E-5</v>
      </c>
      <c r="BF595" t="s">
        <v>75</v>
      </c>
      <c r="BG595">
        <v>1.9000000000000001E-4</v>
      </c>
      <c r="BH595" t="s">
        <v>75</v>
      </c>
      <c r="BI595">
        <v>1.2999999999999999E-4</v>
      </c>
      <c r="BJ595" t="s">
        <v>75</v>
      </c>
      <c r="BK595">
        <v>6.0000000000000002E-5</v>
      </c>
      <c r="BL595" t="s">
        <v>75</v>
      </c>
      <c r="BM595">
        <v>1.2E-4</v>
      </c>
      <c r="BN595" t="s">
        <v>75</v>
      </c>
      <c r="BO595">
        <v>2.2849999999999999E-2</v>
      </c>
      <c r="BP595" t="s">
        <v>75</v>
      </c>
      <c r="BQ595">
        <v>1.1429999999999999E-2</v>
      </c>
      <c r="BR595" t="s">
        <v>75</v>
      </c>
      <c r="BS595">
        <v>9.8300000000000002E-3</v>
      </c>
      <c r="BT595" t="s">
        <v>75</v>
      </c>
      <c r="BU595">
        <v>0.54583999999999999</v>
      </c>
      <c r="BV595" t="s">
        <v>75</v>
      </c>
      <c r="BW595">
        <v>1.0109999999999999E-2</v>
      </c>
      <c r="BX595" t="s">
        <v>75</v>
      </c>
      <c r="BY595">
        <v>0.10469000000000001</v>
      </c>
      <c r="BZ595" t="s">
        <v>75</v>
      </c>
      <c r="CA595">
        <v>3.5220000000000001E-2</v>
      </c>
      <c r="CB595" t="s">
        <v>75</v>
      </c>
      <c r="CC595">
        <v>6.4000000000000005E-4</v>
      </c>
      <c r="CD595" t="s">
        <v>75</v>
      </c>
      <c r="CE595">
        <v>1.7000000000000001E-4</v>
      </c>
      <c r="CF595" t="s">
        <v>75</v>
      </c>
      <c r="CG595">
        <v>5.8E-4</v>
      </c>
      <c r="CH595" t="s">
        <v>75</v>
      </c>
      <c r="CI595">
        <v>3.6000000000000002E-4</v>
      </c>
      <c r="CJ595" t="s">
        <v>75</v>
      </c>
      <c r="CK595">
        <v>1.8500000000000001E-3</v>
      </c>
      <c r="CL595" t="s">
        <v>75</v>
      </c>
      <c r="CM595">
        <v>1.2E-4</v>
      </c>
      <c r="CN595" t="s">
        <v>75</v>
      </c>
      <c r="CO595">
        <v>8.1999999999999998E-4</v>
      </c>
      <c r="CP595" t="s">
        <v>75</v>
      </c>
      <c r="CQ595">
        <v>6.4000000000000005E-4</v>
      </c>
      <c r="CR595" t="s">
        <v>75</v>
      </c>
      <c r="CS595">
        <v>8.5000000000000006E-3</v>
      </c>
      <c r="CT595" t="s">
        <v>75</v>
      </c>
      <c r="CW595">
        <v>5.1000000000000004E-4</v>
      </c>
      <c r="CX595" t="s">
        <v>75</v>
      </c>
      <c r="DA595">
        <v>5.7189999999999998E-2</v>
      </c>
      <c r="DB595" t="s">
        <v>75</v>
      </c>
      <c r="DC595">
        <v>1.2999999999999999E-3</v>
      </c>
      <c r="DD595" t="s">
        <v>75</v>
      </c>
      <c r="DE595">
        <v>1.7569999999999999E-2</v>
      </c>
      <c r="DF595" t="s">
        <v>75</v>
      </c>
      <c r="DG595">
        <v>0.12809000000000001</v>
      </c>
      <c r="DH595" t="s">
        <v>75</v>
      </c>
      <c r="DI595">
        <v>0.44542999999999999</v>
      </c>
      <c r="DJ595" t="s">
        <v>75</v>
      </c>
      <c r="DO595">
        <v>7.1000000000000002E-4</v>
      </c>
      <c r="DP595" t="s">
        <v>75</v>
      </c>
    </row>
    <row r="596" spans="1:121" x14ac:dyDescent="0.2">
      <c r="D596" t="s">
        <v>65</v>
      </c>
      <c r="G596" t="s">
        <v>66</v>
      </c>
      <c r="I596" t="s">
        <v>66</v>
      </c>
      <c r="K596" t="s">
        <v>66</v>
      </c>
      <c r="M596" t="s">
        <v>66</v>
      </c>
      <c r="O596" t="s">
        <v>66</v>
      </c>
      <c r="Q596" t="s">
        <v>66</v>
      </c>
      <c r="S596" t="s">
        <v>66</v>
      </c>
      <c r="U596" t="s">
        <v>66</v>
      </c>
      <c r="W596" t="s">
        <v>66</v>
      </c>
      <c r="Y596" t="s">
        <v>66</v>
      </c>
      <c r="AA596" t="s">
        <v>66</v>
      </c>
      <c r="AC596" t="s">
        <v>66</v>
      </c>
      <c r="AE596" t="s">
        <v>66</v>
      </c>
      <c r="AG596" t="s">
        <v>66</v>
      </c>
      <c r="AI596" t="s">
        <v>66</v>
      </c>
      <c r="AK596" t="s">
        <v>66</v>
      </c>
      <c r="AM596" t="s">
        <v>66</v>
      </c>
      <c r="AO596" t="s">
        <v>66</v>
      </c>
      <c r="AQ596" t="s">
        <v>66</v>
      </c>
      <c r="AS596" t="s">
        <v>66</v>
      </c>
      <c r="AU596" t="s">
        <v>66</v>
      </c>
      <c r="AW596" t="s">
        <v>66</v>
      </c>
      <c r="AY596" t="s">
        <v>66</v>
      </c>
      <c r="BA596" t="s">
        <v>66</v>
      </c>
      <c r="BC596" t="s">
        <v>66</v>
      </c>
      <c r="BE596" t="s">
        <v>66</v>
      </c>
      <c r="BG596" t="s">
        <v>66</v>
      </c>
      <c r="BI596" t="s">
        <v>66</v>
      </c>
      <c r="BK596" t="s">
        <v>66</v>
      </c>
      <c r="BM596" t="s">
        <v>66</v>
      </c>
      <c r="BO596" t="s">
        <v>66</v>
      </c>
      <c r="BQ596" t="s">
        <v>66</v>
      </c>
      <c r="BS596" t="s">
        <v>66</v>
      </c>
      <c r="BU596" t="s">
        <v>66</v>
      </c>
      <c r="BW596" t="s">
        <v>66</v>
      </c>
      <c r="BY596" t="s">
        <v>66</v>
      </c>
      <c r="CA596" t="s">
        <v>66</v>
      </c>
      <c r="CC596" t="s">
        <v>66</v>
      </c>
      <c r="CE596" t="s">
        <v>66</v>
      </c>
      <c r="CG596" t="s">
        <v>66</v>
      </c>
      <c r="CI596" t="s">
        <v>66</v>
      </c>
      <c r="CK596" t="s">
        <v>66</v>
      </c>
      <c r="CM596" t="s">
        <v>66</v>
      </c>
      <c r="CO596" t="s">
        <v>66</v>
      </c>
      <c r="CQ596" t="s">
        <v>66</v>
      </c>
      <c r="CS596" t="s">
        <v>66</v>
      </c>
      <c r="CU596" t="s">
        <v>66</v>
      </c>
      <c r="CW596" t="s">
        <v>66</v>
      </c>
      <c r="CY596" t="s">
        <v>66</v>
      </c>
      <c r="DA596" t="s">
        <v>66</v>
      </c>
      <c r="DC596" t="s">
        <v>66</v>
      </c>
      <c r="DE596" t="s">
        <v>66</v>
      </c>
      <c r="DG596" t="s">
        <v>66</v>
      </c>
      <c r="DI596" t="s">
        <v>66</v>
      </c>
      <c r="DK596" t="s">
        <v>66</v>
      </c>
      <c r="DM596" t="s">
        <v>66</v>
      </c>
      <c r="DO596" t="s">
        <v>66</v>
      </c>
      <c r="DQ596" t="s">
        <v>66</v>
      </c>
    </row>
    <row r="600" spans="1:121" x14ac:dyDescent="0.2">
      <c r="A600" t="s">
        <v>187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M269"/>
  <sheetViews>
    <sheetView workbookViewId="0">
      <pane xSplit="2" ySplit="1" topLeftCell="C2" activePane="bottomRight" state="frozen"/>
      <selection activeCell="L25" sqref="L25"/>
      <selection pane="topRight" activeCell="L25" sqref="L25"/>
      <selection pane="bottomLeft" activeCell="L25" sqref="L25"/>
      <selection pane="bottomRight" sqref="A1:L269"/>
    </sheetView>
  </sheetViews>
  <sheetFormatPr defaultRowHeight="12.75" x14ac:dyDescent="0.2"/>
  <cols>
    <col min="1" max="1" width="15.28515625" customWidth="1"/>
    <col min="3" max="5" width="9.42578125" customWidth="1"/>
    <col min="6" max="6" width="7.7109375" customWidth="1"/>
    <col min="7" max="7" width="7.5703125" customWidth="1"/>
    <col min="8" max="8" width="8" customWidth="1"/>
    <col min="9" max="9" width="8.28515625" customWidth="1"/>
    <col min="10" max="10" width="8.7109375" customWidth="1"/>
    <col min="11" max="11" width="7.7109375" customWidth="1"/>
    <col min="12" max="12" width="7.42578125" customWidth="1"/>
  </cols>
  <sheetData>
    <row r="1" spans="1:13" ht="35.25" customHeight="1" x14ac:dyDescent="0.2">
      <c r="A1" s="1" t="s">
        <v>188</v>
      </c>
      <c r="B1" s="2" t="s">
        <v>189</v>
      </c>
      <c r="C1" s="3" t="s">
        <v>190</v>
      </c>
      <c r="D1" s="4" t="s">
        <v>191</v>
      </c>
      <c r="E1" s="3" t="s">
        <v>192</v>
      </c>
      <c r="F1" s="3" t="s">
        <v>193</v>
      </c>
      <c r="G1" s="3" t="s">
        <v>194</v>
      </c>
      <c r="H1" s="3" t="s">
        <v>195</v>
      </c>
      <c r="I1" s="4" t="s">
        <v>80</v>
      </c>
      <c r="J1" s="3" t="s">
        <v>196</v>
      </c>
      <c r="K1" s="4" t="s">
        <v>79</v>
      </c>
      <c r="L1" s="3" t="s">
        <v>197</v>
      </c>
      <c r="M1" s="2"/>
    </row>
    <row r="2" spans="1:13" x14ac:dyDescent="0.2">
      <c r="A2" s="5" t="s">
        <v>198</v>
      </c>
      <c r="B2" s="6">
        <v>8.0283443791659935E-3</v>
      </c>
      <c r="C2" s="7"/>
      <c r="D2" s="7">
        <v>1.25</v>
      </c>
      <c r="E2" s="7"/>
      <c r="F2" s="7">
        <v>8.0809999999999995</v>
      </c>
      <c r="G2" s="7">
        <f>F2/10</f>
        <v>0.80809999999999993</v>
      </c>
      <c r="H2" s="7">
        <f>F2/100</f>
        <v>8.0809999999999993E-2</v>
      </c>
      <c r="I2" s="7">
        <v>0.96060000000000001</v>
      </c>
      <c r="J2" s="7">
        <f>I2*10/100</f>
        <v>9.6059999999999993E-2</v>
      </c>
      <c r="K2" s="7">
        <f>I2*2/100</f>
        <v>1.9212E-2</v>
      </c>
      <c r="L2" s="7">
        <f>I2*1/100</f>
        <v>9.606E-3</v>
      </c>
      <c r="M2" s="8"/>
    </row>
    <row r="3" spans="1:13" ht="15" x14ac:dyDescent="0.25">
      <c r="A3" s="5" t="s">
        <v>199</v>
      </c>
      <c r="B3" s="9">
        <v>0.09</v>
      </c>
      <c r="C3" s="7"/>
      <c r="D3" s="7">
        <v>4.5</v>
      </c>
      <c r="E3" s="7"/>
      <c r="F3" s="10">
        <v>53</v>
      </c>
      <c r="G3" s="7">
        <f>F3/10</f>
        <v>5.3</v>
      </c>
      <c r="H3" s="7">
        <f>F3/100</f>
        <v>0.53</v>
      </c>
      <c r="I3" s="7">
        <v>132.5</v>
      </c>
      <c r="J3" s="7">
        <f t="shared" ref="J3:J58" si="0">I3*10/100</f>
        <v>13.25</v>
      </c>
      <c r="K3" s="7">
        <f t="shared" ref="K3:K58" si="1">I3*2/100</f>
        <v>2.65</v>
      </c>
      <c r="L3" s="7">
        <f t="shared" ref="L3:L58" si="2">I3*1/100</f>
        <v>1.325</v>
      </c>
      <c r="M3" s="8"/>
    </row>
    <row r="4" spans="1:13" x14ac:dyDescent="0.2">
      <c r="A4" s="5" t="s">
        <v>200</v>
      </c>
      <c r="B4" s="6">
        <v>8.9388597929723923E-2</v>
      </c>
      <c r="C4" s="7"/>
      <c r="D4" s="7">
        <v>1.25</v>
      </c>
      <c r="E4" s="7"/>
      <c r="F4" s="7">
        <v>8.0749999999999993</v>
      </c>
      <c r="G4" s="7">
        <f>F4/10</f>
        <v>0.80749999999999988</v>
      </c>
      <c r="H4" s="7">
        <f>F4/100</f>
        <v>8.0749999999999988E-2</v>
      </c>
      <c r="I4" s="7">
        <v>56.85</v>
      </c>
      <c r="J4" s="7">
        <f t="shared" si="0"/>
        <v>5.6849999999999996</v>
      </c>
      <c r="K4" s="7">
        <f t="shared" si="1"/>
        <v>1.137</v>
      </c>
      <c r="L4" s="7">
        <f t="shared" si="2"/>
        <v>0.56850000000000001</v>
      </c>
      <c r="M4" s="8"/>
    </row>
    <row r="5" spans="1:13" x14ac:dyDescent="0.2">
      <c r="A5" s="5" t="s">
        <v>201</v>
      </c>
      <c r="B5" s="6">
        <v>6.2489392604703611E-2</v>
      </c>
      <c r="C5" s="7"/>
      <c r="D5" s="7">
        <v>4.5</v>
      </c>
      <c r="E5" s="7"/>
      <c r="F5" s="11">
        <v>151.80000000000001</v>
      </c>
      <c r="G5" s="7">
        <f>F5/10</f>
        <v>15.180000000000001</v>
      </c>
      <c r="H5" s="7">
        <f>F5/100</f>
        <v>1.518</v>
      </c>
      <c r="I5" s="7">
        <v>513.1</v>
      </c>
      <c r="J5" s="7">
        <f t="shared" si="0"/>
        <v>51.31</v>
      </c>
      <c r="K5" s="7">
        <f t="shared" si="1"/>
        <v>10.262</v>
      </c>
      <c r="L5" s="7">
        <f t="shared" si="2"/>
        <v>5.1310000000000002</v>
      </c>
      <c r="M5" s="8"/>
    </row>
    <row r="6" spans="1:13" x14ac:dyDescent="0.2">
      <c r="A6" s="5" t="s">
        <v>202</v>
      </c>
      <c r="B6" s="6">
        <v>1.9995592093187891E-2</v>
      </c>
      <c r="C6" s="7"/>
      <c r="D6" s="7">
        <v>1.25</v>
      </c>
      <c r="E6" s="7"/>
      <c r="F6" s="7">
        <v>3.0259999999999998</v>
      </c>
      <c r="G6" s="7">
        <f>F6/10</f>
        <v>0.30259999999999998</v>
      </c>
      <c r="H6" s="7">
        <f>F6/100</f>
        <v>3.0259999999999999E-2</v>
      </c>
      <c r="I6" s="7">
        <v>13.53</v>
      </c>
      <c r="J6" s="7">
        <f t="shared" si="0"/>
        <v>1.3529999999999998</v>
      </c>
      <c r="K6" s="7">
        <f t="shared" si="1"/>
        <v>0.27060000000000001</v>
      </c>
      <c r="L6" s="7">
        <f t="shared" si="2"/>
        <v>0.1353</v>
      </c>
      <c r="M6" s="8"/>
    </row>
    <row r="7" spans="1:13" x14ac:dyDescent="0.2">
      <c r="A7" s="5" t="s">
        <v>203</v>
      </c>
      <c r="B7" s="6">
        <v>1.4653964145126899E-3</v>
      </c>
      <c r="C7" s="7"/>
      <c r="D7" s="7">
        <v>1.25</v>
      </c>
      <c r="E7" s="7"/>
      <c r="F7" s="7">
        <v>1E-4</v>
      </c>
      <c r="G7" s="7">
        <v>1E-4</v>
      </c>
      <c r="H7" s="7">
        <v>1E-4</v>
      </c>
      <c r="I7" s="11">
        <v>12.5</v>
      </c>
      <c r="J7" s="7">
        <f t="shared" si="0"/>
        <v>1.25</v>
      </c>
      <c r="K7" s="7">
        <f t="shared" si="1"/>
        <v>0.25</v>
      </c>
      <c r="L7" s="7">
        <f t="shared" si="2"/>
        <v>0.125</v>
      </c>
      <c r="M7" s="8"/>
    </row>
    <row r="8" spans="1:13" x14ac:dyDescent="0.2">
      <c r="A8" s="5" t="s">
        <v>204</v>
      </c>
      <c r="B8" s="6">
        <v>1.9616421850595003</v>
      </c>
      <c r="C8" s="7"/>
      <c r="D8" s="7">
        <v>9</v>
      </c>
      <c r="E8" s="7"/>
      <c r="F8" s="12">
        <v>5615</v>
      </c>
      <c r="G8" s="7">
        <f>F8/10</f>
        <v>561.5</v>
      </c>
      <c r="H8" s="7">
        <f>F8/100</f>
        <v>56.15</v>
      </c>
      <c r="I8" s="7">
        <v>29140</v>
      </c>
      <c r="J8" s="7">
        <f t="shared" si="0"/>
        <v>2914</v>
      </c>
      <c r="K8" s="7">
        <f t="shared" si="1"/>
        <v>582.79999999999995</v>
      </c>
      <c r="L8" s="7">
        <f t="shared" si="2"/>
        <v>291.39999999999998</v>
      </c>
      <c r="M8" s="8"/>
    </row>
    <row r="9" spans="1:13" x14ac:dyDescent="0.2">
      <c r="A9" s="5" t="s">
        <v>205</v>
      </c>
      <c r="B9" s="6">
        <v>1.1997766052809834E-3</v>
      </c>
      <c r="C9" s="7"/>
      <c r="D9" s="7">
        <v>1.25</v>
      </c>
      <c r="E9" s="7"/>
      <c r="F9" s="7">
        <v>3.992</v>
      </c>
      <c r="G9" s="7">
        <f>F9/10</f>
        <v>0.3992</v>
      </c>
      <c r="H9" s="7">
        <f>F9/100</f>
        <v>3.9919999999999997E-2</v>
      </c>
      <c r="I9" s="7">
        <v>5.83</v>
      </c>
      <c r="J9" s="7">
        <f t="shared" si="0"/>
        <v>0.58299999999999996</v>
      </c>
      <c r="K9" s="7">
        <f t="shared" si="1"/>
        <v>0.1166</v>
      </c>
      <c r="L9" s="7">
        <f t="shared" si="2"/>
        <v>5.8299999999999998E-2</v>
      </c>
      <c r="M9" s="8"/>
    </row>
    <row r="10" spans="1:13" x14ac:dyDescent="0.2">
      <c r="A10" s="5" t="s">
        <v>206</v>
      </c>
      <c r="B10" s="6">
        <v>1.005268786295485E-3</v>
      </c>
      <c r="C10" s="7"/>
      <c r="D10" s="7">
        <v>1.25</v>
      </c>
      <c r="E10" s="7"/>
      <c r="F10" s="7">
        <v>1E-4</v>
      </c>
      <c r="G10" s="7">
        <v>1E-4</v>
      </c>
      <c r="H10" s="7">
        <v>1E-4</v>
      </c>
      <c r="I10" s="7">
        <v>1E-4</v>
      </c>
      <c r="J10" s="7">
        <v>1E-4</v>
      </c>
      <c r="K10" s="7">
        <v>1E-4</v>
      </c>
      <c r="L10" s="7">
        <v>1E-4</v>
      </c>
      <c r="M10" s="8"/>
    </row>
    <row r="11" spans="1:13" ht="15" x14ac:dyDescent="0.25">
      <c r="A11" s="5" t="s">
        <v>207</v>
      </c>
      <c r="B11" s="9">
        <v>2.5000000000000001E-2</v>
      </c>
      <c r="C11" s="7"/>
      <c r="D11" s="7">
        <v>1.25</v>
      </c>
      <c r="E11" s="7"/>
      <c r="F11" s="7">
        <v>20.239999999999998</v>
      </c>
      <c r="G11" s="7">
        <f>F11/10</f>
        <v>2.024</v>
      </c>
      <c r="H11" s="7">
        <f>F11/100</f>
        <v>0.2024</v>
      </c>
      <c r="I11" s="7">
        <v>25.05</v>
      </c>
      <c r="J11" s="7">
        <f t="shared" si="0"/>
        <v>2.5049999999999999</v>
      </c>
      <c r="K11" s="7">
        <f t="shared" si="1"/>
        <v>0.501</v>
      </c>
      <c r="L11" s="7">
        <f t="shared" si="2"/>
        <v>0.2505</v>
      </c>
      <c r="M11" s="8"/>
    </row>
    <row r="12" spans="1:13" ht="15" x14ac:dyDescent="0.25">
      <c r="A12" s="5" t="s">
        <v>208</v>
      </c>
      <c r="B12" s="9">
        <v>2.5000000000000001E-2</v>
      </c>
      <c r="C12" s="7"/>
      <c r="D12" s="7">
        <v>1.25</v>
      </c>
      <c r="E12" s="7"/>
      <c r="F12" s="7">
        <v>40.54</v>
      </c>
      <c r="G12" s="7">
        <f>F12/10</f>
        <v>4.0540000000000003</v>
      </c>
      <c r="H12" s="7">
        <f>F12/100</f>
        <v>0.40539999999999998</v>
      </c>
      <c r="I12" s="7">
        <v>18.32</v>
      </c>
      <c r="J12" s="7">
        <f t="shared" si="0"/>
        <v>1.8319999999999999</v>
      </c>
      <c r="K12" s="7">
        <f t="shared" si="1"/>
        <v>0.3664</v>
      </c>
      <c r="L12" s="7">
        <f t="shared" si="2"/>
        <v>0.1832</v>
      </c>
      <c r="M12" s="8"/>
    </row>
    <row r="13" spans="1:13" x14ac:dyDescent="0.2">
      <c r="A13" s="5" t="s">
        <v>209</v>
      </c>
      <c r="B13" s="6">
        <v>3.2059480380068573E-3</v>
      </c>
      <c r="C13" s="7"/>
      <c r="D13" s="7">
        <v>1.25</v>
      </c>
      <c r="E13" s="7"/>
      <c r="F13" s="7">
        <v>1E-4</v>
      </c>
      <c r="G13" s="7">
        <v>1E-4</v>
      </c>
      <c r="H13" s="7">
        <v>1E-4</v>
      </c>
      <c r="I13" s="7">
        <v>1E-4</v>
      </c>
      <c r="J13" s="7">
        <v>1E-4</v>
      </c>
      <c r="K13" s="7">
        <v>1E-4</v>
      </c>
      <c r="L13" s="7">
        <v>1E-4</v>
      </c>
      <c r="M13" s="8"/>
    </row>
    <row r="14" spans="1:13" ht="15" x14ac:dyDescent="0.25">
      <c r="A14" s="5" t="s">
        <v>210</v>
      </c>
      <c r="B14" s="9">
        <v>2.5000000000000001E-2</v>
      </c>
      <c r="C14" s="7"/>
      <c r="D14" s="7">
        <v>1.25</v>
      </c>
      <c r="E14" s="7"/>
      <c r="F14" s="7">
        <v>85.75</v>
      </c>
      <c r="G14" s="7">
        <f>F14/10</f>
        <v>8.5749999999999993</v>
      </c>
      <c r="H14" s="7">
        <f>F14/100</f>
        <v>0.85750000000000004</v>
      </c>
      <c r="I14" s="7">
        <v>21.44</v>
      </c>
      <c r="J14" s="7">
        <f t="shared" si="0"/>
        <v>2.1440000000000001</v>
      </c>
      <c r="K14" s="7">
        <f t="shared" si="1"/>
        <v>0.42880000000000001</v>
      </c>
      <c r="L14" s="7">
        <f t="shared" si="2"/>
        <v>0.21440000000000001</v>
      </c>
      <c r="M14" s="8"/>
    </row>
    <row r="15" spans="1:13" x14ac:dyDescent="0.2">
      <c r="A15" s="5" t="s">
        <v>211</v>
      </c>
      <c r="B15" s="6">
        <v>1.2859075713803595E-3</v>
      </c>
      <c r="C15" s="7"/>
      <c r="D15" s="7">
        <v>1.25</v>
      </c>
      <c r="E15" s="7"/>
      <c r="F15" s="7">
        <v>1E-4</v>
      </c>
      <c r="G15" s="7">
        <v>1E-4</v>
      </c>
      <c r="H15" s="7">
        <v>1E-4</v>
      </c>
      <c r="I15" s="7">
        <v>1E-4</v>
      </c>
      <c r="J15" s="7">
        <v>1E-4</v>
      </c>
      <c r="K15" s="7">
        <v>1E-4</v>
      </c>
      <c r="L15" s="7">
        <v>1E-4</v>
      </c>
      <c r="M15" s="8"/>
    </row>
    <row r="16" spans="1:13" ht="15" x14ac:dyDescent="0.25">
      <c r="A16" s="5" t="s">
        <v>212</v>
      </c>
      <c r="B16" s="9">
        <v>0.09</v>
      </c>
      <c r="C16" s="7"/>
      <c r="D16" s="7">
        <v>4.5</v>
      </c>
      <c r="E16" s="7"/>
      <c r="F16" s="7">
        <v>36.799999999999997</v>
      </c>
      <c r="G16" s="7">
        <f>F16/10</f>
        <v>3.6799999999999997</v>
      </c>
      <c r="H16" s="7">
        <f>F16/100</f>
        <v>0.36799999999999999</v>
      </c>
      <c r="I16" s="7">
        <v>92.51</v>
      </c>
      <c r="J16" s="7">
        <f t="shared" ref="J16:J17" si="3">I16*10/100</f>
        <v>9.2509999999999994</v>
      </c>
      <c r="K16" s="7">
        <f t="shared" ref="K16:K17" si="4">I16*2/100</f>
        <v>1.8502000000000001</v>
      </c>
      <c r="L16" s="7">
        <f t="shared" ref="L16:L17" si="5">I16*1/100</f>
        <v>0.92510000000000003</v>
      </c>
      <c r="M16" s="8"/>
    </row>
    <row r="17" spans="1:13" ht="15" x14ac:dyDescent="0.25">
      <c r="A17" s="5" t="s">
        <v>213</v>
      </c>
      <c r="B17" s="9">
        <v>0.09</v>
      </c>
      <c r="C17" s="7"/>
      <c r="D17" s="7">
        <v>4.5</v>
      </c>
      <c r="E17" s="7"/>
      <c r="F17" s="7">
        <v>36.799999999999997</v>
      </c>
      <c r="G17" s="7">
        <f>F17/10</f>
        <v>3.6799999999999997</v>
      </c>
      <c r="H17" s="7">
        <f>F17/100</f>
        <v>0.36799999999999999</v>
      </c>
      <c r="I17" s="7">
        <v>92.51</v>
      </c>
      <c r="J17" s="7">
        <f t="shared" si="3"/>
        <v>9.2509999999999994</v>
      </c>
      <c r="K17" s="7">
        <f t="shared" si="4"/>
        <v>1.8502000000000001</v>
      </c>
      <c r="L17" s="7">
        <f t="shared" si="5"/>
        <v>0.92510000000000003</v>
      </c>
      <c r="M17" s="8"/>
    </row>
    <row r="18" spans="1:13" x14ac:dyDescent="0.2">
      <c r="A18" s="5" t="s">
        <v>214</v>
      </c>
      <c r="B18" s="6">
        <v>1.7668179998518599E-3</v>
      </c>
      <c r="C18" s="7"/>
      <c r="D18" s="7">
        <v>1.25</v>
      </c>
      <c r="E18" s="7"/>
      <c r="F18" s="7">
        <v>1E-4</v>
      </c>
      <c r="G18" s="7">
        <v>1E-4</v>
      </c>
      <c r="H18" s="7">
        <v>1E-4</v>
      </c>
      <c r="I18" s="7">
        <v>1E-4</v>
      </c>
      <c r="J18" s="7">
        <v>1E-4</v>
      </c>
      <c r="K18" s="7">
        <v>1E-4</v>
      </c>
      <c r="L18" s="7">
        <v>1E-4</v>
      </c>
      <c r="M18" s="8"/>
    </row>
    <row r="19" spans="1:13" x14ac:dyDescent="0.2">
      <c r="A19" s="5" t="s">
        <v>215</v>
      </c>
      <c r="B19" s="6">
        <v>6.3203668049409906E-3</v>
      </c>
      <c r="C19" s="7"/>
      <c r="D19" s="7">
        <v>1.25</v>
      </c>
      <c r="E19" s="7"/>
      <c r="F19" s="7">
        <v>1E-4</v>
      </c>
      <c r="G19" s="7">
        <v>1E-4</v>
      </c>
      <c r="H19" s="7">
        <v>1E-4</v>
      </c>
      <c r="I19" s="7">
        <v>1E-4</v>
      </c>
      <c r="J19" s="7">
        <v>1E-4</v>
      </c>
      <c r="K19" s="7">
        <v>1E-4</v>
      </c>
      <c r="L19" s="7">
        <v>1E-4</v>
      </c>
      <c r="M19" s="8"/>
    </row>
    <row r="20" spans="1:13" x14ac:dyDescent="0.2">
      <c r="A20" s="5" t="s">
        <v>216</v>
      </c>
      <c r="B20" s="13">
        <v>9.9999999999999995E-7</v>
      </c>
      <c r="C20" s="7"/>
      <c r="D20" s="7">
        <v>0</v>
      </c>
      <c r="E20" s="7"/>
      <c r="F20" s="7">
        <v>1E-4</v>
      </c>
      <c r="G20" s="7">
        <v>1E-4</v>
      </c>
      <c r="H20" s="7">
        <v>1E-4</v>
      </c>
      <c r="I20" s="7">
        <v>1E-4</v>
      </c>
      <c r="J20" s="7">
        <v>1E-4</v>
      </c>
      <c r="K20" s="7">
        <v>1E-4</v>
      </c>
      <c r="L20" s="7">
        <v>1E-4</v>
      </c>
      <c r="M20" s="14"/>
    </row>
    <row r="21" spans="1:13" x14ac:dyDescent="0.2">
      <c r="A21" s="5" t="s">
        <v>217</v>
      </c>
      <c r="B21" s="14">
        <v>9.9999999999999995E-7</v>
      </c>
      <c r="C21" s="7"/>
      <c r="D21" s="7">
        <v>0</v>
      </c>
      <c r="E21" s="7"/>
      <c r="F21" s="7">
        <v>1E-4</v>
      </c>
      <c r="G21" s="7">
        <v>1E-4</v>
      </c>
      <c r="H21" s="7">
        <v>1E-4</v>
      </c>
      <c r="I21" s="7">
        <v>1E-4</v>
      </c>
      <c r="J21" s="7">
        <v>1E-4</v>
      </c>
      <c r="K21" s="7">
        <v>1E-4</v>
      </c>
      <c r="L21" s="7">
        <v>1E-4</v>
      </c>
      <c r="M21" s="14"/>
    </row>
    <row r="22" spans="1:13" x14ac:dyDescent="0.2">
      <c r="A22" s="5" t="s">
        <v>218</v>
      </c>
      <c r="B22" s="6">
        <v>2.3164419793819366</v>
      </c>
      <c r="C22" s="7"/>
      <c r="D22" s="7">
        <v>9</v>
      </c>
      <c r="E22" s="7"/>
      <c r="F22" s="12">
        <v>579.9</v>
      </c>
      <c r="G22" s="7">
        <f>F22/10</f>
        <v>57.989999999999995</v>
      </c>
      <c r="H22" s="7">
        <f>F22/100</f>
        <v>5.7989999999999995</v>
      </c>
      <c r="I22" s="7">
        <v>1913.3</v>
      </c>
      <c r="J22" s="7">
        <f t="shared" si="0"/>
        <v>191.33</v>
      </c>
      <c r="K22" s="7">
        <f t="shared" si="1"/>
        <v>38.265999999999998</v>
      </c>
      <c r="L22" s="7">
        <f t="shared" si="2"/>
        <v>19.132999999999999</v>
      </c>
      <c r="M22" s="8"/>
    </row>
    <row r="23" spans="1:13" x14ac:dyDescent="0.2">
      <c r="A23" s="5" t="s">
        <v>219</v>
      </c>
      <c r="B23" s="6">
        <v>1.3888429601050432E-3</v>
      </c>
      <c r="C23" s="7"/>
      <c r="D23" s="7">
        <v>1.25</v>
      </c>
      <c r="E23" s="7"/>
      <c r="F23" s="7">
        <v>1E-4</v>
      </c>
      <c r="G23" s="7">
        <v>1E-4</v>
      </c>
      <c r="H23" s="7">
        <v>1E-4</v>
      </c>
      <c r="I23" s="7">
        <v>1E-4</v>
      </c>
      <c r="J23" s="7">
        <v>1E-4</v>
      </c>
      <c r="K23" s="7">
        <v>1E-4</v>
      </c>
      <c r="L23" s="7">
        <v>1E-4</v>
      </c>
      <c r="M23" s="8"/>
    </row>
    <row r="24" spans="1:13" x14ac:dyDescent="0.2">
      <c r="A24" s="5" t="s">
        <v>220</v>
      </c>
      <c r="B24" s="6">
        <v>5.7937650191649426E-2</v>
      </c>
      <c r="C24" s="7"/>
      <c r="D24" s="7">
        <v>1.25</v>
      </c>
      <c r="E24" s="7"/>
      <c r="F24" s="12">
        <v>0.40339999999999998</v>
      </c>
      <c r="G24" s="7">
        <f>F24/10</f>
        <v>4.0340000000000001E-2</v>
      </c>
      <c r="H24" s="7">
        <f>F24/100</f>
        <v>4.0339999999999994E-3</v>
      </c>
      <c r="I24" s="7">
        <v>16.420000000000002</v>
      </c>
      <c r="J24" s="7">
        <f t="shared" si="0"/>
        <v>1.6420000000000001</v>
      </c>
      <c r="K24" s="7">
        <f t="shared" si="1"/>
        <v>0.32840000000000003</v>
      </c>
      <c r="L24" s="7">
        <f t="shared" si="2"/>
        <v>0.16420000000000001</v>
      </c>
      <c r="M24" s="8"/>
    </row>
    <row r="25" spans="1:13" ht="15" x14ac:dyDescent="0.25">
      <c r="A25" s="5" t="s">
        <v>221</v>
      </c>
      <c r="B25" s="9">
        <v>0.18</v>
      </c>
      <c r="C25" s="7"/>
      <c r="D25" s="7">
        <v>9</v>
      </c>
      <c r="E25" s="7"/>
      <c r="F25" s="12">
        <v>1058.5999999999999</v>
      </c>
      <c r="G25" s="7">
        <f>F25/10</f>
        <v>105.85999999999999</v>
      </c>
      <c r="H25" s="7">
        <f>F25/100</f>
        <v>10.585999999999999</v>
      </c>
      <c r="I25" s="7">
        <v>7380</v>
      </c>
      <c r="J25" s="7">
        <f t="shared" si="0"/>
        <v>738</v>
      </c>
      <c r="K25" s="7">
        <f t="shared" si="1"/>
        <v>147.6</v>
      </c>
      <c r="L25" s="7">
        <f t="shared" si="2"/>
        <v>73.8</v>
      </c>
      <c r="M25" s="8"/>
    </row>
    <row r="26" spans="1:13" ht="15" x14ac:dyDescent="0.25">
      <c r="A26" s="5" t="s">
        <v>222</v>
      </c>
      <c r="B26" s="9">
        <v>2.5000000000000001E-2</v>
      </c>
      <c r="C26" s="7"/>
      <c r="D26" s="7">
        <v>1.25</v>
      </c>
      <c r="E26" s="7"/>
      <c r="F26" s="7">
        <v>40.39</v>
      </c>
      <c r="G26" s="7">
        <f>F26/10</f>
        <v>4.0389999999999997</v>
      </c>
      <c r="H26" s="7">
        <f>F26/100</f>
        <v>0.40389999999999998</v>
      </c>
      <c r="I26" s="7">
        <v>36.770000000000003</v>
      </c>
      <c r="J26" s="7">
        <f t="shared" si="0"/>
        <v>3.6770000000000005</v>
      </c>
      <c r="K26" s="7">
        <f t="shared" si="1"/>
        <v>0.73540000000000005</v>
      </c>
      <c r="L26" s="7">
        <f t="shared" si="2"/>
        <v>0.36770000000000003</v>
      </c>
      <c r="M26" s="8"/>
    </row>
    <row r="27" spans="1:13" x14ac:dyDescent="0.2">
      <c r="A27" s="5" t="s">
        <v>223</v>
      </c>
      <c r="B27" s="6">
        <v>2.7081141161237315E-2</v>
      </c>
      <c r="C27" s="7"/>
      <c r="D27" s="7">
        <v>1.25</v>
      </c>
      <c r="E27" s="7"/>
      <c r="F27" s="11">
        <v>45.6</v>
      </c>
      <c r="G27" s="7">
        <f>F27/10</f>
        <v>4.5600000000000005</v>
      </c>
      <c r="H27" s="7">
        <f>F27/100</f>
        <v>0.45600000000000002</v>
      </c>
      <c r="I27" s="7">
        <v>114.2</v>
      </c>
      <c r="J27" s="7">
        <f t="shared" si="0"/>
        <v>11.42</v>
      </c>
      <c r="K27" s="7">
        <f t="shared" si="1"/>
        <v>2.2840000000000003</v>
      </c>
      <c r="L27" s="7">
        <f t="shared" si="2"/>
        <v>1.1420000000000001</v>
      </c>
      <c r="M27" s="8"/>
    </row>
    <row r="28" spans="1:13" ht="15" x14ac:dyDescent="0.25">
      <c r="A28" s="5" t="s">
        <v>224</v>
      </c>
      <c r="B28" s="9">
        <v>0.18</v>
      </c>
      <c r="C28" s="7"/>
      <c r="D28" s="7">
        <v>9</v>
      </c>
      <c r="E28" s="7"/>
      <c r="F28" s="12">
        <v>3137</v>
      </c>
      <c r="G28" s="7">
        <f>F28/10</f>
        <v>313.7</v>
      </c>
      <c r="H28" s="7">
        <f>F28/100</f>
        <v>31.37</v>
      </c>
      <c r="I28" s="7">
        <v>18640</v>
      </c>
      <c r="J28" s="7">
        <f t="shared" si="0"/>
        <v>1864</v>
      </c>
      <c r="K28" s="7">
        <f t="shared" si="1"/>
        <v>372.8</v>
      </c>
      <c r="L28" s="7">
        <f t="shared" si="2"/>
        <v>186.4</v>
      </c>
      <c r="M28" s="8"/>
    </row>
    <row r="29" spans="1:13" x14ac:dyDescent="0.2">
      <c r="A29" s="5" t="s">
        <v>225</v>
      </c>
      <c r="B29" s="6">
        <v>2.0677676173343853E-3</v>
      </c>
      <c r="C29" s="7"/>
      <c r="D29" s="7">
        <v>1.25</v>
      </c>
      <c r="E29" s="7"/>
      <c r="F29" s="7">
        <v>1E-4</v>
      </c>
      <c r="G29" s="7">
        <v>1E-4</v>
      </c>
      <c r="H29" s="7">
        <v>1E-4</v>
      </c>
      <c r="I29" s="7">
        <v>1E-4</v>
      </c>
      <c r="J29" s="7">
        <v>1E-4</v>
      </c>
      <c r="K29" s="7">
        <v>1E-4</v>
      </c>
      <c r="L29" s="7">
        <v>1E-4</v>
      </c>
      <c r="M29" s="8"/>
    </row>
    <row r="30" spans="1:13" x14ac:dyDescent="0.2">
      <c r="A30" s="5" t="s">
        <v>226</v>
      </c>
      <c r="B30" s="6">
        <v>2.2300162274109019E-2</v>
      </c>
      <c r="C30" s="7"/>
      <c r="D30" s="7">
        <v>1.25</v>
      </c>
      <c r="E30" s="7"/>
      <c r="F30" s="7">
        <v>25.32</v>
      </c>
      <c r="G30" s="7">
        <f>F30/10</f>
        <v>2.532</v>
      </c>
      <c r="H30" s="7">
        <f>F30/100</f>
        <v>0.25319999999999998</v>
      </c>
      <c r="I30" s="7">
        <v>59.2</v>
      </c>
      <c r="J30" s="7">
        <f t="shared" si="0"/>
        <v>5.92</v>
      </c>
      <c r="K30" s="7">
        <f t="shared" si="1"/>
        <v>1.1840000000000002</v>
      </c>
      <c r="L30" s="7">
        <f t="shared" si="2"/>
        <v>0.59200000000000008</v>
      </c>
      <c r="M30" s="8"/>
    </row>
    <row r="31" spans="1:13" ht="15" x14ac:dyDescent="0.25">
      <c r="A31" s="5" t="s">
        <v>227</v>
      </c>
      <c r="B31" s="9">
        <v>2.5000000000000001E-2</v>
      </c>
      <c r="C31" s="7"/>
      <c r="D31" s="7">
        <v>1.25</v>
      </c>
      <c r="E31" s="7"/>
      <c r="F31" s="7">
        <v>1E-4</v>
      </c>
      <c r="G31" s="7">
        <v>1E-4</v>
      </c>
      <c r="H31" s="7">
        <v>1E-4</v>
      </c>
      <c r="I31" s="7">
        <v>1E-4</v>
      </c>
      <c r="J31" s="7">
        <v>1E-4</v>
      </c>
      <c r="K31" s="7">
        <v>1E-4</v>
      </c>
      <c r="L31" s="7">
        <v>1E-4</v>
      </c>
      <c r="M31" s="8"/>
    </row>
    <row r="32" spans="1:13" ht="15" x14ac:dyDescent="0.25">
      <c r="A32" s="5" t="s">
        <v>228</v>
      </c>
      <c r="B32" s="9">
        <v>2.5000000000000001E-2</v>
      </c>
      <c r="C32" s="7"/>
      <c r="D32" s="7">
        <v>1.25</v>
      </c>
      <c r="E32" s="7"/>
      <c r="F32" s="7">
        <v>12.101000000000001</v>
      </c>
      <c r="G32" s="7">
        <f>F32/10</f>
        <v>1.2101000000000002</v>
      </c>
      <c r="H32" s="7">
        <f>F32/100</f>
        <v>0.12101000000000001</v>
      </c>
      <c r="I32" s="7">
        <v>18.303000000000001</v>
      </c>
      <c r="J32" s="7">
        <f t="shared" si="0"/>
        <v>1.8303</v>
      </c>
      <c r="K32" s="7">
        <f t="shared" si="1"/>
        <v>0.36606</v>
      </c>
      <c r="L32" s="7">
        <f t="shared" si="2"/>
        <v>0.18303</v>
      </c>
      <c r="M32" s="8"/>
    </row>
    <row r="33" spans="1:13" ht="15" x14ac:dyDescent="0.25">
      <c r="A33" s="5" t="s">
        <v>229</v>
      </c>
      <c r="B33" s="9">
        <v>2.5000000000000001E-2</v>
      </c>
      <c r="C33" s="7"/>
      <c r="D33" s="7">
        <v>1.25</v>
      </c>
      <c r="E33" s="7"/>
      <c r="F33" s="7">
        <v>12.101000000000001</v>
      </c>
      <c r="G33" s="7">
        <f>F33/10</f>
        <v>1.2101000000000002</v>
      </c>
      <c r="H33" s="7">
        <f>F33/100</f>
        <v>0.12101000000000001</v>
      </c>
      <c r="I33" s="7">
        <v>18.303000000000001</v>
      </c>
      <c r="J33" s="7">
        <f t="shared" si="0"/>
        <v>1.8303</v>
      </c>
      <c r="K33" s="7">
        <f t="shared" si="1"/>
        <v>0.36606</v>
      </c>
      <c r="L33" s="7">
        <f t="shared" si="2"/>
        <v>0.18303</v>
      </c>
      <c r="M33" s="8"/>
    </row>
    <row r="34" spans="1:13" ht="15" x14ac:dyDescent="0.25">
      <c r="A34" s="5" t="s">
        <v>230</v>
      </c>
      <c r="B34" s="9">
        <v>2.5000000000000001E-2</v>
      </c>
      <c r="C34" s="7"/>
      <c r="D34" s="7">
        <v>1.25</v>
      </c>
      <c r="E34" s="7"/>
      <c r="F34" s="7">
        <v>12.101000000000001</v>
      </c>
      <c r="G34" s="7">
        <f>F34/10</f>
        <v>1.2101000000000002</v>
      </c>
      <c r="H34" s="7">
        <f>F34/100</f>
        <v>0.12101000000000001</v>
      </c>
      <c r="I34" s="7">
        <v>18.303000000000001</v>
      </c>
      <c r="J34" s="7">
        <f t="shared" si="0"/>
        <v>1.8303</v>
      </c>
      <c r="K34" s="7">
        <f t="shared" si="1"/>
        <v>0.36606</v>
      </c>
      <c r="L34" s="7">
        <f t="shared" si="2"/>
        <v>0.18303</v>
      </c>
      <c r="M34" s="8"/>
    </row>
    <row r="35" spans="1:13" x14ac:dyDescent="0.2">
      <c r="A35" s="5" t="s">
        <v>231</v>
      </c>
      <c r="B35" s="6">
        <v>1.7094525362833901E-2</v>
      </c>
      <c r="C35" s="7"/>
      <c r="D35" s="7">
        <v>1.25</v>
      </c>
      <c r="E35" s="7"/>
      <c r="F35" s="7">
        <v>1E-4</v>
      </c>
      <c r="G35" s="7">
        <v>1E-4</v>
      </c>
      <c r="H35" s="7">
        <v>1E-4</v>
      </c>
      <c r="I35" s="7">
        <v>1E-4</v>
      </c>
      <c r="J35" s="7">
        <v>1E-4</v>
      </c>
      <c r="K35" s="7">
        <v>1E-4</v>
      </c>
      <c r="L35" s="7">
        <v>1E-4</v>
      </c>
      <c r="M35" s="8"/>
    </row>
    <row r="36" spans="1:13" x14ac:dyDescent="0.2">
      <c r="A36" s="5" t="s">
        <v>232</v>
      </c>
      <c r="B36" s="6">
        <v>0.46997474876792067</v>
      </c>
      <c r="C36" s="7"/>
      <c r="D36" s="7">
        <v>1.25</v>
      </c>
      <c r="E36" s="7"/>
      <c r="F36" s="7">
        <v>1E-4</v>
      </c>
      <c r="G36" s="7">
        <v>1E-4</v>
      </c>
      <c r="H36" s="7">
        <v>1E-4</v>
      </c>
      <c r="I36" s="7">
        <v>1E-4</v>
      </c>
      <c r="J36" s="7">
        <v>1E-4</v>
      </c>
      <c r="K36" s="7">
        <v>1E-4</v>
      </c>
      <c r="L36" s="7">
        <v>1E-4</v>
      </c>
      <c r="M36" s="8"/>
    </row>
    <row r="37" spans="1:13" x14ac:dyDescent="0.2">
      <c r="A37" s="5" t="s">
        <v>233</v>
      </c>
      <c r="B37" s="6">
        <v>2.5376835892352741E-2</v>
      </c>
      <c r="C37" s="7"/>
      <c r="D37" s="7">
        <v>1.25</v>
      </c>
      <c r="E37" s="7"/>
      <c r="F37" s="12">
        <v>1.198</v>
      </c>
      <c r="G37" s="7">
        <f>F37/10</f>
        <v>0.11979999999999999</v>
      </c>
      <c r="H37" s="7">
        <f>F37/100</f>
        <v>1.1979999999999999E-2</v>
      </c>
      <c r="I37" s="7">
        <v>12.51</v>
      </c>
      <c r="J37" s="7">
        <f t="shared" si="0"/>
        <v>1.2509999999999999</v>
      </c>
      <c r="K37" s="7">
        <f t="shared" si="1"/>
        <v>0.25019999999999998</v>
      </c>
      <c r="L37" s="7">
        <f t="shared" si="2"/>
        <v>0.12509999999999999</v>
      </c>
      <c r="M37" s="8"/>
    </row>
    <row r="38" spans="1:13" x14ac:dyDescent="0.2">
      <c r="A38" s="5" t="s">
        <v>234</v>
      </c>
      <c r="B38" s="6">
        <v>2.9765901648763516E-3</v>
      </c>
      <c r="C38" s="7"/>
      <c r="D38" s="7">
        <v>1.25</v>
      </c>
      <c r="E38" s="7"/>
      <c r="F38" s="7">
        <v>1E-4</v>
      </c>
      <c r="G38" s="7">
        <v>1E-4</v>
      </c>
      <c r="H38" s="7">
        <v>1E-4</v>
      </c>
      <c r="I38" s="7">
        <v>1E-4</v>
      </c>
      <c r="J38" s="7">
        <v>1E-4</v>
      </c>
      <c r="K38" s="7">
        <v>1E-4</v>
      </c>
      <c r="L38" s="7">
        <v>1E-4</v>
      </c>
      <c r="M38" s="8"/>
    </row>
    <row r="39" spans="1:13" ht="15" x14ac:dyDescent="0.25">
      <c r="A39" s="5" t="s">
        <v>235</v>
      </c>
      <c r="B39" s="15">
        <v>0.5</v>
      </c>
      <c r="C39" s="7"/>
      <c r="D39" s="7">
        <v>25</v>
      </c>
      <c r="E39" s="7"/>
      <c r="F39" s="7">
        <v>1E-4</v>
      </c>
      <c r="G39" s="7">
        <v>1E-4</v>
      </c>
      <c r="H39" s="7">
        <v>1E-4</v>
      </c>
      <c r="I39" s="7">
        <v>1E-4</v>
      </c>
      <c r="J39" s="7">
        <v>1E-4</v>
      </c>
      <c r="K39" s="7">
        <v>1E-4</v>
      </c>
      <c r="L39" s="7">
        <v>1E-4</v>
      </c>
      <c r="M39" s="8"/>
    </row>
    <row r="40" spans="1:13" x14ac:dyDescent="0.2">
      <c r="A40" s="5" t="s">
        <v>236</v>
      </c>
      <c r="B40" s="6">
        <v>8.1692004032060131E-2</v>
      </c>
      <c r="C40" s="7"/>
      <c r="D40" s="7">
        <v>1.25</v>
      </c>
      <c r="E40" s="7"/>
      <c r="F40" s="7">
        <v>5.1050000000000004</v>
      </c>
      <c r="G40" s="7">
        <f>F40/10</f>
        <v>0.51050000000000006</v>
      </c>
      <c r="H40" s="7">
        <f>F40/100</f>
        <v>5.1050000000000005E-2</v>
      </c>
      <c r="I40" s="11">
        <v>54.9</v>
      </c>
      <c r="J40" s="7">
        <f t="shared" si="0"/>
        <v>5.49</v>
      </c>
      <c r="K40" s="7">
        <f t="shared" si="1"/>
        <v>1.0979999999999999</v>
      </c>
      <c r="L40" s="7">
        <f t="shared" si="2"/>
        <v>0.54899999999999993</v>
      </c>
      <c r="M40" s="8"/>
    </row>
    <row r="41" spans="1:13" x14ac:dyDescent="0.2">
      <c r="A41" s="5" t="s">
        <v>237</v>
      </c>
      <c r="B41" s="13">
        <v>0</v>
      </c>
      <c r="C41" s="7"/>
      <c r="D41" s="7">
        <v>1.25</v>
      </c>
      <c r="E41" s="7"/>
      <c r="F41" s="7">
        <v>1E-4</v>
      </c>
      <c r="G41" s="7">
        <v>1E-4</v>
      </c>
      <c r="H41" s="7">
        <v>1E-4</v>
      </c>
      <c r="I41" s="7">
        <v>1E-4</v>
      </c>
      <c r="J41" s="7">
        <v>1E-4</v>
      </c>
      <c r="K41" s="7">
        <v>1E-4</v>
      </c>
      <c r="L41" s="7">
        <v>1E-4</v>
      </c>
      <c r="M41" s="13"/>
    </row>
    <row r="42" spans="1:13" x14ac:dyDescent="0.2">
      <c r="A42" s="5" t="s">
        <v>238</v>
      </c>
      <c r="B42" s="6">
        <v>1.9111559446198938</v>
      </c>
      <c r="C42" s="7"/>
      <c r="D42" s="7">
        <v>1.25</v>
      </c>
      <c r="E42" s="7"/>
      <c r="F42" s="7">
        <v>20.13</v>
      </c>
      <c r="G42" s="7">
        <f>F42/10</f>
        <v>2.0129999999999999</v>
      </c>
      <c r="H42" s="7">
        <f>F42/100</f>
        <v>0.20129999999999998</v>
      </c>
      <c r="I42" s="7">
        <v>11.583</v>
      </c>
      <c r="J42" s="7">
        <f t="shared" si="0"/>
        <v>1.1582999999999999</v>
      </c>
      <c r="K42" s="7">
        <f t="shared" si="1"/>
        <v>0.23166</v>
      </c>
      <c r="L42" s="7">
        <f t="shared" si="2"/>
        <v>0.11583</v>
      </c>
      <c r="M42" s="8"/>
    </row>
    <row r="43" spans="1:13" x14ac:dyDescent="0.2">
      <c r="A43" s="5" t="s">
        <v>239</v>
      </c>
      <c r="B43" s="16">
        <v>0</v>
      </c>
      <c r="C43" s="7"/>
      <c r="D43" s="7">
        <v>1.25</v>
      </c>
      <c r="E43" s="7"/>
      <c r="F43" s="7">
        <v>20.13</v>
      </c>
      <c r="G43" s="7">
        <f>F43/10</f>
        <v>2.0129999999999999</v>
      </c>
      <c r="H43" s="7">
        <f>F43/100</f>
        <v>0.20129999999999998</v>
      </c>
      <c r="I43" s="7">
        <v>11.583</v>
      </c>
      <c r="J43" s="7">
        <f t="shared" si="0"/>
        <v>1.1582999999999999</v>
      </c>
      <c r="K43" s="7">
        <f t="shared" si="1"/>
        <v>0.23166</v>
      </c>
      <c r="L43" s="7">
        <f t="shared" si="2"/>
        <v>0.11583</v>
      </c>
      <c r="M43" s="8"/>
    </row>
    <row r="44" spans="1:13" ht="15" x14ac:dyDescent="0.25">
      <c r="A44" s="5" t="s">
        <v>240</v>
      </c>
      <c r="B44" s="9">
        <v>0.18</v>
      </c>
      <c r="C44" s="7"/>
      <c r="D44" s="7">
        <v>9</v>
      </c>
      <c r="E44" s="7"/>
      <c r="F44" s="12">
        <v>5210</v>
      </c>
      <c r="G44" s="7">
        <f>F44/10</f>
        <v>521</v>
      </c>
      <c r="H44" s="7">
        <f>F44/100</f>
        <v>52.1</v>
      </c>
      <c r="I44" s="7">
        <v>1E-4</v>
      </c>
      <c r="J44" s="7">
        <v>1E-4</v>
      </c>
      <c r="K44" s="7">
        <v>1E-4</v>
      </c>
      <c r="L44" s="7">
        <v>1E-4</v>
      </c>
      <c r="M44" s="8"/>
    </row>
    <row r="45" spans="1:13" x14ac:dyDescent="0.2">
      <c r="A45" s="5" t="s">
        <v>241</v>
      </c>
      <c r="B45" s="6">
        <v>1.2031887552804565E-3</v>
      </c>
      <c r="C45" s="7"/>
      <c r="D45" s="7">
        <v>1.25</v>
      </c>
      <c r="E45" s="7"/>
      <c r="F45" s="7">
        <v>1E-4</v>
      </c>
      <c r="G45" s="7">
        <v>1E-4</v>
      </c>
      <c r="H45" s="7">
        <v>1E-4</v>
      </c>
      <c r="I45" s="7">
        <v>1E-4</v>
      </c>
      <c r="J45" s="7">
        <v>1E-4</v>
      </c>
      <c r="K45" s="7">
        <v>1E-4</v>
      </c>
      <c r="L45" s="7">
        <v>1E-4</v>
      </c>
      <c r="M45" s="8"/>
    </row>
    <row r="46" spans="1:13" x14ac:dyDescent="0.2">
      <c r="A46" s="5" t="s">
        <v>242</v>
      </c>
      <c r="B46" s="16">
        <v>0</v>
      </c>
      <c r="C46" s="7"/>
      <c r="D46" s="7">
        <v>1.25</v>
      </c>
      <c r="E46" s="7"/>
      <c r="F46" s="7">
        <v>1E-4</v>
      </c>
      <c r="G46" s="7">
        <v>1E-4</v>
      </c>
      <c r="H46" s="7">
        <v>1E-4</v>
      </c>
      <c r="I46" s="7">
        <v>1E-4</v>
      </c>
      <c r="J46" s="7">
        <v>1E-4</v>
      </c>
      <c r="K46" s="7">
        <v>1E-4</v>
      </c>
      <c r="L46" s="7">
        <v>1E-4</v>
      </c>
      <c r="M46" s="8"/>
    </row>
    <row r="47" spans="1:13" x14ac:dyDescent="0.2">
      <c r="A47" s="5" t="s">
        <v>243</v>
      </c>
      <c r="B47" s="16">
        <v>0</v>
      </c>
      <c r="C47" s="7"/>
      <c r="D47" s="7">
        <v>1.25</v>
      </c>
      <c r="E47" s="7"/>
      <c r="F47" s="7">
        <v>1E-4</v>
      </c>
      <c r="G47" s="7">
        <v>1E-4</v>
      </c>
      <c r="H47" s="7">
        <v>1E-4</v>
      </c>
      <c r="I47" s="7">
        <v>1E-4</v>
      </c>
      <c r="J47" s="7">
        <v>1E-4</v>
      </c>
      <c r="K47" s="7">
        <v>1E-4</v>
      </c>
      <c r="L47" s="7">
        <v>1E-4</v>
      </c>
      <c r="M47" s="8"/>
    </row>
    <row r="48" spans="1:13" ht="15" x14ac:dyDescent="0.25">
      <c r="A48" s="5" t="s">
        <v>244</v>
      </c>
      <c r="B48" s="9">
        <v>2.5000000000000001E-2</v>
      </c>
      <c r="C48" s="7"/>
      <c r="D48" s="7">
        <v>1.25</v>
      </c>
      <c r="E48" s="7"/>
      <c r="F48" s="7">
        <v>1E-4</v>
      </c>
      <c r="G48" s="7">
        <v>1E-4</v>
      </c>
      <c r="H48" s="7">
        <v>1E-4</v>
      </c>
      <c r="I48" s="7">
        <v>1E-4</v>
      </c>
      <c r="J48" s="7">
        <v>1E-4</v>
      </c>
      <c r="K48" s="7">
        <v>1E-4</v>
      </c>
      <c r="L48" s="7">
        <v>1E-4</v>
      </c>
      <c r="M48" s="8"/>
    </row>
    <row r="49" spans="1:13" x14ac:dyDescent="0.2">
      <c r="A49" s="5" t="s">
        <v>245</v>
      </c>
      <c r="B49" s="6">
        <v>2.5068532311290897E-2</v>
      </c>
      <c r="C49" s="7"/>
      <c r="D49" s="7">
        <v>1.25</v>
      </c>
      <c r="E49" s="7"/>
      <c r="F49" s="7">
        <v>126.03</v>
      </c>
      <c r="G49" s="7">
        <f>F49/10</f>
        <v>12.603</v>
      </c>
      <c r="H49" s="7">
        <f>F49/100</f>
        <v>1.2603</v>
      </c>
      <c r="I49" s="7">
        <v>311</v>
      </c>
      <c r="J49" s="7">
        <f t="shared" si="0"/>
        <v>31.1</v>
      </c>
      <c r="K49" s="7">
        <f t="shared" si="1"/>
        <v>6.22</v>
      </c>
      <c r="L49" s="7">
        <f t="shared" si="2"/>
        <v>3.11</v>
      </c>
      <c r="M49" s="8"/>
    </row>
    <row r="50" spans="1:13" x14ac:dyDescent="0.2">
      <c r="A50" s="5" t="s">
        <v>246</v>
      </c>
      <c r="B50" s="6">
        <v>1.67832541862275E-3</v>
      </c>
      <c r="C50" s="7"/>
      <c r="D50" s="7">
        <v>1.25</v>
      </c>
      <c r="E50" s="7"/>
      <c r="F50" s="7">
        <v>1E-4</v>
      </c>
      <c r="G50" s="7">
        <v>1E-4</v>
      </c>
      <c r="H50" s="7">
        <v>1E-4</v>
      </c>
      <c r="I50" s="7">
        <v>1E-4</v>
      </c>
      <c r="J50" s="7">
        <v>1E-4</v>
      </c>
      <c r="K50" s="7">
        <v>1E-4</v>
      </c>
      <c r="L50" s="7">
        <v>1E-4</v>
      </c>
      <c r="M50" s="8"/>
    </row>
    <row r="51" spans="1:13" x14ac:dyDescent="0.2">
      <c r="A51" s="5" t="s">
        <v>247</v>
      </c>
      <c r="B51" s="13">
        <v>0</v>
      </c>
      <c r="C51" s="7"/>
      <c r="D51" s="7">
        <v>0</v>
      </c>
      <c r="E51" s="7"/>
      <c r="F51" s="7">
        <v>1E-4</v>
      </c>
      <c r="G51" s="7">
        <v>1E-4</v>
      </c>
      <c r="H51" s="7">
        <v>1E-4</v>
      </c>
      <c r="I51" s="7">
        <v>1E-4</v>
      </c>
      <c r="J51" s="7">
        <v>1E-4</v>
      </c>
      <c r="K51" s="7">
        <v>1E-4</v>
      </c>
      <c r="L51" s="7">
        <v>1E-4</v>
      </c>
      <c r="M51" s="13"/>
    </row>
    <row r="52" spans="1:13" ht="15" x14ac:dyDescent="0.25">
      <c r="A52" s="5" t="s">
        <v>248</v>
      </c>
      <c r="B52" s="9">
        <v>2.5000000000000001E-2</v>
      </c>
      <c r="C52" s="7"/>
      <c r="D52" s="7">
        <v>1.25</v>
      </c>
      <c r="E52" s="7"/>
      <c r="F52" s="7">
        <v>1E-4</v>
      </c>
      <c r="G52" s="7">
        <v>1E-4</v>
      </c>
      <c r="H52" s="7">
        <v>1E-4</v>
      </c>
      <c r="I52" s="7">
        <v>1E-4</v>
      </c>
      <c r="J52" s="7">
        <v>1E-4</v>
      </c>
      <c r="K52" s="7">
        <v>1E-4</v>
      </c>
      <c r="L52" s="7">
        <v>1E-4</v>
      </c>
      <c r="M52" s="8"/>
    </row>
    <row r="53" spans="1:13" x14ac:dyDescent="0.2">
      <c r="A53" s="5" t="s">
        <v>249</v>
      </c>
      <c r="B53" s="6">
        <v>3.8412987620554152E-3</v>
      </c>
      <c r="C53" s="7"/>
      <c r="D53" s="7">
        <v>1.25</v>
      </c>
      <c r="E53" s="7"/>
      <c r="F53" s="7">
        <v>1.619</v>
      </c>
      <c r="G53" s="7">
        <f>F53/10</f>
        <v>0.16189999999999999</v>
      </c>
      <c r="H53" s="7">
        <f>F53/100</f>
        <v>1.619E-2</v>
      </c>
      <c r="I53" s="7">
        <v>6.8230000000000004</v>
      </c>
      <c r="J53" s="7">
        <f t="shared" ref="J53" si="6">I53*10/100</f>
        <v>0.68230000000000002</v>
      </c>
      <c r="K53" s="7">
        <f t="shared" ref="K53" si="7">I53*2/100</f>
        <v>0.13646</v>
      </c>
      <c r="L53" s="7">
        <f t="shared" ref="L53" si="8">I53*1/100</f>
        <v>6.8229999999999999E-2</v>
      </c>
      <c r="M53" s="8"/>
    </row>
    <row r="54" spans="1:13" x14ac:dyDescent="0.2">
      <c r="A54" s="5" t="s">
        <v>250</v>
      </c>
      <c r="B54" s="17">
        <v>0</v>
      </c>
      <c r="C54" s="7"/>
      <c r="D54" s="7">
        <v>0</v>
      </c>
      <c r="E54" s="7"/>
      <c r="F54" s="7">
        <v>25.35</v>
      </c>
      <c r="G54" s="7">
        <f>F54/10</f>
        <v>2.5350000000000001</v>
      </c>
      <c r="H54" s="7">
        <f>F54/100</f>
        <v>0.2535</v>
      </c>
      <c r="I54" s="7">
        <v>1E-4</v>
      </c>
      <c r="J54" s="7">
        <v>1E-4</v>
      </c>
      <c r="K54" s="7">
        <v>1E-4</v>
      </c>
      <c r="L54" s="7">
        <v>1E-4</v>
      </c>
      <c r="M54" s="8"/>
    </row>
    <row r="55" spans="1:13" x14ac:dyDescent="0.2">
      <c r="A55" s="5" t="s">
        <v>251</v>
      </c>
      <c r="B55" s="6">
        <v>3.0379737792177726E-3</v>
      </c>
      <c r="C55" s="7"/>
      <c r="D55" s="7">
        <v>1.25</v>
      </c>
      <c r="E55" s="7"/>
      <c r="F55" s="7">
        <v>15.05</v>
      </c>
      <c r="G55" s="7">
        <f>F55/10</f>
        <v>1.5050000000000001</v>
      </c>
      <c r="H55" s="7">
        <f>F55/100</f>
        <v>0.15049999999999999</v>
      </c>
      <c r="I55" s="7">
        <v>35.71</v>
      </c>
      <c r="J55" s="7">
        <f t="shared" si="0"/>
        <v>3.5710000000000002</v>
      </c>
      <c r="K55" s="7">
        <f t="shared" si="1"/>
        <v>0.71420000000000006</v>
      </c>
      <c r="L55" s="7">
        <f t="shared" si="2"/>
        <v>0.35710000000000003</v>
      </c>
      <c r="M55" s="8"/>
    </row>
    <row r="56" spans="1:13" x14ac:dyDescent="0.2">
      <c r="A56" s="5" t="s">
        <v>252</v>
      </c>
      <c r="B56" s="6">
        <v>2.4125760654329616E-3</v>
      </c>
      <c r="C56" s="7"/>
      <c r="D56" s="7">
        <v>1.25</v>
      </c>
      <c r="E56" s="7"/>
      <c r="F56" s="7">
        <v>1E-4</v>
      </c>
      <c r="G56" s="7">
        <v>1E-4</v>
      </c>
      <c r="H56" s="7">
        <v>1E-4</v>
      </c>
      <c r="I56" s="7">
        <v>1E-4</v>
      </c>
      <c r="J56" s="7">
        <v>1E-4</v>
      </c>
      <c r="K56" s="7">
        <v>1E-4</v>
      </c>
      <c r="L56" s="7">
        <v>1E-4</v>
      </c>
      <c r="M56" s="8"/>
    </row>
    <row r="57" spans="1:13" x14ac:dyDescent="0.2">
      <c r="A57" s="5" t="s">
        <v>253</v>
      </c>
      <c r="B57" s="6">
        <v>3.5850550612420888E-3</v>
      </c>
      <c r="C57" s="7"/>
      <c r="D57" s="7">
        <v>1.25</v>
      </c>
      <c r="E57" s="7"/>
      <c r="F57" s="7">
        <v>1E-4</v>
      </c>
      <c r="G57" s="7">
        <v>1E-4</v>
      </c>
      <c r="H57" s="7">
        <v>1E-4</v>
      </c>
      <c r="I57" s="7">
        <v>1E-4</v>
      </c>
      <c r="J57" s="7">
        <v>1E-4</v>
      </c>
      <c r="K57" s="7">
        <v>1E-4</v>
      </c>
      <c r="L57" s="7">
        <v>1E-4</v>
      </c>
      <c r="M57" s="8"/>
    </row>
    <row r="58" spans="1:13" x14ac:dyDescent="0.2">
      <c r="A58" s="5" t="s">
        <v>254</v>
      </c>
      <c r="B58" s="6">
        <v>0.16668544135480468</v>
      </c>
      <c r="C58" s="7"/>
      <c r="D58" s="7">
        <v>4.5</v>
      </c>
      <c r="E58" s="7"/>
      <c r="F58" s="7">
        <v>55.64</v>
      </c>
      <c r="G58" s="7">
        <f>F58/10</f>
        <v>5.5640000000000001</v>
      </c>
      <c r="H58" s="7">
        <f>F58/100</f>
        <v>0.55640000000000001</v>
      </c>
      <c r="I58" s="7">
        <v>73.7</v>
      </c>
      <c r="J58" s="7">
        <f t="shared" si="0"/>
        <v>7.37</v>
      </c>
      <c r="K58" s="7">
        <f t="shared" si="1"/>
        <v>1.474</v>
      </c>
      <c r="L58" s="7">
        <f t="shared" si="2"/>
        <v>0.73699999999999999</v>
      </c>
      <c r="M58" s="8"/>
    </row>
    <row r="59" spans="1:13" x14ac:dyDescent="0.2">
      <c r="A59" s="18"/>
      <c r="B59" s="19"/>
      <c r="C59" s="20"/>
      <c r="D59" s="20"/>
      <c r="E59" s="20"/>
      <c r="F59" s="20"/>
      <c r="G59" s="20"/>
      <c r="H59" s="20"/>
      <c r="J59" s="20"/>
      <c r="K59" s="7"/>
      <c r="L59" s="20"/>
      <c r="M59" s="18"/>
    </row>
    <row r="60" spans="1:13" x14ac:dyDescent="0.2">
      <c r="A60" s="18"/>
      <c r="B60" s="19"/>
      <c r="C60" s="20"/>
      <c r="D60" s="20"/>
      <c r="E60" s="20"/>
      <c r="F60" s="20"/>
      <c r="G60" s="20"/>
      <c r="H60" s="20"/>
      <c r="J60" s="20"/>
      <c r="K60" s="20"/>
      <c r="L60" s="20"/>
      <c r="M60" s="18"/>
    </row>
    <row r="61" spans="1:13" x14ac:dyDescent="0.2">
      <c r="A61" s="18"/>
      <c r="B61" s="19"/>
      <c r="C61" s="20"/>
      <c r="D61" s="20"/>
      <c r="E61" s="20"/>
      <c r="F61" s="20"/>
      <c r="G61" s="20"/>
      <c r="H61" s="20"/>
      <c r="J61" s="20"/>
      <c r="K61" s="20"/>
      <c r="L61" s="20"/>
      <c r="M61" s="18"/>
    </row>
    <row r="62" spans="1:13" x14ac:dyDescent="0.2">
      <c r="A62" s="18"/>
      <c r="B62" s="19"/>
      <c r="C62" s="20"/>
      <c r="D62" s="20"/>
      <c r="E62" s="20"/>
      <c r="F62" s="20"/>
      <c r="G62" s="20"/>
      <c r="H62" s="20"/>
      <c r="J62" s="20"/>
      <c r="K62" s="20"/>
      <c r="L62" s="20"/>
      <c r="M62" s="18"/>
    </row>
    <row r="63" spans="1:13" x14ac:dyDescent="0.2">
      <c r="A63" s="18"/>
      <c r="B63" s="19"/>
      <c r="C63" s="20"/>
      <c r="D63" s="20"/>
      <c r="E63" s="20"/>
      <c r="F63" s="20"/>
      <c r="G63" s="20"/>
      <c r="H63" s="20"/>
      <c r="I63" s="18"/>
      <c r="J63" s="20"/>
      <c r="K63" s="20"/>
      <c r="L63" s="20"/>
      <c r="M63" s="18"/>
    </row>
    <row r="64" spans="1:13" x14ac:dyDescent="0.2">
      <c r="A64" s="21"/>
      <c r="B64" s="19"/>
      <c r="C64" s="20"/>
      <c r="D64" s="20"/>
      <c r="E64" s="20"/>
      <c r="F64" s="20"/>
      <c r="G64" s="20"/>
      <c r="H64" s="20"/>
      <c r="I64" s="18"/>
      <c r="J64" s="20"/>
      <c r="K64" s="20"/>
      <c r="L64" s="20"/>
      <c r="M64" s="18"/>
    </row>
    <row r="65" spans="1:13" x14ac:dyDescent="0.2">
      <c r="A65" s="21"/>
      <c r="B65" s="19"/>
      <c r="C65" s="20"/>
      <c r="D65" s="20"/>
      <c r="E65" s="20"/>
      <c r="F65" s="20"/>
      <c r="G65" s="20"/>
      <c r="H65" s="20"/>
      <c r="I65" s="18"/>
      <c r="J65" s="20"/>
      <c r="K65" s="20"/>
      <c r="L65" s="20"/>
      <c r="M65" s="18"/>
    </row>
    <row r="66" spans="1:13" x14ac:dyDescent="0.2">
      <c r="A66" s="22" t="s">
        <v>255</v>
      </c>
      <c r="B66" s="19"/>
      <c r="C66" s="20"/>
      <c r="D66" s="20"/>
      <c r="E66" s="20"/>
      <c r="F66" s="20"/>
      <c r="G66" s="20"/>
      <c r="H66" s="20"/>
      <c r="I66" s="18"/>
      <c r="J66" s="20"/>
      <c r="K66" s="20"/>
      <c r="L66" s="20"/>
      <c r="M66" s="18"/>
    </row>
    <row r="67" spans="1:13" x14ac:dyDescent="0.2">
      <c r="A67" s="22" t="s">
        <v>256</v>
      </c>
      <c r="B67" s="19"/>
      <c r="C67" s="20"/>
      <c r="D67" s="20"/>
      <c r="E67" s="20"/>
      <c r="F67" s="20"/>
      <c r="G67" s="20"/>
      <c r="H67" s="20"/>
      <c r="I67" s="18"/>
      <c r="J67" s="20"/>
      <c r="K67" s="20"/>
      <c r="L67" s="20"/>
      <c r="M67" s="18"/>
    </row>
    <row r="68" spans="1:13" x14ac:dyDescent="0.2">
      <c r="A68" s="23"/>
      <c r="B68" s="19"/>
      <c r="C68" s="20"/>
      <c r="D68" s="20"/>
      <c r="E68" s="20"/>
      <c r="F68" s="20"/>
      <c r="G68" s="20"/>
      <c r="H68" s="20"/>
      <c r="I68" s="18"/>
      <c r="J68" s="20"/>
      <c r="K68" s="20"/>
      <c r="L68" s="20"/>
      <c r="M68" s="18"/>
    </row>
    <row r="69" spans="1:13" x14ac:dyDescent="0.2">
      <c r="A69" s="24" t="s">
        <v>257</v>
      </c>
      <c r="B69" s="19"/>
      <c r="C69" s="20"/>
      <c r="D69" s="20"/>
      <c r="E69" s="20"/>
      <c r="F69" s="20"/>
      <c r="G69" s="20"/>
      <c r="H69" s="20"/>
      <c r="I69" s="18"/>
      <c r="J69" s="20"/>
      <c r="K69" s="20"/>
      <c r="L69" s="20"/>
      <c r="M69" s="18"/>
    </row>
    <row r="70" spans="1:13" x14ac:dyDescent="0.2">
      <c r="A70" s="18"/>
      <c r="B70" s="19"/>
      <c r="C70" s="20"/>
      <c r="D70" s="20"/>
      <c r="E70" s="20"/>
      <c r="F70" s="20"/>
      <c r="G70" s="20"/>
      <c r="H70" s="20"/>
      <c r="I70" s="18"/>
      <c r="J70" s="20"/>
      <c r="K70" s="20"/>
      <c r="L70" s="20"/>
      <c r="M70" s="18"/>
    </row>
    <row r="71" spans="1:13" x14ac:dyDescent="0.2">
      <c r="A71" s="18" t="s">
        <v>258</v>
      </c>
      <c r="B71" s="19"/>
      <c r="C71" s="20"/>
      <c r="D71" s="20"/>
      <c r="E71" s="20"/>
      <c r="F71" s="20"/>
      <c r="G71" s="20"/>
      <c r="H71" s="20"/>
      <c r="I71" s="18"/>
      <c r="J71" s="20"/>
      <c r="K71" s="20"/>
      <c r="L71" s="20"/>
      <c r="M71" s="18"/>
    </row>
    <row r="72" spans="1:13" x14ac:dyDescent="0.2">
      <c r="A72" s="18" t="s">
        <v>259</v>
      </c>
      <c r="B72" s="19"/>
      <c r="C72" s="20"/>
      <c r="D72" s="20"/>
      <c r="E72" s="20"/>
      <c r="F72" s="20"/>
      <c r="G72" s="20"/>
      <c r="H72" s="20"/>
      <c r="I72" s="18"/>
      <c r="J72" s="20"/>
      <c r="K72" s="20"/>
      <c r="L72" s="20"/>
      <c r="M72" s="18"/>
    </row>
    <row r="73" spans="1:13" x14ac:dyDescent="0.2">
      <c r="A73" s="18"/>
      <c r="B73" s="19"/>
      <c r="C73" s="20"/>
      <c r="D73" s="20"/>
      <c r="E73" s="20"/>
      <c r="F73" s="20"/>
      <c r="G73" s="20"/>
      <c r="H73" s="20"/>
      <c r="I73" s="18"/>
      <c r="J73" s="20"/>
      <c r="K73" s="20"/>
      <c r="L73" s="20"/>
      <c r="M73" s="18"/>
    </row>
    <row r="74" spans="1:13" x14ac:dyDescent="0.2">
      <c r="A74" s="18"/>
      <c r="B74" s="19"/>
      <c r="C74" s="20"/>
      <c r="D74" s="20"/>
      <c r="E74" s="20"/>
      <c r="F74" s="20"/>
      <c r="G74" s="20"/>
      <c r="H74" s="20"/>
      <c r="I74" s="18"/>
      <c r="J74" s="20"/>
      <c r="K74" s="20"/>
      <c r="L74" s="20"/>
      <c r="M74" s="18"/>
    </row>
    <row r="75" spans="1:13" x14ac:dyDescent="0.2">
      <c r="A75" s="18"/>
      <c r="B75" s="19"/>
      <c r="C75" s="20"/>
      <c r="D75" s="20"/>
      <c r="E75" s="20"/>
      <c r="F75" s="20"/>
      <c r="G75" s="20"/>
      <c r="H75" s="20"/>
      <c r="I75" s="18"/>
      <c r="J75" s="20"/>
      <c r="K75" s="20"/>
      <c r="L75" s="20"/>
      <c r="M75" s="18"/>
    </row>
    <row r="76" spans="1:13" x14ac:dyDescent="0.2">
      <c r="A76" s="18"/>
      <c r="B76" s="19"/>
      <c r="C76" s="20"/>
      <c r="D76" s="20"/>
      <c r="E76" s="20"/>
      <c r="F76" s="20"/>
      <c r="G76" s="20"/>
      <c r="H76" s="20"/>
      <c r="I76" s="18"/>
      <c r="J76" s="20"/>
      <c r="K76" s="20"/>
      <c r="L76" s="20"/>
      <c r="M76" s="18"/>
    </row>
    <row r="77" spans="1:13" x14ac:dyDescent="0.2">
      <c r="A77" s="18"/>
      <c r="B77" s="19"/>
      <c r="C77" s="20"/>
      <c r="D77" s="20"/>
      <c r="E77" s="20"/>
      <c r="F77" s="20"/>
      <c r="G77" s="20"/>
      <c r="H77" s="20"/>
      <c r="I77" s="18"/>
      <c r="J77" s="20"/>
      <c r="K77" s="20"/>
      <c r="L77" s="20"/>
      <c r="M77" s="18"/>
    </row>
    <row r="78" spans="1:13" x14ac:dyDescent="0.2">
      <c r="A78" s="18"/>
      <c r="B78" s="19"/>
      <c r="C78" s="20"/>
      <c r="D78" s="20"/>
      <c r="E78" s="20"/>
      <c r="F78" s="20"/>
      <c r="G78" s="20"/>
      <c r="H78" s="20"/>
      <c r="I78" s="18"/>
      <c r="J78" s="20"/>
      <c r="K78" s="20"/>
      <c r="L78" s="20"/>
      <c r="M78" s="18"/>
    </row>
    <row r="79" spans="1:13" x14ac:dyDescent="0.2">
      <c r="A79" s="18"/>
      <c r="B79" s="19"/>
      <c r="C79" s="20"/>
      <c r="D79" s="20"/>
      <c r="E79" s="20"/>
      <c r="F79" s="20"/>
      <c r="G79" s="20"/>
      <c r="H79" s="20"/>
      <c r="I79" s="18"/>
      <c r="J79" s="20"/>
      <c r="K79" s="20"/>
      <c r="L79" s="20"/>
      <c r="M79" s="18"/>
    </row>
    <row r="80" spans="1:13" x14ac:dyDescent="0.2">
      <c r="A80" s="18"/>
      <c r="B80" s="19"/>
      <c r="C80" s="20"/>
      <c r="D80" s="20"/>
      <c r="E80" s="20"/>
      <c r="F80" s="20"/>
      <c r="G80" s="20"/>
      <c r="H80" s="20"/>
      <c r="I80" s="18"/>
      <c r="J80" s="20"/>
      <c r="K80" s="20"/>
      <c r="L80" s="20"/>
      <c r="M80" s="18"/>
    </row>
    <row r="81" spans="1:13" x14ac:dyDescent="0.2">
      <c r="A81" s="18"/>
      <c r="B81" s="19"/>
      <c r="C81" s="20"/>
      <c r="D81" s="20"/>
      <c r="E81" s="20"/>
      <c r="F81" s="20"/>
      <c r="G81" s="20"/>
      <c r="H81" s="20"/>
      <c r="I81" s="18"/>
      <c r="J81" s="20"/>
      <c r="K81" s="20"/>
      <c r="L81" s="20"/>
      <c r="M81" s="18"/>
    </row>
    <row r="82" spans="1:13" x14ac:dyDescent="0.2">
      <c r="A82" s="18"/>
      <c r="B82" s="19"/>
      <c r="C82" s="20"/>
      <c r="D82" s="20"/>
      <c r="E82" s="20"/>
      <c r="F82" s="20"/>
      <c r="G82" s="20"/>
      <c r="H82" s="20"/>
      <c r="I82" s="18"/>
      <c r="J82" s="20"/>
      <c r="K82" s="20"/>
      <c r="L82" s="20"/>
      <c r="M82" s="18"/>
    </row>
    <row r="83" spans="1:13" x14ac:dyDescent="0.2">
      <c r="A83" s="18"/>
      <c r="B83" s="19"/>
      <c r="C83" s="20"/>
      <c r="D83" s="20"/>
      <c r="E83" s="20"/>
      <c r="F83" s="20"/>
      <c r="G83" s="20"/>
      <c r="H83" s="20"/>
      <c r="I83" s="18"/>
      <c r="J83" s="20"/>
      <c r="K83" s="20"/>
      <c r="L83" s="20"/>
      <c r="M83" s="18"/>
    </row>
    <row r="84" spans="1:13" x14ac:dyDescent="0.2">
      <c r="A84" s="18"/>
      <c r="B84" s="19"/>
      <c r="C84" s="20"/>
      <c r="D84" s="20"/>
      <c r="E84" s="20"/>
      <c r="F84" s="20"/>
      <c r="G84" s="20"/>
      <c r="H84" s="20"/>
      <c r="I84" s="18"/>
      <c r="J84" s="20"/>
      <c r="K84" s="20"/>
      <c r="L84" s="20"/>
      <c r="M84" s="18"/>
    </row>
    <row r="85" spans="1:13" x14ac:dyDescent="0.2">
      <c r="A85" s="18"/>
      <c r="B85" s="19"/>
      <c r="C85" s="20"/>
      <c r="D85" s="20"/>
      <c r="E85" s="20"/>
      <c r="F85" s="20"/>
      <c r="G85" s="20"/>
      <c r="H85" s="20"/>
      <c r="I85" s="18"/>
      <c r="J85" s="20"/>
      <c r="K85" s="20"/>
      <c r="L85" s="20"/>
      <c r="M85" s="18"/>
    </row>
    <row r="86" spans="1:13" x14ac:dyDescent="0.2">
      <c r="A86" s="18"/>
      <c r="B86" s="19"/>
      <c r="C86" s="20"/>
      <c r="D86" s="20"/>
      <c r="E86" s="20"/>
      <c r="F86" s="20"/>
      <c r="G86" s="20"/>
      <c r="H86" s="20"/>
      <c r="I86" s="18"/>
      <c r="J86" s="20"/>
      <c r="K86" s="20"/>
      <c r="L86" s="20"/>
      <c r="M86" s="18"/>
    </row>
    <row r="87" spans="1:13" x14ac:dyDescent="0.2">
      <c r="A87" s="18"/>
      <c r="B87" s="19"/>
      <c r="C87" s="20"/>
      <c r="D87" s="20"/>
      <c r="E87" s="20"/>
      <c r="F87" s="20"/>
      <c r="G87" s="20"/>
      <c r="H87" s="20"/>
      <c r="I87" s="18"/>
      <c r="J87" s="20"/>
      <c r="K87" s="20"/>
      <c r="L87" s="20"/>
      <c r="M87" s="18"/>
    </row>
    <row r="88" spans="1:13" x14ac:dyDescent="0.2">
      <c r="A88" s="18"/>
      <c r="B88" s="19"/>
      <c r="C88" s="20"/>
      <c r="D88" s="20"/>
      <c r="E88" s="20"/>
      <c r="F88" s="20"/>
      <c r="G88" s="20"/>
      <c r="H88" s="20"/>
      <c r="I88" s="18"/>
      <c r="J88" s="20"/>
      <c r="K88" s="20"/>
      <c r="L88" s="20"/>
      <c r="M88" s="18"/>
    </row>
    <row r="89" spans="1:13" x14ac:dyDescent="0.2">
      <c r="A89" s="18"/>
      <c r="B89" s="19"/>
      <c r="C89" s="20"/>
      <c r="D89" s="20"/>
      <c r="E89" s="20"/>
      <c r="F89" s="20"/>
      <c r="G89" s="20"/>
      <c r="H89" s="20"/>
      <c r="I89" s="18"/>
      <c r="J89" s="20"/>
      <c r="K89" s="20"/>
      <c r="L89" s="20"/>
      <c r="M89" s="18"/>
    </row>
    <row r="90" spans="1:13" x14ac:dyDescent="0.2">
      <c r="A90" s="18"/>
      <c r="B90" s="19"/>
      <c r="C90" s="20"/>
      <c r="D90" s="20"/>
      <c r="E90" s="20"/>
      <c r="F90" s="20"/>
      <c r="G90" s="20"/>
      <c r="H90" s="20"/>
      <c r="I90" s="18"/>
      <c r="J90" s="20"/>
      <c r="K90" s="20"/>
      <c r="L90" s="20"/>
      <c r="M90" s="18"/>
    </row>
    <row r="91" spans="1:13" x14ac:dyDescent="0.2">
      <c r="A91" s="18"/>
      <c r="B91" s="19"/>
      <c r="C91" s="20"/>
      <c r="D91" s="20"/>
      <c r="E91" s="20"/>
      <c r="F91" s="20"/>
      <c r="G91" s="20"/>
      <c r="H91" s="20"/>
      <c r="I91" s="18"/>
      <c r="J91" s="20"/>
      <c r="K91" s="20"/>
      <c r="L91" s="20"/>
      <c r="M91" s="18"/>
    </row>
    <row r="92" spans="1:13" x14ac:dyDescent="0.2">
      <c r="A92" s="18"/>
      <c r="B92" s="19"/>
      <c r="C92" s="20"/>
      <c r="D92" s="20"/>
      <c r="E92" s="20"/>
      <c r="F92" s="20"/>
      <c r="G92" s="20"/>
      <c r="H92" s="20"/>
      <c r="I92" s="18"/>
      <c r="J92" s="20"/>
      <c r="K92" s="20"/>
      <c r="L92" s="20"/>
      <c r="M92" s="18"/>
    </row>
    <row r="93" spans="1:13" x14ac:dyDescent="0.2">
      <c r="A93" s="18"/>
      <c r="B93" s="19"/>
      <c r="C93" s="20"/>
      <c r="D93" s="20"/>
      <c r="E93" s="20"/>
      <c r="F93" s="20"/>
      <c r="G93" s="20"/>
      <c r="H93" s="20"/>
      <c r="I93" s="18"/>
      <c r="J93" s="20"/>
      <c r="K93" s="20"/>
      <c r="L93" s="20"/>
      <c r="M93" s="18"/>
    </row>
    <row r="94" spans="1:13" x14ac:dyDescent="0.2">
      <c r="A94" s="18"/>
      <c r="B94" s="19"/>
      <c r="C94" s="20"/>
      <c r="D94" s="20"/>
      <c r="E94" s="20"/>
      <c r="F94" s="20"/>
      <c r="G94" s="20"/>
      <c r="H94" s="20"/>
      <c r="I94" s="18"/>
      <c r="J94" s="20"/>
      <c r="K94" s="20"/>
      <c r="L94" s="20"/>
      <c r="M94" s="18"/>
    </row>
    <row r="95" spans="1:13" x14ac:dyDescent="0.2">
      <c r="A95" s="18"/>
      <c r="B95" s="19"/>
      <c r="C95" s="20"/>
      <c r="D95" s="20"/>
      <c r="E95" s="20"/>
      <c r="F95" s="20"/>
      <c r="G95" s="20"/>
      <c r="H95" s="20"/>
      <c r="I95" s="18"/>
      <c r="J95" s="20"/>
      <c r="K95" s="20"/>
      <c r="L95" s="20"/>
      <c r="M95" s="18"/>
    </row>
    <row r="96" spans="1:13" x14ac:dyDescent="0.2">
      <c r="A96" s="18"/>
      <c r="B96" s="19"/>
      <c r="C96" s="20"/>
      <c r="D96" s="20"/>
      <c r="E96" s="20"/>
      <c r="F96" s="20"/>
      <c r="G96" s="20"/>
      <c r="H96" s="20"/>
      <c r="I96" s="18"/>
      <c r="J96" s="20"/>
      <c r="K96" s="20"/>
      <c r="L96" s="20"/>
      <c r="M96" s="18"/>
    </row>
    <row r="97" spans="1:13" x14ac:dyDescent="0.2">
      <c r="A97" s="18"/>
      <c r="B97" s="19"/>
      <c r="C97" s="20"/>
      <c r="D97" s="20"/>
      <c r="E97" s="20"/>
      <c r="F97" s="20"/>
      <c r="G97" s="20"/>
      <c r="H97" s="20"/>
      <c r="I97" s="18"/>
      <c r="J97" s="20"/>
      <c r="K97" s="20"/>
      <c r="L97" s="20"/>
      <c r="M97" s="18"/>
    </row>
    <row r="98" spans="1:13" x14ac:dyDescent="0.2">
      <c r="A98" s="18"/>
      <c r="B98" s="19"/>
      <c r="C98" s="20"/>
      <c r="D98" s="20"/>
      <c r="E98" s="20"/>
      <c r="F98" s="20"/>
      <c r="G98" s="20"/>
      <c r="H98" s="20"/>
      <c r="I98" s="18"/>
      <c r="J98" s="20"/>
      <c r="K98" s="20"/>
      <c r="L98" s="20"/>
      <c r="M98" s="18"/>
    </row>
    <row r="99" spans="1:13" x14ac:dyDescent="0.2">
      <c r="A99" s="18"/>
      <c r="B99" s="19"/>
      <c r="C99" s="20"/>
      <c r="D99" s="20"/>
      <c r="E99" s="20"/>
      <c r="F99" s="20"/>
      <c r="G99" s="20"/>
      <c r="H99" s="20"/>
      <c r="I99" s="18"/>
      <c r="J99" s="20"/>
      <c r="K99" s="20"/>
      <c r="L99" s="20"/>
      <c r="M99" s="18"/>
    </row>
    <row r="100" spans="1:13" x14ac:dyDescent="0.2">
      <c r="A100" s="18"/>
      <c r="B100" s="19"/>
      <c r="C100" s="20"/>
      <c r="D100" s="20"/>
      <c r="E100" s="20"/>
      <c r="F100" s="20"/>
      <c r="G100" s="20"/>
      <c r="H100" s="20"/>
      <c r="I100" s="18"/>
      <c r="J100" s="20"/>
      <c r="K100" s="20"/>
      <c r="L100" s="20"/>
      <c r="M100" s="18"/>
    </row>
    <row r="101" spans="1:13" x14ac:dyDescent="0.2">
      <c r="A101" s="18"/>
      <c r="B101" s="19"/>
      <c r="C101" s="20"/>
      <c r="D101" s="20"/>
      <c r="E101" s="20"/>
      <c r="F101" s="20"/>
      <c r="G101" s="20"/>
      <c r="H101" s="20"/>
      <c r="I101" s="18"/>
      <c r="J101" s="20"/>
      <c r="K101" s="20"/>
      <c r="L101" s="20"/>
      <c r="M101" s="18"/>
    </row>
    <row r="102" spans="1:13" x14ac:dyDescent="0.2">
      <c r="A102" s="18"/>
      <c r="B102" s="19"/>
      <c r="C102" s="20"/>
      <c r="D102" s="20"/>
      <c r="E102" s="20"/>
      <c r="F102" s="20"/>
      <c r="G102" s="20"/>
      <c r="H102" s="20"/>
      <c r="I102" s="18"/>
      <c r="J102" s="20"/>
      <c r="K102" s="20"/>
      <c r="L102" s="20"/>
      <c r="M102" s="18"/>
    </row>
    <row r="103" spans="1:13" x14ac:dyDescent="0.2">
      <c r="A103" s="18"/>
      <c r="B103" s="19"/>
      <c r="C103" s="20"/>
      <c r="D103" s="20"/>
      <c r="E103" s="20"/>
      <c r="F103" s="20"/>
      <c r="G103" s="20"/>
      <c r="H103" s="20"/>
      <c r="I103" s="18"/>
      <c r="J103" s="20"/>
      <c r="K103" s="20"/>
      <c r="L103" s="20"/>
      <c r="M103" s="18"/>
    </row>
    <row r="104" spans="1:13" x14ac:dyDescent="0.2">
      <c r="A104" s="18"/>
      <c r="B104" s="19"/>
      <c r="C104" s="20"/>
      <c r="D104" s="20"/>
      <c r="E104" s="20"/>
      <c r="F104" s="20"/>
      <c r="G104" s="20"/>
      <c r="H104" s="20"/>
      <c r="I104" s="18"/>
      <c r="J104" s="20"/>
      <c r="K104" s="20"/>
      <c r="L104" s="20"/>
      <c r="M104" s="18"/>
    </row>
    <row r="105" spans="1:13" x14ac:dyDescent="0.2">
      <c r="A105" s="18"/>
      <c r="B105" s="19"/>
      <c r="C105" s="20"/>
      <c r="D105" s="20"/>
      <c r="E105" s="20"/>
      <c r="F105" s="20"/>
      <c r="G105" s="20"/>
      <c r="H105" s="20"/>
      <c r="I105" s="18"/>
      <c r="J105" s="20"/>
      <c r="K105" s="20"/>
      <c r="L105" s="20"/>
      <c r="M105" s="18"/>
    </row>
    <row r="106" spans="1:13" x14ac:dyDescent="0.2">
      <c r="A106" s="18"/>
      <c r="B106" s="19"/>
      <c r="C106" s="20"/>
      <c r="D106" s="20"/>
      <c r="E106" s="20"/>
      <c r="F106" s="20"/>
      <c r="G106" s="20"/>
      <c r="H106" s="20"/>
      <c r="I106" s="18"/>
      <c r="J106" s="20"/>
      <c r="K106" s="20"/>
      <c r="L106" s="20"/>
      <c r="M106" s="18"/>
    </row>
    <row r="107" spans="1:13" x14ac:dyDescent="0.2">
      <c r="A107" s="18"/>
      <c r="B107" s="19"/>
      <c r="C107" s="20"/>
      <c r="D107" s="20"/>
      <c r="E107" s="20"/>
      <c r="F107" s="20"/>
      <c r="G107" s="20"/>
      <c r="H107" s="20"/>
      <c r="I107" s="18"/>
      <c r="J107" s="20"/>
      <c r="K107" s="20"/>
      <c r="L107" s="20"/>
      <c r="M107" s="18"/>
    </row>
    <row r="108" spans="1:13" x14ac:dyDescent="0.2">
      <c r="A108" s="18"/>
      <c r="B108" s="19"/>
      <c r="C108" s="20"/>
      <c r="D108" s="20"/>
      <c r="E108" s="20"/>
      <c r="F108" s="20"/>
      <c r="G108" s="20"/>
      <c r="H108" s="20"/>
      <c r="I108" s="18"/>
      <c r="J108" s="20"/>
      <c r="K108" s="20"/>
      <c r="L108" s="20"/>
      <c r="M108" s="18"/>
    </row>
    <row r="109" spans="1:13" x14ac:dyDescent="0.2">
      <c r="A109" s="18"/>
      <c r="B109" s="19"/>
      <c r="C109" s="20"/>
      <c r="D109" s="20"/>
      <c r="E109" s="20"/>
      <c r="F109" s="20"/>
      <c r="G109" s="20"/>
      <c r="H109" s="20"/>
      <c r="I109" s="18"/>
      <c r="J109" s="20"/>
      <c r="K109" s="20"/>
      <c r="L109" s="20"/>
      <c r="M109" s="18"/>
    </row>
    <row r="110" spans="1:13" x14ac:dyDescent="0.2">
      <c r="A110" s="18"/>
      <c r="B110" s="19"/>
      <c r="C110" s="20"/>
      <c r="D110" s="20"/>
      <c r="E110" s="20"/>
      <c r="F110" s="20"/>
      <c r="G110" s="20"/>
      <c r="H110" s="20"/>
      <c r="I110" s="18"/>
      <c r="J110" s="20"/>
      <c r="K110" s="20"/>
      <c r="L110" s="20"/>
      <c r="M110" s="18"/>
    </row>
    <row r="111" spans="1:13" x14ac:dyDescent="0.2">
      <c r="A111" s="18"/>
      <c r="B111" s="19"/>
      <c r="C111" s="20"/>
      <c r="D111" s="20"/>
      <c r="E111" s="20"/>
      <c r="F111" s="20"/>
      <c r="G111" s="20"/>
      <c r="H111" s="20"/>
      <c r="I111" s="18"/>
      <c r="J111" s="20"/>
      <c r="K111" s="20"/>
      <c r="L111" s="20"/>
      <c r="M111" s="18"/>
    </row>
    <row r="112" spans="1:13" x14ac:dyDescent="0.2">
      <c r="A112" s="18"/>
      <c r="B112" s="19"/>
      <c r="C112" s="20"/>
      <c r="D112" s="20"/>
      <c r="E112" s="20"/>
      <c r="F112" s="20"/>
      <c r="G112" s="20"/>
      <c r="H112" s="20"/>
      <c r="I112" s="18"/>
      <c r="J112" s="20"/>
      <c r="K112" s="20"/>
      <c r="L112" s="20"/>
      <c r="M112" s="18"/>
    </row>
    <row r="113" spans="1:13" x14ac:dyDescent="0.2">
      <c r="A113" s="18"/>
      <c r="B113" s="19"/>
      <c r="C113" s="20"/>
      <c r="D113" s="20"/>
      <c r="E113" s="20"/>
      <c r="F113" s="20"/>
      <c r="G113" s="20"/>
      <c r="H113" s="20"/>
      <c r="I113" s="18"/>
      <c r="J113" s="20"/>
      <c r="K113" s="20"/>
      <c r="L113" s="20"/>
      <c r="M113" s="18"/>
    </row>
    <row r="114" spans="1:13" x14ac:dyDescent="0.2">
      <c r="A114" s="18"/>
      <c r="B114" s="19"/>
      <c r="C114" s="20"/>
      <c r="D114" s="20"/>
      <c r="E114" s="20"/>
      <c r="F114" s="20"/>
      <c r="G114" s="20"/>
      <c r="H114" s="20"/>
      <c r="I114" s="18"/>
      <c r="J114" s="20"/>
      <c r="K114" s="20"/>
      <c r="L114" s="20"/>
      <c r="M114" s="18"/>
    </row>
    <row r="115" spans="1:13" x14ac:dyDescent="0.2">
      <c r="A115" s="18"/>
      <c r="B115" s="19"/>
      <c r="C115" s="20"/>
      <c r="D115" s="20"/>
      <c r="E115" s="20"/>
      <c r="F115" s="20"/>
      <c r="G115" s="20"/>
      <c r="H115" s="20"/>
      <c r="I115" s="18"/>
      <c r="J115" s="20"/>
      <c r="K115" s="20"/>
      <c r="L115" s="20"/>
      <c r="M115" s="18"/>
    </row>
    <row r="116" spans="1:13" x14ac:dyDescent="0.2">
      <c r="A116" s="18"/>
      <c r="B116" s="19"/>
      <c r="C116" s="20"/>
      <c r="D116" s="20"/>
      <c r="E116" s="20"/>
      <c r="F116" s="20"/>
      <c r="G116" s="20"/>
      <c r="H116" s="20"/>
      <c r="I116" s="18"/>
      <c r="J116" s="20"/>
      <c r="K116" s="20"/>
      <c r="L116" s="20"/>
      <c r="M116" s="18"/>
    </row>
    <row r="117" spans="1:13" x14ac:dyDescent="0.2">
      <c r="A117" s="18"/>
      <c r="B117" s="19"/>
      <c r="C117" s="20"/>
      <c r="D117" s="20"/>
      <c r="E117" s="20"/>
      <c r="F117" s="20"/>
      <c r="G117" s="20"/>
      <c r="H117" s="20"/>
      <c r="I117" s="18"/>
      <c r="J117" s="20"/>
      <c r="K117" s="20"/>
      <c r="L117" s="20"/>
      <c r="M117" s="18"/>
    </row>
    <row r="118" spans="1:13" x14ac:dyDescent="0.2">
      <c r="A118" s="18"/>
      <c r="B118" s="19"/>
      <c r="C118" s="20"/>
      <c r="D118" s="20"/>
      <c r="E118" s="20"/>
      <c r="F118" s="20"/>
      <c r="G118" s="20"/>
      <c r="H118" s="20"/>
      <c r="I118" s="18"/>
      <c r="J118" s="20"/>
      <c r="K118" s="20"/>
      <c r="L118" s="20"/>
      <c r="M118" s="18"/>
    </row>
    <row r="119" spans="1:13" x14ac:dyDescent="0.2">
      <c r="A119" s="18"/>
      <c r="B119" s="19"/>
      <c r="C119" s="20"/>
      <c r="D119" s="20"/>
      <c r="E119" s="20"/>
      <c r="F119" s="20"/>
      <c r="G119" s="20"/>
      <c r="H119" s="20"/>
      <c r="I119" s="18"/>
      <c r="J119" s="20"/>
      <c r="K119" s="20"/>
      <c r="L119" s="20"/>
      <c r="M119" s="18"/>
    </row>
    <row r="120" spans="1:13" x14ac:dyDescent="0.2">
      <c r="A120" s="18"/>
      <c r="B120" s="19"/>
      <c r="C120" s="20"/>
      <c r="D120" s="20"/>
      <c r="E120" s="20"/>
      <c r="F120" s="20"/>
      <c r="G120" s="20"/>
      <c r="H120" s="20"/>
      <c r="I120" s="18"/>
      <c r="J120" s="20"/>
      <c r="K120" s="20"/>
      <c r="L120" s="20"/>
      <c r="M120" s="18"/>
    </row>
    <row r="121" spans="1:13" x14ac:dyDescent="0.2">
      <c r="A121" s="18"/>
      <c r="B121" s="19"/>
      <c r="C121" s="20"/>
      <c r="D121" s="20"/>
      <c r="E121" s="20"/>
      <c r="F121" s="20"/>
      <c r="G121" s="20"/>
      <c r="H121" s="20"/>
      <c r="I121" s="18"/>
      <c r="J121" s="20"/>
      <c r="K121" s="20"/>
      <c r="L121" s="20"/>
      <c r="M121" s="18"/>
    </row>
    <row r="122" spans="1:13" x14ac:dyDescent="0.2">
      <c r="A122" s="18"/>
      <c r="B122" s="19"/>
      <c r="C122" s="20"/>
      <c r="D122" s="20"/>
      <c r="E122" s="20"/>
      <c r="F122" s="20"/>
      <c r="G122" s="20"/>
      <c r="H122" s="20"/>
      <c r="I122" s="18"/>
      <c r="J122" s="20"/>
      <c r="K122" s="20"/>
      <c r="L122" s="20"/>
      <c r="M122" s="18"/>
    </row>
    <row r="123" spans="1:13" x14ac:dyDescent="0.2">
      <c r="A123" s="18"/>
      <c r="B123" s="19"/>
      <c r="C123" s="20"/>
      <c r="D123" s="20"/>
      <c r="E123" s="20"/>
      <c r="F123" s="20"/>
      <c r="G123" s="20"/>
      <c r="H123" s="20"/>
      <c r="I123" s="18"/>
      <c r="J123" s="20"/>
      <c r="K123" s="20"/>
      <c r="L123" s="20"/>
      <c r="M123" s="18"/>
    </row>
    <row r="124" spans="1:13" x14ac:dyDescent="0.2">
      <c r="A124" s="18"/>
      <c r="B124" s="19"/>
      <c r="C124" s="20"/>
      <c r="D124" s="20"/>
      <c r="E124" s="20"/>
      <c r="F124" s="20"/>
      <c r="G124" s="20"/>
      <c r="H124" s="20"/>
      <c r="I124" s="18"/>
      <c r="J124" s="20"/>
      <c r="K124" s="20"/>
      <c r="L124" s="20"/>
      <c r="M124" s="18"/>
    </row>
    <row r="125" spans="1:13" x14ac:dyDescent="0.2">
      <c r="A125" s="18"/>
      <c r="B125" s="19"/>
      <c r="C125" s="20"/>
      <c r="D125" s="20"/>
      <c r="E125" s="20"/>
      <c r="F125" s="20"/>
      <c r="G125" s="20"/>
      <c r="H125" s="20"/>
      <c r="I125" s="18"/>
      <c r="J125" s="20"/>
      <c r="K125" s="20"/>
      <c r="L125" s="20"/>
      <c r="M125" s="18"/>
    </row>
    <row r="126" spans="1:13" x14ac:dyDescent="0.2">
      <c r="A126" s="18"/>
      <c r="B126" s="19"/>
      <c r="C126" s="20"/>
      <c r="D126" s="20"/>
      <c r="E126" s="20"/>
      <c r="F126" s="20"/>
      <c r="G126" s="20"/>
      <c r="H126" s="20"/>
      <c r="I126" s="18"/>
      <c r="J126" s="20"/>
      <c r="K126" s="20"/>
      <c r="L126" s="20"/>
      <c r="M126" s="18"/>
    </row>
    <row r="127" spans="1:13" x14ac:dyDescent="0.2">
      <c r="A127" s="18"/>
      <c r="B127" s="19"/>
      <c r="C127" s="20"/>
      <c r="D127" s="20"/>
      <c r="E127" s="20"/>
      <c r="F127" s="20"/>
      <c r="G127" s="20"/>
      <c r="H127" s="20"/>
      <c r="I127" s="18"/>
      <c r="J127" s="20"/>
      <c r="K127" s="20"/>
      <c r="L127" s="20"/>
      <c r="M127" s="18"/>
    </row>
    <row r="128" spans="1:13" x14ac:dyDescent="0.2">
      <c r="A128" s="18"/>
      <c r="B128" s="19"/>
      <c r="C128" s="20"/>
      <c r="D128" s="20"/>
      <c r="E128" s="20"/>
      <c r="F128" s="20"/>
      <c r="G128" s="20"/>
      <c r="H128" s="20"/>
      <c r="I128" s="18"/>
      <c r="J128" s="20"/>
      <c r="K128" s="20"/>
      <c r="L128" s="20"/>
      <c r="M128" s="18"/>
    </row>
    <row r="129" spans="1:13" x14ac:dyDescent="0.2">
      <c r="A129" s="18"/>
      <c r="B129" s="19"/>
      <c r="C129" s="20"/>
      <c r="D129" s="20"/>
      <c r="E129" s="20"/>
      <c r="F129" s="20"/>
      <c r="G129" s="20"/>
      <c r="H129" s="20"/>
      <c r="I129" s="18"/>
      <c r="J129" s="20"/>
      <c r="K129" s="20"/>
      <c r="L129" s="20"/>
      <c r="M129" s="18"/>
    </row>
    <row r="130" spans="1:13" x14ac:dyDescent="0.2">
      <c r="A130" s="18"/>
      <c r="B130" s="19"/>
      <c r="C130" s="20"/>
      <c r="D130" s="20"/>
      <c r="E130" s="20"/>
      <c r="F130" s="20"/>
      <c r="G130" s="20"/>
      <c r="H130" s="20"/>
      <c r="I130" s="18"/>
      <c r="J130" s="20"/>
      <c r="K130" s="20"/>
      <c r="L130" s="20"/>
      <c r="M130" s="18"/>
    </row>
    <row r="131" spans="1:13" x14ac:dyDescent="0.2">
      <c r="A131" s="18"/>
      <c r="B131" s="19"/>
      <c r="C131" s="20"/>
      <c r="D131" s="20"/>
      <c r="E131" s="20"/>
      <c r="F131" s="20"/>
      <c r="G131" s="20"/>
      <c r="H131" s="20"/>
      <c r="I131" s="18"/>
      <c r="J131" s="20"/>
      <c r="K131" s="20"/>
      <c r="L131" s="20"/>
      <c r="M131" s="18"/>
    </row>
    <row r="132" spans="1:13" x14ac:dyDescent="0.2">
      <c r="A132" s="18"/>
      <c r="B132" s="19"/>
      <c r="C132" s="20"/>
      <c r="D132" s="20"/>
      <c r="E132" s="20"/>
      <c r="F132" s="20"/>
      <c r="G132" s="20"/>
      <c r="H132" s="20"/>
      <c r="I132" s="18"/>
      <c r="J132" s="20"/>
      <c r="K132" s="20"/>
      <c r="L132" s="20"/>
      <c r="M132" s="18"/>
    </row>
    <row r="133" spans="1:13" x14ac:dyDescent="0.2">
      <c r="A133" s="18"/>
      <c r="B133" s="19"/>
      <c r="C133" s="20"/>
      <c r="D133" s="20"/>
      <c r="E133" s="20"/>
      <c r="F133" s="20"/>
      <c r="G133" s="20"/>
      <c r="H133" s="20"/>
      <c r="I133" s="18"/>
      <c r="J133" s="20"/>
      <c r="K133" s="20"/>
      <c r="L133" s="20"/>
      <c r="M133" s="18"/>
    </row>
    <row r="134" spans="1:13" x14ac:dyDescent="0.2">
      <c r="A134" s="18"/>
      <c r="B134" s="19"/>
      <c r="C134" s="20"/>
      <c r="D134" s="20"/>
      <c r="E134" s="20"/>
      <c r="F134" s="20"/>
      <c r="G134" s="20"/>
      <c r="H134" s="20"/>
      <c r="I134" s="18"/>
      <c r="J134" s="20"/>
      <c r="K134" s="20"/>
      <c r="L134" s="20"/>
      <c r="M134" s="18"/>
    </row>
    <row r="135" spans="1:13" x14ac:dyDescent="0.2">
      <c r="A135" s="18"/>
      <c r="B135" s="19"/>
      <c r="C135" s="20"/>
      <c r="D135" s="20"/>
      <c r="E135" s="20"/>
      <c r="F135" s="20"/>
      <c r="G135" s="20"/>
      <c r="H135" s="20"/>
      <c r="I135" s="18"/>
      <c r="J135" s="20"/>
      <c r="K135" s="20"/>
      <c r="L135" s="20"/>
      <c r="M135" s="18"/>
    </row>
    <row r="136" spans="1:13" x14ac:dyDescent="0.2">
      <c r="A136" s="18"/>
      <c r="B136" s="19"/>
      <c r="C136" s="20"/>
      <c r="D136" s="20"/>
      <c r="E136" s="20"/>
      <c r="F136" s="20"/>
      <c r="G136" s="20"/>
      <c r="H136" s="20"/>
      <c r="I136" s="18"/>
      <c r="J136" s="20"/>
      <c r="K136" s="20"/>
      <c r="L136" s="20"/>
      <c r="M136" s="18"/>
    </row>
    <row r="137" spans="1:13" x14ac:dyDescent="0.2">
      <c r="A137" s="18"/>
      <c r="B137" s="19"/>
      <c r="C137" s="20"/>
      <c r="D137" s="20"/>
      <c r="E137" s="20"/>
      <c r="F137" s="20"/>
      <c r="G137" s="20"/>
      <c r="H137" s="20"/>
      <c r="I137" s="18"/>
      <c r="J137" s="20"/>
      <c r="K137" s="20"/>
      <c r="L137" s="20"/>
      <c r="M137" s="18"/>
    </row>
    <row r="138" spans="1:13" x14ac:dyDescent="0.2">
      <c r="A138" s="18"/>
      <c r="B138" s="19"/>
      <c r="C138" s="20"/>
      <c r="D138" s="20"/>
      <c r="E138" s="20"/>
      <c r="F138" s="20"/>
      <c r="G138" s="20"/>
      <c r="H138" s="20"/>
      <c r="I138" s="18"/>
      <c r="J138" s="20"/>
      <c r="K138" s="20"/>
      <c r="L138" s="20"/>
      <c r="M138" s="18"/>
    </row>
    <row r="139" spans="1:13" x14ac:dyDescent="0.2">
      <c r="A139" s="18"/>
      <c r="B139" s="19"/>
      <c r="C139" s="20"/>
      <c r="D139" s="20"/>
      <c r="E139" s="20"/>
      <c r="F139" s="20"/>
      <c r="G139" s="20"/>
      <c r="H139" s="20"/>
      <c r="I139" s="18"/>
      <c r="J139" s="20"/>
      <c r="K139" s="20"/>
      <c r="L139" s="20"/>
      <c r="M139" s="18"/>
    </row>
    <row r="140" spans="1:13" x14ac:dyDescent="0.2">
      <c r="A140" s="18"/>
      <c r="B140" s="19"/>
      <c r="C140" s="20"/>
      <c r="D140" s="20"/>
      <c r="E140" s="20"/>
      <c r="F140" s="20"/>
      <c r="G140" s="20"/>
      <c r="H140" s="20"/>
      <c r="I140" s="18"/>
      <c r="J140" s="20"/>
      <c r="K140" s="20"/>
      <c r="L140" s="20"/>
      <c r="M140" s="18"/>
    </row>
    <row r="141" spans="1:13" x14ac:dyDescent="0.2">
      <c r="A141" s="18"/>
      <c r="B141" s="19"/>
      <c r="C141" s="20"/>
      <c r="D141" s="20"/>
      <c r="E141" s="20"/>
      <c r="F141" s="20"/>
      <c r="G141" s="20"/>
      <c r="H141" s="20"/>
      <c r="I141" s="18"/>
      <c r="J141" s="20"/>
      <c r="K141" s="20"/>
      <c r="L141" s="20"/>
      <c r="M141" s="18"/>
    </row>
    <row r="142" spans="1:13" x14ac:dyDescent="0.2">
      <c r="A142" s="18"/>
      <c r="B142" s="19"/>
      <c r="C142" s="20"/>
      <c r="D142" s="20"/>
      <c r="E142" s="20"/>
      <c r="F142" s="20"/>
      <c r="G142" s="20"/>
      <c r="H142" s="20"/>
      <c r="I142" s="18"/>
      <c r="J142" s="20"/>
      <c r="K142" s="20"/>
      <c r="L142" s="20"/>
      <c r="M142" s="18"/>
    </row>
    <row r="143" spans="1:13" x14ac:dyDescent="0.2">
      <c r="A143" s="18"/>
      <c r="B143" s="19"/>
      <c r="C143" s="20"/>
      <c r="D143" s="20"/>
      <c r="E143" s="20"/>
      <c r="F143" s="20"/>
      <c r="G143" s="20"/>
      <c r="H143" s="20"/>
      <c r="I143" s="18"/>
      <c r="J143" s="20"/>
      <c r="K143" s="20"/>
      <c r="L143" s="20"/>
      <c r="M143" s="18"/>
    </row>
    <row r="144" spans="1:13" x14ac:dyDescent="0.2">
      <c r="A144" s="18"/>
      <c r="B144" s="19"/>
      <c r="C144" s="20"/>
      <c r="D144" s="20"/>
      <c r="E144" s="20"/>
      <c r="F144" s="20"/>
      <c r="G144" s="20"/>
      <c r="H144" s="20"/>
      <c r="I144" s="18"/>
      <c r="J144" s="20"/>
      <c r="K144" s="20"/>
      <c r="L144" s="20"/>
      <c r="M144" s="18"/>
    </row>
    <row r="145" spans="1:13" x14ac:dyDescent="0.2">
      <c r="A145" s="18"/>
      <c r="B145" s="19"/>
      <c r="C145" s="20"/>
      <c r="D145" s="20"/>
      <c r="E145" s="20"/>
      <c r="F145" s="20"/>
      <c r="G145" s="20"/>
      <c r="H145" s="20"/>
      <c r="I145" s="18"/>
      <c r="J145" s="20"/>
      <c r="K145" s="20"/>
      <c r="L145" s="20"/>
      <c r="M145" s="18"/>
    </row>
    <row r="146" spans="1:13" x14ac:dyDescent="0.2">
      <c r="A146" s="18"/>
      <c r="B146" s="19"/>
      <c r="C146" s="20"/>
      <c r="D146" s="20"/>
      <c r="E146" s="20"/>
      <c r="F146" s="20"/>
      <c r="G146" s="20"/>
      <c r="H146" s="20"/>
      <c r="I146" s="18"/>
      <c r="J146" s="20"/>
      <c r="K146" s="20"/>
      <c r="L146" s="20"/>
      <c r="M146" s="18"/>
    </row>
    <row r="147" spans="1:13" x14ac:dyDescent="0.2">
      <c r="A147" s="18"/>
      <c r="B147" s="19"/>
      <c r="C147" s="20"/>
      <c r="D147" s="20"/>
      <c r="E147" s="20"/>
      <c r="F147" s="20"/>
      <c r="G147" s="20"/>
      <c r="H147" s="20"/>
      <c r="I147" s="18"/>
      <c r="J147" s="20"/>
      <c r="K147" s="20"/>
      <c r="L147" s="20"/>
      <c r="M147" s="18"/>
    </row>
    <row r="148" spans="1:13" x14ac:dyDescent="0.2">
      <c r="A148" s="18"/>
      <c r="B148" s="19"/>
      <c r="C148" s="20"/>
      <c r="D148" s="20"/>
      <c r="E148" s="20"/>
      <c r="F148" s="20"/>
      <c r="G148" s="20"/>
      <c r="H148" s="20"/>
      <c r="I148" s="18"/>
      <c r="J148" s="20"/>
      <c r="K148" s="20"/>
      <c r="L148" s="20"/>
      <c r="M148" s="18"/>
    </row>
    <row r="149" spans="1:13" x14ac:dyDescent="0.2">
      <c r="A149" s="18"/>
      <c r="B149" s="19"/>
      <c r="C149" s="20"/>
      <c r="D149" s="20"/>
      <c r="E149" s="20"/>
      <c r="F149" s="20"/>
      <c r="G149" s="20"/>
      <c r="H149" s="20"/>
      <c r="I149" s="18"/>
      <c r="J149" s="20"/>
      <c r="K149" s="20"/>
      <c r="L149" s="20"/>
      <c r="M149" s="18"/>
    </row>
    <row r="150" spans="1:13" x14ac:dyDescent="0.2">
      <c r="A150" s="18"/>
      <c r="B150" s="19"/>
      <c r="C150" s="20"/>
      <c r="D150" s="20"/>
      <c r="E150" s="20"/>
      <c r="F150" s="20"/>
      <c r="G150" s="20"/>
      <c r="H150" s="20"/>
      <c r="I150" s="18"/>
      <c r="J150" s="20"/>
      <c r="K150" s="20"/>
      <c r="L150" s="20"/>
      <c r="M150" s="18"/>
    </row>
    <row r="151" spans="1:13" x14ac:dyDescent="0.2">
      <c r="A151" s="18"/>
      <c r="B151" s="19"/>
      <c r="C151" s="20"/>
      <c r="D151" s="20"/>
      <c r="E151" s="20"/>
      <c r="F151" s="20"/>
      <c r="G151" s="20"/>
      <c r="H151" s="20"/>
      <c r="I151" s="18"/>
      <c r="J151" s="20"/>
      <c r="K151" s="20"/>
      <c r="L151" s="20"/>
      <c r="M151" s="18"/>
    </row>
    <row r="152" spans="1:13" x14ac:dyDescent="0.2">
      <c r="A152" s="18"/>
      <c r="B152" s="19"/>
      <c r="C152" s="20"/>
      <c r="D152" s="20"/>
      <c r="E152" s="20"/>
      <c r="F152" s="20"/>
      <c r="G152" s="20"/>
      <c r="H152" s="20"/>
      <c r="I152" s="18"/>
      <c r="J152" s="20"/>
      <c r="K152" s="20"/>
      <c r="L152" s="20"/>
      <c r="M152" s="18"/>
    </row>
    <row r="153" spans="1:13" x14ac:dyDescent="0.2">
      <c r="A153" s="18"/>
      <c r="B153" s="19"/>
      <c r="C153" s="20"/>
      <c r="D153" s="20"/>
      <c r="E153" s="20"/>
      <c r="F153" s="20"/>
      <c r="G153" s="20"/>
      <c r="H153" s="20"/>
      <c r="I153" s="18"/>
      <c r="J153" s="20"/>
      <c r="K153" s="20"/>
      <c r="L153" s="20"/>
      <c r="M153" s="18"/>
    </row>
    <row r="154" spans="1:13" x14ac:dyDescent="0.2">
      <c r="A154" s="18"/>
      <c r="B154" s="19"/>
      <c r="C154" s="20"/>
      <c r="D154" s="20"/>
      <c r="E154" s="20"/>
      <c r="F154" s="20"/>
      <c r="G154" s="20"/>
      <c r="H154" s="20"/>
      <c r="I154" s="18"/>
      <c r="J154" s="20"/>
      <c r="K154" s="20"/>
      <c r="L154" s="20"/>
      <c r="M154" s="18"/>
    </row>
    <row r="155" spans="1:13" x14ac:dyDescent="0.2">
      <c r="A155" s="18"/>
      <c r="B155" s="19"/>
      <c r="C155" s="20"/>
      <c r="D155" s="20"/>
      <c r="E155" s="20"/>
      <c r="F155" s="20"/>
      <c r="G155" s="20"/>
      <c r="H155" s="20"/>
      <c r="I155" s="18"/>
      <c r="J155" s="20"/>
      <c r="K155" s="20"/>
      <c r="L155" s="20"/>
      <c r="M155" s="18"/>
    </row>
    <row r="156" spans="1:13" x14ac:dyDescent="0.2">
      <c r="A156" s="18"/>
      <c r="B156" s="19"/>
      <c r="C156" s="20"/>
      <c r="D156" s="20"/>
      <c r="E156" s="20"/>
      <c r="F156" s="20"/>
      <c r="G156" s="20"/>
      <c r="H156" s="20"/>
      <c r="I156" s="18"/>
      <c r="J156" s="20"/>
      <c r="K156" s="20"/>
      <c r="L156" s="20"/>
      <c r="M156" s="18"/>
    </row>
    <row r="157" spans="1:13" x14ac:dyDescent="0.2">
      <c r="A157" s="18"/>
      <c r="B157" s="19"/>
      <c r="C157" s="20"/>
      <c r="D157" s="20"/>
      <c r="E157" s="20"/>
      <c r="F157" s="20"/>
      <c r="G157" s="20"/>
      <c r="H157" s="20"/>
      <c r="I157" s="18"/>
      <c r="J157" s="20"/>
      <c r="K157" s="20"/>
      <c r="L157" s="20"/>
      <c r="M157" s="18"/>
    </row>
    <row r="158" spans="1:13" x14ac:dyDescent="0.2">
      <c r="A158" s="18"/>
      <c r="B158" s="19"/>
      <c r="C158" s="20"/>
      <c r="D158" s="20"/>
      <c r="E158" s="20"/>
      <c r="F158" s="20"/>
      <c r="G158" s="20"/>
      <c r="H158" s="20"/>
      <c r="I158" s="18"/>
      <c r="J158" s="20"/>
      <c r="K158" s="20"/>
      <c r="L158" s="20"/>
      <c r="M158" s="18"/>
    </row>
    <row r="159" spans="1:13" x14ac:dyDescent="0.2">
      <c r="A159" s="18"/>
      <c r="B159" s="19"/>
      <c r="C159" s="20"/>
      <c r="D159" s="20"/>
      <c r="E159" s="20"/>
      <c r="F159" s="20"/>
      <c r="G159" s="20"/>
      <c r="H159" s="20"/>
      <c r="I159" s="18"/>
      <c r="J159" s="20"/>
      <c r="K159" s="20"/>
      <c r="L159" s="20"/>
      <c r="M159" s="18"/>
    </row>
    <row r="160" spans="1:13" x14ac:dyDescent="0.2">
      <c r="A160" s="18"/>
      <c r="B160" s="19"/>
      <c r="C160" s="20"/>
      <c r="D160" s="20"/>
      <c r="E160" s="20"/>
      <c r="F160" s="20"/>
      <c r="G160" s="20"/>
      <c r="H160" s="20"/>
      <c r="I160" s="18"/>
      <c r="J160" s="20"/>
      <c r="K160" s="20"/>
      <c r="L160" s="20"/>
      <c r="M160" s="18"/>
    </row>
    <row r="161" spans="1:13" x14ac:dyDescent="0.2">
      <c r="A161" s="18"/>
      <c r="B161" s="19"/>
      <c r="C161" s="20"/>
      <c r="D161" s="20"/>
      <c r="E161" s="20"/>
      <c r="F161" s="20"/>
      <c r="G161" s="20"/>
      <c r="H161" s="20"/>
      <c r="I161" s="18"/>
      <c r="J161" s="20"/>
      <c r="K161" s="20"/>
      <c r="L161" s="20"/>
      <c r="M161" s="18"/>
    </row>
    <row r="162" spans="1:13" x14ac:dyDescent="0.2">
      <c r="A162" s="18"/>
      <c r="B162" s="19"/>
      <c r="C162" s="20"/>
      <c r="D162" s="20"/>
      <c r="E162" s="20"/>
      <c r="F162" s="20"/>
      <c r="G162" s="20"/>
      <c r="H162" s="20"/>
      <c r="I162" s="18"/>
      <c r="J162" s="20"/>
      <c r="K162" s="20"/>
      <c r="L162" s="20"/>
      <c r="M162" s="18"/>
    </row>
    <row r="163" spans="1:13" x14ac:dyDescent="0.2">
      <c r="A163" s="18"/>
      <c r="B163" s="19"/>
      <c r="C163" s="20"/>
      <c r="D163" s="20"/>
      <c r="E163" s="20"/>
      <c r="F163" s="20"/>
      <c r="G163" s="20"/>
      <c r="H163" s="20"/>
      <c r="I163" s="18"/>
      <c r="J163" s="20"/>
      <c r="K163" s="20"/>
      <c r="L163" s="20"/>
      <c r="M163" s="18"/>
    </row>
    <row r="164" spans="1:13" x14ac:dyDescent="0.2">
      <c r="A164" s="18"/>
      <c r="B164" s="19"/>
      <c r="C164" s="20"/>
      <c r="D164" s="20"/>
      <c r="E164" s="20"/>
      <c r="F164" s="20"/>
      <c r="G164" s="20"/>
      <c r="H164" s="20"/>
      <c r="I164" s="18"/>
      <c r="J164" s="20"/>
      <c r="K164" s="20"/>
      <c r="L164" s="20"/>
      <c r="M164" s="18"/>
    </row>
    <row r="165" spans="1:13" x14ac:dyDescent="0.2">
      <c r="A165" s="18"/>
      <c r="B165" s="19"/>
      <c r="C165" s="20"/>
      <c r="D165" s="20"/>
      <c r="E165" s="20"/>
      <c r="F165" s="20"/>
      <c r="G165" s="20"/>
      <c r="H165" s="20"/>
      <c r="I165" s="18"/>
      <c r="J165" s="20"/>
      <c r="K165" s="20"/>
      <c r="L165" s="20"/>
      <c r="M165" s="18"/>
    </row>
    <row r="166" spans="1:13" x14ac:dyDescent="0.2">
      <c r="A166" s="18"/>
      <c r="B166" s="19"/>
      <c r="C166" s="20"/>
      <c r="D166" s="20"/>
      <c r="E166" s="20"/>
      <c r="F166" s="20"/>
      <c r="G166" s="20"/>
      <c r="H166" s="20"/>
      <c r="I166" s="18"/>
      <c r="J166" s="20"/>
      <c r="K166" s="20"/>
      <c r="L166" s="20"/>
      <c r="M166" s="18"/>
    </row>
    <row r="167" spans="1:13" x14ac:dyDescent="0.2">
      <c r="A167" s="18"/>
      <c r="B167" s="19"/>
      <c r="C167" s="20"/>
      <c r="D167" s="20"/>
      <c r="E167" s="20"/>
      <c r="F167" s="20"/>
      <c r="G167" s="20"/>
      <c r="H167" s="20"/>
      <c r="I167" s="18"/>
      <c r="J167" s="20"/>
      <c r="K167" s="20"/>
      <c r="L167" s="20"/>
      <c r="M167" s="18"/>
    </row>
    <row r="168" spans="1:13" x14ac:dyDescent="0.2">
      <c r="A168" s="18"/>
      <c r="B168" s="19"/>
      <c r="C168" s="20"/>
      <c r="D168" s="20"/>
      <c r="E168" s="20"/>
      <c r="F168" s="20"/>
      <c r="G168" s="20"/>
      <c r="H168" s="20"/>
      <c r="I168" s="18"/>
      <c r="J168" s="20"/>
      <c r="K168" s="20"/>
      <c r="L168" s="20"/>
      <c r="M168" s="18"/>
    </row>
    <row r="169" spans="1:13" x14ac:dyDescent="0.2">
      <c r="A169" s="18"/>
      <c r="B169" s="19"/>
      <c r="C169" s="20"/>
      <c r="D169" s="20"/>
      <c r="E169" s="20"/>
      <c r="F169" s="20"/>
      <c r="G169" s="20"/>
      <c r="H169" s="20"/>
      <c r="I169" s="18"/>
      <c r="J169" s="20"/>
      <c r="K169" s="20"/>
      <c r="L169" s="20"/>
      <c r="M169" s="18"/>
    </row>
    <row r="170" spans="1:13" x14ac:dyDescent="0.2">
      <c r="A170" s="18"/>
      <c r="B170" s="19"/>
      <c r="C170" s="20"/>
      <c r="D170" s="20"/>
      <c r="E170" s="20"/>
      <c r="F170" s="20"/>
      <c r="G170" s="20"/>
      <c r="H170" s="20"/>
      <c r="I170" s="18"/>
      <c r="J170" s="20"/>
      <c r="K170" s="20"/>
      <c r="L170" s="20"/>
      <c r="M170" s="18"/>
    </row>
    <row r="171" spans="1:13" x14ac:dyDescent="0.2">
      <c r="A171" s="18"/>
      <c r="B171" s="19"/>
      <c r="C171" s="20"/>
      <c r="D171" s="20"/>
      <c r="E171" s="20"/>
      <c r="F171" s="20"/>
      <c r="G171" s="20"/>
      <c r="H171" s="20"/>
      <c r="I171" s="18"/>
      <c r="J171" s="20"/>
      <c r="K171" s="20"/>
      <c r="L171" s="20"/>
      <c r="M171" s="18"/>
    </row>
    <row r="172" spans="1:13" x14ac:dyDescent="0.2">
      <c r="A172" s="18"/>
      <c r="B172" s="19"/>
      <c r="C172" s="20"/>
      <c r="D172" s="20"/>
      <c r="E172" s="20"/>
      <c r="F172" s="20"/>
      <c r="G172" s="20"/>
      <c r="H172" s="20"/>
      <c r="I172" s="18"/>
      <c r="J172" s="20"/>
      <c r="K172" s="20"/>
      <c r="L172" s="20"/>
      <c r="M172" s="18"/>
    </row>
    <row r="173" spans="1:13" x14ac:dyDescent="0.2">
      <c r="A173" s="18"/>
      <c r="B173" s="19"/>
      <c r="C173" s="20"/>
      <c r="D173" s="20"/>
      <c r="E173" s="20"/>
      <c r="F173" s="20"/>
      <c r="G173" s="20"/>
      <c r="H173" s="20"/>
      <c r="I173" s="18"/>
      <c r="J173" s="20"/>
      <c r="K173" s="20"/>
      <c r="L173" s="20"/>
      <c r="M173" s="18"/>
    </row>
    <row r="174" spans="1:13" x14ac:dyDescent="0.2">
      <c r="A174" s="18"/>
      <c r="B174" s="19"/>
      <c r="C174" s="20"/>
      <c r="D174" s="20"/>
      <c r="E174" s="20"/>
      <c r="F174" s="20"/>
      <c r="G174" s="20"/>
      <c r="H174" s="20"/>
      <c r="I174" s="18"/>
      <c r="J174" s="20"/>
      <c r="K174" s="20"/>
      <c r="L174" s="20"/>
      <c r="M174" s="18"/>
    </row>
    <row r="175" spans="1:13" x14ac:dyDescent="0.2">
      <c r="A175" s="18"/>
      <c r="B175" s="19"/>
      <c r="C175" s="20"/>
      <c r="D175" s="20"/>
      <c r="E175" s="20"/>
      <c r="F175" s="20"/>
      <c r="G175" s="20"/>
      <c r="H175" s="20"/>
      <c r="I175" s="18"/>
      <c r="J175" s="20"/>
      <c r="K175" s="20"/>
      <c r="L175" s="20"/>
      <c r="M175" s="18"/>
    </row>
    <row r="176" spans="1:13" x14ac:dyDescent="0.2">
      <c r="A176" s="18"/>
      <c r="B176" s="19"/>
      <c r="C176" s="20"/>
      <c r="D176" s="20"/>
      <c r="E176" s="20"/>
      <c r="F176" s="20"/>
      <c r="G176" s="20"/>
      <c r="H176" s="20"/>
      <c r="I176" s="18"/>
      <c r="J176" s="20"/>
      <c r="K176" s="20"/>
      <c r="L176" s="20"/>
      <c r="M176" s="18"/>
    </row>
    <row r="177" spans="1:13" x14ac:dyDescent="0.2">
      <c r="A177" s="18"/>
      <c r="B177" s="19"/>
      <c r="C177" s="20"/>
      <c r="D177" s="20"/>
      <c r="E177" s="20"/>
      <c r="F177" s="20"/>
      <c r="G177" s="20"/>
      <c r="H177" s="20"/>
      <c r="I177" s="18"/>
      <c r="J177" s="20"/>
      <c r="K177" s="20"/>
      <c r="L177" s="20"/>
      <c r="M177" s="18"/>
    </row>
    <row r="178" spans="1:13" x14ac:dyDescent="0.2">
      <c r="A178" s="18"/>
      <c r="B178" s="19"/>
      <c r="C178" s="20"/>
      <c r="D178" s="20"/>
      <c r="E178" s="20"/>
      <c r="F178" s="20"/>
      <c r="G178" s="20"/>
      <c r="H178" s="20"/>
      <c r="I178" s="18"/>
      <c r="J178" s="20"/>
      <c r="K178" s="20"/>
      <c r="L178" s="20"/>
      <c r="M178" s="18"/>
    </row>
    <row r="179" spans="1:13" x14ac:dyDescent="0.2">
      <c r="A179" s="18"/>
      <c r="B179" s="19"/>
      <c r="C179" s="20"/>
      <c r="D179" s="20"/>
      <c r="E179" s="20"/>
      <c r="F179" s="20"/>
      <c r="G179" s="20"/>
      <c r="H179" s="20"/>
      <c r="I179" s="18"/>
      <c r="J179" s="20"/>
      <c r="K179" s="20"/>
      <c r="L179" s="20"/>
      <c r="M179" s="18"/>
    </row>
    <row r="180" spans="1:13" x14ac:dyDescent="0.2">
      <c r="A180" s="18"/>
      <c r="B180" s="19"/>
      <c r="C180" s="20"/>
      <c r="D180" s="20"/>
      <c r="E180" s="20"/>
      <c r="F180" s="20"/>
      <c r="G180" s="20"/>
      <c r="H180" s="20"/>
      <c r="I180" s="18"/>
      <c r="J180" s="20"/>
      <c r="K180" s="20"/>
      <c r="L180" s="20"/>
      <c r="M180" s="18"/>
    </row>
    <row r="181" spans="1:13" x14ac:dyDescent="0.2">
      <c r="A181" s="18"/>
      <c r="B181" s="19"/>
      <c r="C181" s="20"/>
      <c r="D181" s="20"/>
      <c r="E181" s="20"/>
      <c r="F181" s="20"/>
      <c r="G181" s="20"/>
      <c r="H181" s="20"/>
      <c r="I181" s="18"/>
      <c r="J181" s="20"/>
      <c r="K181" s="20"/>
      <c r="L181" s="20"/>
      <c r="M181" s="18"/>
    </row>
    <row r="182" spans="1:13" x14ac:dyDescent="0.2">
      <c r="A182" s="18"/>
      <c r="B182" s="19"/>
      <c r="C182" s="20"/>
      <c r="D182" s="20"/>
      <c r="E182" s="20"/>
      <c r="F182" s="20"/>
      <c r="G182" s="20"/>
      <c r="H182" s="20"/>
      <c r="I182" s="18"/>
      <c r="J182" s="20"/>
      <c r="K182" s="20"/>
      <c r="L182" s="20"/>
      <c r="M182" s="18"/>
    </row>
    <row r="183" spans="1:13" x14ac:dyDescent="0.2">
      <c r="A183" s="18"/>
      <c r="B183" s="19"/>
      <c r="C183" s="20"/>
      <c r="D183" s="20"/>
      <c r="E183" s="20"/>
      <c r="F183" s="20"/>
      <c r="G183" s="20"/>
      <c r="H183" s="20"/>
      <c r="I183" s="18"/>
      <c r="J183" s="20"/>
      <c r="K183" s="20"/>
      <c r="L183" s="20"/>
      <c r="M183" s="18"/>
    </row>
    <row r="184" spans="1:13" x14ac:dyDescent="0.2">
      <c r="A184" s="18"/>
      <c r="B184" s="19"/>
      <c r="C184" s="20"/>
      <c r="D184" s="20"/>
      <c r="E184" s="20"/>
      <c r="F184" s="20"/>
      <c r="G184" s="20"/>
      <c r="H184" s="20"/>
      <c r="I184" s="18"/>
      <c r="J184" s="20"/>
      <c r="K184" s="20"/>
      <c r="L184" s="20"/>
      <c r="M184" s="18"/>
    </row>
    <row r="185" spans="1:13" x14ac:dyDescent="0.2">
      <c r="A185" s="18"/>
      <c r="B185" s="19"/>
      <c r="C185" s="20"/>
      <c r="D185" s="20"/>
      <c r="E185" s="20"/>
      <c r="F185" s="20"/>
      <c r="G185" s="20"/>
      <c r="H185" s="20"/>
      <c r="I185" s="18"/>
      <c r="J185" s="20"/>
      <c r="K185" s="20"/>
      <c r="L185" s="20"/>
      <c r="M185" s="18"/>
    </row>
    <row r="186" spans="1:13" x14ac:dyDescent="0.2">
      <c r="A186" s="18"/>
      <c r="B186" s="19"/>
      <c r="C186" s="20"/>
      <c r="D186" s="20"/>
      <c r="E186" s="20"/>
      <c r="F186" s="20"/>
      <c r="G186" s="20"/>
      <c r="H186" s="20"/>
      <c r="I186" s="18"/>
      <c r="J186" s="20"/>
      <c r="K186" s="20"/>
      <c r="L186" s="20"/>
      <c r="M186" s="18"/>
    </row>
    <row r="187" spans="1:13" x14ac:dyDescent="0.2">
      <c r="A187" s="18"/>
      <c r="B187" s="19"/>
      <c r="C187" s="20"/>
      <c r="D187" s="20"/>
      <c r="E187" s="20"/>
      <c r="F187" s="20"/>
      <c r="G187" s="20"/>
      <c r="H187" s="20"/>
      <c r="I187" s="18"/>
      <c r="J187" s="20"/>
      <c r="K187" s="20"/>
      <c r="L187" s="20"/>
      <c r="M187" s="18"/>
    </row>
    <row r="188" spans="1:13" x14ac:dyDescent="0.2">
      <c r="A188" s="18"/>
      <c r="B188" s="19"/>
      <c r="C188" s="20"/>
      <c r="D188" s="20"/>
      <c r="E188" s="20"/>
      <c r="F188" s="20"/>
      <c r="G188" s="20"/>
      <c r="H188" s="20"/>
      <c r="I188" s="18"/>
      <c r="J188" s="20"/>
      <c r="K188" s="20"/>
      <c r="L188" s="20"/>
      <c r="M188" s="18"/>
    </row>
    <row r="189" spans="1:13" x14ac:dyDescent="0.2">
      <c r="A189" s="18"/>
      <c r="B189" s="19"/>
      <c r="C189" s="20"/>
      <c r="D189" s="20"/>
      <c r="E189" s="20"/>
      <c r="F189" s="20"/>
      <c r="G189" s="20"/>
      <c r="H189" s="20"/>
      <c r="I189" s="18"/>
      <c r="J189" s="20"/>
      <c r="K189" s="20"/>
      <c r="L189" s="20"/>
      <c r="M189" s="18"/>
    </row>
    <row r="190" spans="1:13" x14ac:dyDescent="0.2">
      <c r="A190" s="18"/>
      <c r="B190" s="19"/>
      <c r="C190" s="20"/>
      <c r="D190" s="20"/>
      <c r="E190" s="20"/>
      <c r="F190" s="20"/>
      <c r="G190" s="20"/>
      <c r="H190" s="20"/>
      <c r="I190" s="18"/>
      <c r="J190" s="20"/>
      <c r="K190" s="20"/>
      <c r="L190" s="20"/>
      <c r="M190" s="18"/>
    </row>
    <row r="191" spans="1:13" x14ac:dyDescent="0.2">
      <c r="A191" s="18"/>
      <c r="B191" s="19"/>
      <c r="C191" s="20"/>
      <c r="D191" s="20"/>
      <c r="E191" s="20"/>
      <c r="F191" s="20"/>
      <c r="G191" s="20"/>
      <c r="H191" s="20"/>
      <c r="I191" s="18"/>
      <c r="J191" s="20"/>
      <c r="K191" s="20"/>
      <c r="L191" s="20"/>
      <c r="M191" s="18"/>
    </row>
    <row r="192" spans="1:13" x14ac:dyDescent="0.2">
      <c r="A192" s="18"/>
      <c r="B192" s="19"/>
      <c r="C192" s="20"/>
      <c r="D192" s="20"/>
      <c r="E192" s="20"/>
      <c r="F192" s="20"/>
      <c r="G192" s="20"/>
      <c r="H192" s="20"/>
      <c r="I192" s="18"/>
      <c r="J192" s="20"/>
      <c r="K192" s="20"/>
      <c r="L192" s="20"/>
      <c r="M192" s="18"/>
    </row>
    <row r="193" spans="1:13" x14ac:dyDescent="0.2">
      <c r="A193" s="18"/>
      <c r="B193" s="19"/>
      <c r="C193" s="20"/>
      <c r="D193" s="20"/>
      <c r="E193" s="20"/>
      <c r="F193" s="20"/>
      <c r="G193" s="20"/>
      <c r="H193" s="20"/>
      <c r="I193" s="18"/>
      <c r="J193" s="20"/>
      <c r="K193" s="20"/>
      <c r="L193" s="20"/>
      <c r="M193" s="18"/>
    </row>
    <row r="194" spans="1:13" x14ac:dyDescent="0.2">
      <c r="A194" s="18"/>
      <c r="B194" s="19"/>
      <c r="C194" s="20"/>
      <c r="D194" s="20"/>
      <c r="E194" s="20"/>
      <c r="F194" s="20"/>
      <c r="G194" s="20"/>
      <c r="H194" s="20"/>
      <c r="I194" s="18"/>
      <c r="J194" s="20"/>
      <c r="K194" s="20"/>
      <c r="L194" s="20"/>
      <c r="M194" s="18"/>
    </row>
    <row r="195" spans="1:13" x14ac:dyDescent="0.2">
      <c r="A195" s="18"/>
      <c r="B195" s="19"/>
      <c r="C195" s="20"/>
      <c r="D195" s="20"/>
      <c r="E195" s="20"/>
      <c r="F195" s="20"/>
      <c r="G195" s="20"/>
      <c r="H195" s="20"/>
      <c r="I195" s="18"/>
      <c r="J195" s="20"/>
      <c r="K195" s="20"/>
      <c r="L195" s="20"/>
      <c r="M195" s="18"/>
    </row>
    <row r="196" spans="1:13" x14ac:dyDescent="0.2">
      <c r="A196" s="18"/>
      <c r="B196" s="19"/>
      <c r="C196" s="20"/>
      <c r="D196" s="20"/>
      <c r="E196" s="20"/>
      <c r="F196" s="20"/>
      <c r="G196" s="20"/>
      <c r="H196" s="20"/>
      <c r="I196" s="18"/>
      <c r="J196" s="20"/>
      <c r="K196" s="20"/>
      <c r="L196" s="20"/>
      <c r="M196" s="18"/>
    </row>
    <row r="197" spans="1:13" x14ac:dyDescent="0.2">
      <c r="A197" s="18"/>
      <c r="B197" s="19"/>
      <c r="C197" s="20"/>
      <c r="D197" s="20"/>
      <c r="E197" s="20"/>
      <c r="F197" s="20"/>
      <c r="G197" s="20"/>
      <c r="H197" s="20"/>
      <c r="I197" s="18"/>
      <c r="J197" s="20"/>
      <c r="K197" s="20"/>
      <c r="L197" s="20"/>
      <c r="M197" s="18"/>
    </row>
    <row r="198" spans="1:13" x14ac:dyDescent="0.2">
      <c r="A198" s="18"/>
      <c r="B198" s="19"/>
      <c r="C198" s="20"/>
      <c r="D198" s="20"/>
      <c r="E198" s="20"/>
      <c r="F198" s="20"/>
      <c r="G198" s="20"/>
      <c r="H198" s="20"/>
      <c r="I198" s="18"/>
      <c r="J198" s="20"/>
      <c r="K198" s="20"/>
      <c r="L198" s="20"/>
      <c r="M198" s="18"/>
    </row>
    <row r="199" spans="1:13" x14ac:dyDescent="0.2">
      <c r="A199" s="18"/>
      <c r="B199" s="19"/>
      <c r="C199" s="20"/>
      <c r="D199" s="20"/>
      <c r="E199" s="20"/>
      <c r="F199" s="20"/>
      <c r="G199" s="20"/>
      <c r="H199" s="20"/>
      <c r="I199" s="18"/>
      <c r="J199" s="20"/>
      <c r="K199" s="20"/>
      <c r="L199" s="20"/>
      <c r="M199" s="18"/>
    </row>
    <row r="200" spans="1:13" x14ac:dyDescent="0.2">
      <c r="A200" s="18"/>
      <c r="B200" s="19"/>
      <c r="C200" s="20"/>
      <c r="D200" s="20"/>
      <c r="E200" s="20"/>
      <c r="F200" s="20"/>
      <c r="G200" s="20"/>
      <c r="H200" s="20"/>
      <c r="I200" s="18"/>
      <c r="J200" s="20"/>
      <c r="K200" s="20"/>
      <c r="L200" s="20"/>
      <c r="M200" s="18"/>
    </row>
    <row r="201" spans="1:13" x14ac:dyDescent="0.2">
      <c r="A201" s="18"/>
      <c r="B201" s="19"/>
      <c r="C201" s="20"/>
      <c r="D201" s="20"/>
      <c r="E201" s="20"/>
      <c r="F201" s="20"/>
      <c r="G201" s="20"/>
      <c r="H201" s="20"/>
      <c r="I201" s="18"/>
      <c r="J201" s="20"/>
      <c r="K201" s="20"/>
      <c r="L201" s="20"/>
      <c r="M201" s="18"/>
    </row>
    <row r="202" spans="1:13" x14ac:dyDescent="0.2">
      <c r="A202" s="18"/>
      <c r="B202" s="19"/>
      <c r="C202" s="20"/>
      <c r="D202" s="20"/>
      <c r="E202" s="20"/>
      <c r="F202" s="20"/>
      <c r="G202" s="20"/>
      <c r="H202" s="20"/>
      <c r="I202" s="18"/>
      <c r="J202" s="20"/>
      <c r="K202" s="20"/>
      <c r="L202" s="20"/>
      <c r="M202" s="18"/>
    </row>
    <row r="203" spans="1:13" x14ac:dyDescent="0.2">
      <c r="A203" s="18"/>
      <c r="B203" s="19"/>
      <c r="C203" s="20"/>
      <c r="D203" s="20"/>
      <c r="E203" s="20"/>
      <c r="F203" s="20"/>
      <c r="G203" s="20"/>
      <c r="H203" s="20"/>
      <c r="I203" s="18"/>
      <c r="J203" s="20"/>
      <c r="K203" s="20"/>
      <c r="L203" s="20"/>
      <c r="M203" s="18"/>
    </row>
    <row r="204" spans="1:13" x14ac:dyDescent="0.2">
      <c r="A204" s="18"/>
      <c r="B204" s="19"/>
      <c r="C204" s="20"/>
      <c r="D204" s="20"/>
      <c r="E204" s="20"/>
      <c r="F204" s="20"/>
      <c r="G204" s="20"/>
      <c r="H204" s="20"/>
      <c r="I204" s="18"/>
      <c r="J204" s="20"/>
      <c r="K204" s="20"/>
      <c r="L204" s="20"/>
      <c r="M204" s="18"/>
    </row>
    <row r="205" spans="1:13" x14ac:dyDescent="0.2">
      <c r="A205" s="18"/>
      <c r="B205" s="19"/>
      <c r="C205" s="20"/>
      <c r="D205" s="20"/>
      <c r="E205" s="20"/>
      <c r="F205" s="20"/>
      <c r="G205" s="20"/>
      <c r="H205" s="20"/>
      <c r="I205" s="18"/>
      <c r="J205" s="20"/>
      <c r="K205" s="20"/>
      <c r="L205" s="20"/>
      <c r="M205" s="18"/>
    </row>
    <row r="206" spans="1:13" x14ac:dyDescent="0.2">
      <c r="A206" s="18"/>
      <c r="B206" s="19"/>
      <c r="C206" s="20"/>
      <c r="D206" s="20"/>
      <c r="E206" s="20"/>
      <c r="F206" s="20"/>
      <c r="G206" s="20"/>
      <c r="H206" s="20"/>
      <c r="I206" s="18"/>
      <c r="J206" s="20"/>
      <c r="K206" s="20"/>
      <c r="L206" s="20"/>
      <c r="M206" s="18"/>
    </row>
    <row r="207" spans="1:13" x14ac:dyDescent="0.2">
      <c r="A207" s="18"/>
      <c r="B207" s="19"/>
      <c r="C207" s="20"/>
      <c r="D207" s="20"/>
      <c r="E207" s="20"/>
      <c r="F207" s="20"/>
      <c r="G207" s="20"/>
      <c r="H207" s="20"/>
      <c r="I207" s="18"/>
      <c r="J207" s="20"/>
      <c r="K207" s="20"/>
      <c r="L207" s="20"/>
      <c r="M207" s="18"/>
    </row>
    <row r="208" spans="1:13" x14ac:dyDescent="0.2">
      <c r="A208" s="18"/>
      <c r="B208" s="19"/>
      <c r="C208" s="20"/>
      <c r="D208" s="20"/>
      <c r="E208" s="20"/>
      <c r="F208" s="20"/>
      <c r="G208" s="20"/>
      <c r="H208" s="20"/>
      <c r="I208" s="18"/>
      <c r="J208" s="20"/>
      <c r="K208" s="20"/>
      <c r="L208" s="20"/>
      <c r="M208" s="18"/>
    </row>
    <row r="209" spans="1:13" x14ac:dyDescent="0.2">
      <c r="A209" s="18"/>
      <c r="B209" s="19"/>
      <c r="C209" s="20"/>
      <c r="D209" s="20"/>
      <c r="E209" s="20"/>
      <c r="F209" s="20"/>
      <c r="G209" s="20"/>
      <c r="H209" s="20"/>
      <c r="I209" s="18"/>
      <c r="J209" s="20"/>
      <c r="K209" s="20"/>
      <c r="L209" s="20"/>
      <c r="M209" s="18"/>
    </row>
    <row r="210" spans="1:13" x14ac:dyDescent="0.2">
      <c r="A210" s="18"/>
      <c r="B210" s="19"/>
      <c r="C210" s="20"/>
      <c r="D210" s="20"/>
      <c r="E210" s="20"/>
      <c r="F210" s="20"/>
      <c r="G210" s="20"/>
      <c r="H210" s="20"/>
      <c r="I210" s="18"/>
      <c r="J210" s="20"/>
      <c r="K210" s="20"/>
      <c r="L210" s="20"/>
      <c r="M210" s="18"/>
    </row>
    <row r="211" spans="1:13" x14ac:dyDescent="0.2">
      <c r="A211" s="18"/>
      <c r="B211" s="19"/>
      <c r="C211" s="20"/>
      <c r="D211" s="20"/>
      <c r="E211" s="20"/>
      <c r="F211" s="20"/>
      <c r="G211" s="20"/>
      <c r="H211" s="20"/>
      <c r="I211" s="18"/>
      <c r="J211" s="20"/>
      <c r="K211" s="20"/>
      <c r="L211" s="20"/>
      <c r="M211" s="18"/>
    </row>
    <row r="212" spans="1:13" x14ac:dyDescent="0.2">
      <c r="A212" s="18"/>
      <c r="B212" s="19"/>
      <c r="C212" s="20"/>
      <c r="D212" s="20"/>
      <c r="E212" s="20"/>
      <c r="F212" s="20"/>
      <c r="G212" s="20"/>
      <c r="H212" s="20"/>
      <c r="I212" s="18"/>
      <c r="J212" s="20"/>
      <c r="K212" s="20"/>
      <c r="L212" s="20"/>
      <c r="M212" s="18"/>
    </row>
    <row r="213" spans="1:13" x14ac:dyDescent="0.2">
      <c r="A213" s="18"/>
      <c r="B213" s="19"/>
      <c r="C213" s="20"/>
      <c r="D213" s="20"/>
      <c r="E213" s="20"/>
      <c r="F213" s="20"/>
      <c r="G213" s="20"/>
      <c r="H213" s="20"/>
      <c r="I213" s="18"/>
      <c r="J213" s="20"/>
      <c r="K213" s="20"/>
      <c r="L213" s="20"/>
      <c r="M213" s="18"/>
    </row>
    <row r="214" spans="1:13" x14ac:dyDescent="0.2">
      <c r="A214" s="18"/>
      <c r="B214" s="19"/>
      <c r="C214" s="20"/>
      <c r="D214" s="20"/>
      <c r="E214" s="20"/>
      <c r="F214" s="20"/>
      <c r="G214" s="20"/>
      <c r="H214" s="20"/>
      <c r="I214" s="18"/>
      <c r="J214" s="20"/>
      <c r="K214" s="20"/>
      <c r="L214" s="20"/>
      <c r="M214" s="18"/>
    </row>
    <row r="215" spans="1:13" x14ac:dyDescent="0.2">
      <c r="A215" s="18"/>
      <c r="B215" s="19"/>
      <c r="C215" s="20"/>
      <c r="D215" s="20"/>
      <c r="E215" s="20"/>
      <c r="F215" s="20"/>
      <c r="G215" s="20"/>
      <c r="H215" s="20"/>
      <c r="I215" s="18"/>
      <c r="J215" s="20"/>
      <c r="K215" s="20"/>
      <c r="L215" s="20"/>
      <c r="M215" s="18"/>
    </row>
    <row r="216" spans="1:13" x14ac:dyDescent="0.2">
      <c r="A216" s="18"/>
      <c r="B216" s="19"/>
      <c r="C216" s="20"/>
      <c r="D216" s="20"/>
      <c r="E216" s="20"/>
      <c r="F216" s="20"/>
      <c r="G216" s="20"/>
      <c r="H216" s="20"/>
      <c r="I216" s="18"/>
      <c r="J216" s="20"/>
      <c r="K216" s="20"/>
      <c r="L216" s="20"/>
      <c r="M216" s="18"/>
    </row>
    <row r="217" spans="1:13" x14ac:dyDescent="0.2">
      <c r="A217" s="18"/>
      <c r="B217" s="19"/>
      <c r="C217" s="20"/>
      <c r="D217" s="20"/>
      <c r="E217" s="20"/>
      <c r="F217" s="20"/>
      <c r="G217" s="20"/>
      <c r="H217" s="20"/>
      <c r="I217" s="18"/>
      <c r="J217" s="20"/>
      <c r="K217" s="20"/>
      <c r="L217" s="20"/>
      <c r="M217" s="18"/>
    </row>
    <row r="218" spans="1:13" x14ac:dyDescent="0.2">
      <c r="A218" s="18"/>
      <c r="B218" s="19"/>
      <c r="C218" s="20"/>
      <c r="D218" s="20"/>
      <c r="E218" s="20"/>
      <c r="F218" s="20"/>
      <c r="G218" s="20"/>
      <c r="H218" s="20"/>
      <c r="I218" s="18"/>
      <c r="J218" s="20"/>
      <c r="K218" s="20"/>
      <c r="L218" s="20"/>
      <c r="M218" s="18"/>
    </row>
    <row r="219" spans="1:13" x14ac:dyDescent="0.2">
      <c r="A219" s="18"/>
      <c r="B219" s="19"/>
      <c r="C219" s="20"/>
      <c r="D219" s="20"/>
      <c r="E219" s="20"/>
      <c r="F219" s="20"/>
      <c r="G219" s="20"/>
      <c r="H219" s="20"/>
      <c r="I219" s="18"/>
      <c r="J219" s="20"/>
      <c r="K219" s="20"/>
      <c r="L219" s="20"/>
      <c r="M219" s="18"/>
    </row>
    <row r="220" spans="1:13" x14ac:dyDescent="0.2">
      <c r="A220" s="18"/>
      <c r="B220" s="19"/>
      <c r="C220" s="20"/>
      <c r="D220" s="20"/>
      <c r="E220" s="20"/>
      <c r="F220" s="20"/>
      <c r="G220" s="20"/>
      <c r="H220" s="20"/>
      <c r="I220" s="18"/>
      <c r="J220" s="20"/>
      <c r="K220" s="20"/>
      <c r="L220" s="20"/>
      <c r="M220" s="18"/>
    </row>
    <row r="221" spans="1:13" x14ac:dyDescent="0.2">
      <c r="A221" s="18"/>
      <c r="B221" s="19"/>
      <c r="C221" s="20"/>
      <c r="D221" s="20"/>
      <c r="E221" s="20"/>
      <c r="F221" s="20"/>
      <c r="G221" s="20"/>
      <c r="H221" s="20"/>
      <c r="I221" s="18"/>
      <c r="J221" s="20"/>
      <c r="K221" s="20"/>
      <c r="L221" s="20"/>
      <c r="M221" s="18"/>
    </row>
    <row r="222" spans="1:13" x14ac:dyDescent="0.2">
      <c r="A222" s="18"/>
      <c r="B222" s="19"/>
      <c r="C222" s="20"/>
      <c r="D222" s="20"/>
      <c r="E222" s="20"/>
      <c r="F222" s="20"/>
      <c r="G222" s="20"/>
      <c r="H222" s="20"/>
      <c r="I222" s="18"/>
      <c r="J222" s="20"/>
      <c r="K222" s="20"/>
      <c r="L222" s="20"/>
      <c r="M222" s="18"/>
    </row>
    <row r="223" spans="1:13" x14ac:dyDescent="0.2">
      <c r="A223" s="18"/>
      <c r="B223" s="19"/>
      <c r="C223" s="20"/>
      <c r="D223" s="20"/>
      <c r="E223" s="20"/>
      <c r="F223" s="20"/>
      <c r="G223" s="20"/>
      <c r="H223" s="20"/>
      <c r="I223" s="18"/>
      <c r="J223" s="20"/>
      <c r="K223" s="20"/>
      <c r="L223" s="20"/>
      <c r="M223" s="18"/>
    </row>
    <row r="224" spans="1:13" x14ac:dyDescent="0.2">
      <c r="A224" s="18"/>
      <c r="B224" s="19"/>
      <c r="C224" s="20"/>
      <c r="D224" s="20"/>
      <c r="E224" s="20"/>
      <c r="F224" s="20"/>
      <c r="G224" s="20"/>
      <c r="H224" s="20"/>
      <c r="I224" s="18"/>
      <c r="J224" s="20"/>
      <c r="K224" s="20"/>
      <c r="L224" s="20"/>
      <c r="M224" s="18"/>
    </row>
    <row r="225" spans="1:13" x14ac:dyDescent="0.2">
      <c r="A225" s="18"/>
      <c r="B225" s="19"/>
      <c r="C225" s="20"/>
      <c r="D225" s="20"/>
      <c r="E225" s="20"/>
      <c r="F225" s="20"/>
      <c r="G225" s="20"/>
      <c r="H225" s="20"/>
      <c r="I225" s="18"/>
      <c r="J225" s="20"/>
      <c r="K225" s="20"/>
      <c r="L225" s="20"/>
      <c r="M225" s="18"/>
    </row>
    <row r="226" spans="1:13" x14ac:dyDescent="0.2">
      <c r="A226" s="18"/>
      <c r="B226" s="19"/>
      <c r="C226" s="20"/>
      <c r="D226" s="20"/>
      <c r="E226" s="20"/>
      <c r="F226" s="20"/>
      <c r="G226" s="20"/>
      <c r="H226" s="20"/>
      <c r="I226" s="18"/>
      <c r="J226" s="20"/>
      <c r="K226" s="20"/>
      <c r="L226" s="20"/>
      <c r="M226" s="18"/>
    </row>
    <row r="227" spans="1:13" x14ac:dyDescent="0.2">
      <c r="A227" s="18"/>
      <c r="B227" s="19"/>
      <c r="C227" s="20"/>
      <c r="D227" s="20"/>
      <c r="E227" s="20"/>
      <c r="F227" s="20"/>
      <c r="G227" s="20"/>
      <c r="H227" s="20"/>
      <c r="I227" s="18"/>
      <c r="J227" s="20"/>
      <c r="K227" s="20"/>
      <c r="L227" s="20"/>
      <c r="M227" s="18"/>
    </row>
    <row r="228" spans="1:13" x14ac:dyDescent="0.2">
      <c r="A228" s="18"/>
      <c r="B228" s="19"/>
      <c r="C228" s="20"/>
      <c r="D228" s="20"/>
      <c r="E228" s="20"/>
      <c r="F228" s="20"/>
      <c r="G228" s="20"/>
      <c r="H228" s="20"/>
      <c r="I228" s="18"/>
      <c r="J228" s="20"/>
      <c r="K228" s="20"/>
      <c r="L228" s="20"/>
      <c r="M228" s="18"/>
    </row>
    <row r="229" spans="1:13" x14ac:dyDescent="0.2">
      <c r="A229" s="18"/>
      <c r="B229" s="19"/>
      <c r="C229" s="20"/>
      <c r="D229" s="20"/>
      <c r="E229" s="20"/>
      <c r="F229" s="20"/>
      <c r="G229" s="20"/>
      <c r="H229" s="20"/>
      <c r="I229" s="18"/>
      <c r="J229" s="20"/>
      <c r="K229" s="20"/>
      <c r="L229" s="20"/>
      <c r="M229" s="18"/>
    </row>
    <row r="230" spans="1:13" x14ac:dyDescent="0.2">
      <c r="A230" s="18"/>
      <c r="B230" s="19"/>
      <c r="C230" s="20"/>
      <c r="D230" s="20"/>
      <c r="E230" s="20"/>
      <c r="F230" s="20"/>
      <c r="G230" s="20"/>
      <c r="H230" s="20"/>
      <c r="I230" s="18"/>
      <c r="J230" s="20"/>
      <c r="K230" s="20"/>
      <c r="L230" s="20"/>
      <c r="M230" s="18"/>
    </row>
    <row r="231" spans="1:13" x14ac:dyDescent="0.2">
      <c r="A231" s="18"/>
      <c r="B231" s="19"/>
      <c r="C231" s="20"/>
      <c r="D231" s="20"/>
      <c r="E231" s="20"/>
      <c r="F231" s="20"/>
      <c r="G231" s="20"/>
      <c r="H231" s="20"/>
      <c r="I231" s="18"/>
      <c r="J231" s="20"/>
      <c r="K231" s="20"/>
      <c r="L231" s="20"/>
      <c r="M231" s="18"/>
    </row>
    <row r="232" spans="1:13" x14ac:dyDescent="0.2">
      <c r="A232" s="18"/>
      <c r="B232" s="19"/>
      <c r="C232" s="20"/>
      <c r="D232" s="20"/>
      <c r="E232" s="20"/>
      <c r="F232" s="20"/>
      <c r="G232" s="20"/>
      <c r="H232" s="20"/>
      <c r="I232" s="18"/>
      <c r="J232" s="20"/>
      <c r="K232" s="20"/>
      <c r="L232" s="20"/>
      <c r="M232" s="18"/>
    </row>
    <row r="233" spans="1:13" x14ac:dyDescent="0.2">
      <c r="A233" s="18"/>
      <c r="B233" s="19"/>
      <c r="C233" s="20"/>
      <c r="D233" s="20"/>
      <c r="E233" s="20"/>
      <c r="F233" s="20"/>
      <c r="G233" s="20"/>
      <c r="H233" s="20"/>
      <c r="I233" s="18"/>
      <c r="J233" s="20"/>
      <c r="K233" s="20"/>
      <c r="L233" s="20"/>
      <c r="M233" s="18"/>
    </row>
    <row r="234" spans="1:13" x14ac:dyDescent="0.2">
      <c r="A234" s="18"/>
      <c r="B234" s="19"/>
      <c r="C234" s="20"/>
      <c r="D234" s="20"/>
      <c r="E234" s="20"/>
      <c r="F234" s="20"/>
      <c r="G234" s="20"/>
      <c r="H234" s="20"/>
      <c r="I234" s="18"/>
      <c r="J234" s="20"/>
      <c r="K234" s="20"/>
      <c r="L234" s="20"/>
      <c r="M234" s="18"/>
    </row>
    <row r="235" spans="1:13" x14ac:dyDescent="0.2">
      <c r="A235" s="18"/>
      <c r="B235" s="19"/>
      <c r="C235" s="20"/>
      <c r="D235" s="20"/>
      <c r="E235" s="20"/>
      <c r="F235" s="20"/>
      <c r="G235" s="20"/>
      <c r="H235" s="20"/>
      <c r="I235" s="18"/>
      <c r="J235" s="20"/>
      <c r="K235" s="20"/>
      <c r="L235" s="20"/>
      <c r="M235" s="18"/>
    </row>
    <row r="236" spans="1:13" x14ac:dyDescent="0.2">
      <c r="A236" s="18"/>
      <c r="B236" s="19"/>
      <c r="C236" s="20"/>
      <c r="D236" s="20"/>
      <c r="E236" s="20"/>
      <c r="F236" s="20"/>
      <c r="G236" s="20"/>
      <c r="H236" s="20"/>
      <c r="I236" s="18"/>
      <c r="J236" s="20"/>
      <c r="K236" s="20"/>
      <c r="L236" s="20"/>
      <c r="M236" s="18"/>
    </row>
    <row r="237" spans="1:13" x14ac:dyDescent="0.2">
      <c r="A237" s="18"/>
      <c r="B237" s="19"/>
      <c r="C237" s="20"/>
      <c r="D237" s="20"/>
      <c r="E237" s="20"/>
      <c r="F237" s="20"/>
      <c r="G237" s="20"/>
      <c r="H237" s="20"/>
      <c r="I237" s="18"/>
      <c r="J237" s="20"/>
      <c r="K237" s="20"/>
      <c r="L237" s="20"/>
      <c r="M237" s="18"/>
    </row>
    <row r="238" spans="1:13" x14ac:dyDescent="0.2">
      <c r="A238" s="18"/>
      <c r="B238" s="19"/>
      <c r="C238" s="20"/>
      <c r="D238" s="20"/>
      <c r="E238" s="20"/>
      <c r="F238" s="20"/>
      <c r="G238" s="20"/>
      <c r="H238" s="20"/>
      <c r="I238" s="18"/>
      <c r="J238" s="20"/>
      <c r="K238" s="20"/>
      <c r="L238" s="20"/>
      <c r="M238" s="18"/>
    </row>
    <row r="239" spans="1:13" x14ac:dyDescent="0.2">
      <c r="A239" s="18"/>
      <c r="B239" s="19"/>
      <c r="C239" s="20"/>
      <c r="D239" s="20"/>
      <c r="E239" s="20"/>
      <c r="F239" s="20"/>
      <c r="G239" s="20"/>
      <c r="H239" s="20"/>
      <c r="I239" s="18"/>
      <c r="J239" s="20"/>
      <c r="K239" s="20"/>
      <c r="L239" s="20"/>
      <c r="M239" s="18"/>
    </row>
    <row r="240" spans="1:13" x14ac:dyDescent="0.2">
      <c r="A240" s="18"/>
      <c r="B240" s="19"/>
      <c r="C240" s="20"/>
      <c r="D240" s="20"/>
      <c r="E240" s="20"/>
      <c r="F240" s="20"/>
      <c r="G240" s="20"/>
      <c r="H240" s="20"/>
      <c r="I240" s="18"/>
      <c r="J240" s="20"/>
      <c r="K240" s="20"/>
      <c r="L240" s="20"/>
      <c r="M240" s="18"/>
    </row>
    <row r="241" spans="1:13" x14ac:dyDescent="0.2">
      <c r="A241" s="18"/>
      <c r="B241" s="19"/>
      <c r="C241" s="20"/>
      <c r="D241" s="20"/>
      <c r="E241" s="20"/>
      <c r="F241" s="20"/>
      <c r="G241" s="20"/>
      <c r="H241" s="20"/>
      <c r="I241" s="18"/>
      <c r="J241" s="20"/>
      <c r="K241" s="20"/>
      <c r="L241" s="20"/>
      <c r="M241" s="18"/>
    </row>
    <row r="242" spans="1:13" x14ac:dyDescent="0.2">
      <c r="A242" s="18"/>
      <c r="B242" s="19"/>
      <c r="C242" s="20"/>
      <c r="D242" s="20"/>
      <c r="E242" s="20"/>
      <c r="F242" s="20"/>
      <c r="G242" s="20"/>
      <c r="H242" s="20"/>
      <c r="I242" s="18"/>
      <c r="J242" s="20"/>
      <c r="K242" s="20"/>
      <c r="L242" s="20"/>
      <c r="M242" s="18"/>
    </row>
    <row r="243" spans="1:13" x14ac:dyDescent="0.2">
      <c r="A243" s="18"/>
      <c r="B243" s="19"/>
      <c r="C243" s="20"/>
      <c r="D243" s="20"/>
      <c r="E243" s="20"/>
      <c r="F243" s="20"/>
      <c r="G243" s="20"/>
      <c r="H243" s="20"/>
      <c r="I243" s="18"/>
      <c r="J243" s="20"/>
      <c r="K243" s="20"/>
      <c r="L243" s="20"/>
      <c r="M243" s="18"/>
    </row>
    <row r="244" spans="1:13" x14ac:dyDescent="0.2">
      <c r="A244" s="18"/>
      <c r="B244" s="19"/>
      <c r="C244" s="20"/>
      <c r="D244" s="20"/>
      <c r="E244" s="20"/>
      <c r="F244" s="20"/>
      <c r="G244" s="20"/>
      <c r="H244" s="20"/>
      <c r="I244" s="18"/>
      <c r="J244" s="20"/>
      <c r="K244" s="20"/>
      <c r="L244" s="20"/>
      <c r="M244" s="18"/>
    </row>
    <row r="245" spans="1:13" x14ac:dyDescent="0.2">
      <c r="A245" s="18"/>
      <c r="B245" s="19"/>
      <c r="C245" s="20"/>
      <c r="D245" s="20"/>
      <c r="E245" s="20"/>
      <c r="F245" s="20"/>
      <c r="G245" s="20"/>
      <c r="H245" s="20"/>
      <c r="I245" s="18"/>
      <c r="J245" s="20"/>
      <c r="K245" s="20"/>
      <c r="L245" s="20"/>
      <c r="M245" s="18"/>
    </row>
    <row r="246" spans="1:13" x14ac:dyDescent="0.2">
      <c r="A246" s="18"/>
      <c r="B246" s="19"/>
      <c r="C246" s="20"/>
      <c r="D246" s="20"/>
      <c r="E246" s="20"/>
      <c r="F246" s="20"/>
      <c r="G246" s="20"/>
      <c r="H246" s="20"/>
      <c r="I246" s="18"/>
      <c r="J246" s="20"/>
      <c r="K246" s="20"/>
      <c r="L246" s="20"/>
      <c r="M246" s="18"/>
    </row>
    <row r="247" spans="1:13" x14ac:dyDescent="0.2">
      <c r="A247" s="18"/>
      <c r="B247" s="19"/>
      <c r="C247" s="20"/>
      <c r="D247" s="20"/>
      <c r="E247" s="20"/>
      <c r="F247" s="20"/>
      <c r="G247" s="20"/>
      <c r="H247" s="20"/>
      <c r="I247" s="18"/>
      <c r="J247" s="20"/>
      <c r="K247" s="20"/>
      <c r="L247" s="20"/>
      <c r="M247" s="18"/>
    </row>
    <row r="248" spans="1:13" x14ac:dyDescent="0.2">
      <c r="A248" s="18"/>
      <c r="B248" s="19"/>
      <c r="C248" s="20"/>
      <c r="D248" s="20"/>
      <c r="E248" s="20"/>
      <c r="F248" s="20"/>
      <c r="G248" s="20"/>
      <c r="H248" s="20"/>
      <c r="I248" s="18"/>
      <c r="J248" s="20"/>
      <c r="K248" s="20"/>
      <c r="L248" s="20"/>
      <c r="M248" s="18"/>
    </row>
    <row r="249" spans="1:13" x14ac:dyDescent="0.2">
      <c r="A249" s="18"/>
      <c r="B249" s="19"/>
      <c r="C249" s="20"/>
      <c r="D249" s="20"/>
      <c r="E249" s="20"/>
      <c r="F249" s="20"/>
      <c r="G249" s="20"/>
      <c r="H249" s="20"/>
      <c r="I249" s="18"/>
      <c r="J249" s="20"/>
      <c r="K249" s="20"/>
      <c r="L249" s="20"/>
      <c r="M249" s="18"/>
    </row>
    <row r="250" spans="1:13" x14ac:dyDescent="0.2">
      <c r="A250" s="18"/>
      <c r="B250" s="19"/>
      <c r="C250" s="20"/>
      <c r="D250" s="20"/>
      <c r="E250" s="20"/>
      <c r="F250" s="20"/>
      <c r="G250" s="20"/>
      <c r="H250" s="20"/>
      <c r="I250" s="18"/>
      <c r="J250" s="20"/>
      <c r="K250" s="20"/>
      <c r="L250" s="20"/>
      <c r="M250" s="18"/>
    </row>
    <row r="251" spans="1:13" x14ac:dyDescent="0.2">
      <c r="A251" s="18"/>
      <c r="B251" s="19"/>
      <c r="C251" s="20"/>
      <c r="D251" s="20"/>
      <c r="E251" s="20"/>
      <c r="F251" s="20"/>
      <c r="G251" s="20"/>
      <c r="H251" s="20"/>
      <c r="I251" s="18"/>
      <c r="J251" s="20"/>
      <c r="K251" s="20"/>
      <c r="L251" s="20"/>
      <c r="M251" s="18"/>
    </row>
    <row r="252" spans="1:13" x14ac:dyDescent="0.2">
      <c r="A252" s="18"/>
      <c r="B252" s="19"/>
      <c r="C252" s="20"/>
      <c r="D252" s="20"/>
      <c r="E252" s="20"/>
      <c r="F252" s="20"/>
      <c r="G252" s="20"/>
      <c r="H252" s="20"/>
      <c r="I252" s="18"/>
      <c r="J252" s="20"/>
      <c r="K252" s="20"/>
      <c r="L252" s="20"/>
      <c r="M252" s="18"/>
    </row>
    <row r="253" spans="1:13" x14ac:dyDescent="0.2">
      <c r="A253" s="18"/>
      <c r="B253" s="19"/>
      <c r="C253" s="20"/>
      <c r="D253" s="20"/>
      <c r="E253" s="20"/>
      <c r="F253" s="20"/>
      <c r="G253" s="20"/>
      <c r="H253" s="20"/>
      <c r="I253" s="18"/>
      <c r="J253" s="20"/>
      <c r="K253" s="20"/>
      <c r="L253" s="20"/>
      <c r="M253" s="18"/>
    </row>
    <row r="254" spans="1:13" x14ac:dyDescent="0.2">
      <c r="A254" s="18"/>
      <c r="B254" s="19"/>
      <c r="C254" s="20"/>
      <c r="D254" s="20"/>
      <c r="E254" s="20"/>
      <c r="F254" s="20"/>
      <c r="G254" s="20"/>
      <c r="H254" s="20"/>
      <c r="I254" s="18"/>
      <c r="J254" s="20"/>
      <c r="K254" s="20"/>
      <c r="L254" s="20"/>
      <c r="M254" s="18"/>
    </row>
    <row r="255" spans="1:13" x14ac:dyDescent="0.2">
      <c r="A255" s="18"/>
      <c r="B255" s="19"/>
      <c r="C255" s="20"/>
      <c r="D255" s="20"/>
      <c r="E255" s="20"/>
      <c r="F255" s="20"/>
      <c r="G255" s="20"/>
      <c r="H255" s="20"/>
      <c r="I255" s="18"/>
      <c r="J255" s="20"/>
      <c r="K255" s="20"/>
      <c r="L255" s="20"/>
      <c r="M255" s="18"/>
    </row>
    <row r="256" spans="1:13" x14ac:dyDescent="0.2">
      <c r="A256" s="18"/>
      <c r="B256" s="19"/>
      <c r="C256" s="20"/>
      <c r="D256" s="20"/>
      <c r="E256" s="20"/>
      <c r="F256" s="20"/>
      <c r="G256" s="20"/>
      <c r="H256" s="20"/>
      <c r="I256" s="18"/>
      <c r="J256" s="20"/>
      <c r="K256" s="20"/>
      <c r="L256" s="20"/>
      <c r="M256" s="18"/>
    </row>
    <row r="257" spans="1:13" x14ac:dyDescent="0.2">
      <c r="A257" s="18"/>
      <c r="B257" s="19"/>
      <c r="C257" s="20"/>
      <c r="D257" s="20"/>
      <c r="E257" s="20"/>
      <c r="F257" s="20"/>
      <c r="G257" s="20"/>
      <c r="H257" s="20"/>
      <c r="I257" s="18"/>
      <c r="J257" s="20"/>
      <c r="K257" s="20"/>
      <c r="L257" s="20"/>
      <c r="M257" s="18"/>
    </row>
    <row r="258" spans="1:13" x14ac:dyDescent="0.2">
      <c r="A258" s="18"/>
      <c r="B258" s="19"/>
      <c r="C258" s="20"/>
      <c r="D258" s="20"/>
      <c r="E258" s="20"/>
      <c r="F258" s="20"/>
      <c r="G258" s="20"/>
      <c r="H258" s="20"/>
      <c r="I258" s="18"/>
      <c r="J258" s="20"/>
      <c r="K258" s="20"/>
      <c r="L258" s="20"/>
      <c r="M258" s="18"/>
    </row>
    <row r="259" spans="1:13" x14ac:dyDescent="0.2">
      <c r="A259" s="18"/>
      <c r="B259" s="19"/>
      <c r="C259" s="20"/>
      <c r="D259" s="20"/>
      <c r="E259" s="20"/>
      <c r="F259" s="20"/>
      <c r="G259" s="20"/>
      <c r="H259" s="20"/>
      <c r="I259" s="18"/>
      <c r="J259" s="20"/>
      <c r="K259" s="20"/>
      <c r="L259" s="20"/>
      <c r="M259" s="18"/>
    </row>
    <row r="260" spans="1:13" x14ac:dyDescent="0.2">
      <c r="A260" s="18"/>
      <c r="B260" s="19"/>
      <c r="C260" s="20"/>
      <c r="D260" s="20"/>
      <c r="E260" s="20"/>
      <c r="F260" s="20"/>
      <c r="G260" s="20"/>
      <c r="H260" s="20"/>
      <c r="I260" s="18"/>
      <c r="J260" s="20"/>
      <c r="K260" s="20"/>
      <c r="L260" s="20"/>
      <c r="M260" s="18"/>
    </row>
    <row r="261" spans="1:13" x14ac:dyDescent="0.2">
      <c r="A261" s="18"/>
      <c r="B261" s="19"/>
      <c r="C261" s="20"/>
      <c r="D261" s="20"/>
      <c r="E261" s="20"/>
      <c r="F261" s="20"/>
      <c r="G261" s="20"/>
      <c r="H261" s="20"/>
      <c r="I261" s="18"/>
      <c r="J261" s="20"/>
      <c r="K261" s="20"/>
      <c r="L261" s="20"/>
      <c r="M261" s="18"/>
    </row>
    <row r="262" spans="1:13" x14ac:dyDescent="0.2">
      <c r="A262" s="18"/>
      <c r="B262" s="19"/>
      <c r="C262" s="20"/>
      <c r="D262" s="20"/>
      <c r="E262" s="20"/>
      <c r="F262" s="20"/>
      <c r="G262" s="20"/>
      <c r="H262" s="20"/>
      <c r="I262" s="18"/>
      <c r="J262" s="20"/>
      <c r="K262" s="20"/>
      <c r="L262" s="20"/>
      <c r="M262" s="18"/>
    </row>
    <row r="263" spans="1:13" x14ac:dyDescent="0.2">
      <c r="A263" s="18"/>
      <c r="B263" s="19"/>
      <c r="C263" s="20"/>
      <c r="D263" s="20"/>
      <c r="E263" s="20"/>
      <c r="F263" s="20"/>
      <c r="G263" s="20"/>
      <c r="H263" s="20"/>
      <c r="I263" s="18"/>
      <c r="J263" s="20"/>
      <c r="K263" s="20"/>
      <c r="L263" s="20"/>
    </row>
    <row r="264" spans="1:13" x14ac:dyDescent="0.2">
      <c r="A264" s="18"/>
      <c r="B264" s="19"/>
      <c r="C264" s="20"/>
      <c r="D264" s="20"/>
      <c r="E264" s="20"/>
      <c r="F264" s="20"/>
      <c r="G264" s="20"/>
      <c r="H264" s="20"/>
      <c r="I264" s="18"/>
      <c r="J264" s="20"/>
      <c r="K264" s="20"/>
      <c r="L264" s="20"/>
    </row>
    <row r="265" spans="1:13" x14ac:dyDescent="0.2">
      <c r="A265" s="18"/>
      <c r="B265" s="19"/>
      <c r="C265" s="20"/>
      <c r="D265" s="20"/>
      <c r="E265" s="20"/>
      <c r="F265" s="20"/>
      <c r="G265" s="20"/>
      <c r="H265" s="20"/>
      <c r="I265" s="18"/>
      <c r="J265" s="20"/>
      <c r="K265" s="20"/>
      <c r="L265" s="20"/>
    </row>
    <row r="266" spans="1:13" x14ac:dyDescent="0.2">
      <c r="B266" s="25"/>
      <c r="C266" s="7"/>
      <c r="D266" s="7"/>
      <c r="E266" s="7"/>
      <c r="F266" s="26"/>
      <c r="G266" s="20"/>
      <c r="H266" s="7"/>
      <c r="I266" s="18"/>
      <c r="J266" s="7"/>
      <c r="K266" s="20"/>
      <c r="L266" s="7"/>
    </row>
    <row r="267" spans="1:13" x14ac:dyDescent="0.2">
      <c r="B267" s="25"/>
      <c r="C267" s="7"/>
      <c r="D267" s="7"/>
      <c r="E267" s="7"/>
      <c r="F267" s="26"/>
      <c r="G267" s="20"/>
      <c r="H267" s="7"/>
      <c r="I267" s="18"/>
      <c r="J267" s="7"/>
      <c r="K267" s="20"/>
      <c r="L267" s="7"/>
    </row>
    <row r="268" spans="1:13" x14ac:dyDescent="0.2">
      <c r="B268" s="25"/>
      <c r="C268" s="7"/>
      <c r="D268" s="7"/>
      <c r="E268" s="7"/>
      <c r="F268" s="26"/>
      <c r="G268" s="20"/>
      <c r="H268" s="7"/>
      <c r="I268" s="18"/>
      <c r="J268" s="7"/>
      <c r="K268" s="20"/>
      <c r="L268" s="7"/>
    </row>
    <row r="269" spans="1:13" x14ac:dyDescent="0.2">
      <c r="B269" s="25"/>
      <c r="C269" s="7"/>
      <c r="D269" s="7"/>
      <c r="E269" s="7"/>
      <c r="F269" s="26"/>
      <c r="G269" s="20"/>
      <c r="H269" s="7"/>
      <c r="I269" s="18"/>
      <c r="J269" s="7"/>
      <c r="K269" s="20"/>
      <c r="L269" s="7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X120"/>
  <sheetViews>
    <sheetView workbookViewId="0">
      <pane xSplit="2" ySplit="1" topLeftCell="C2" activePane="bottomRight" state="frozen"/>
      <selection activeCell="L25" sqref="L25"/>
      <selection pane="topRight" activeCell="L25" sqref="L25"/>
      <selection pane="bottomLeft" activeCell="L25" sqref="L25"/>
      <selection pane="bottomRight" activeCell="A2" sqref="A2:XFD2"/>
    </sheetView>
  </sheetViews>
  <sheetFormatPr defaultRowHeight="12.75" x14ac:dyDescent="0.2"/>
  <cols>
    <col min="1" max="1" width="7.7109375" bestFit="1" customWidth="1"/>
    <col min="2" max="2" width="21.7109375" bestFit="1" customWidth="1"/>
  </cols>
  <sheetData>
    <row r="1" spans="1:180" x14ac:dyDescent="0.2">
      <c r="A1" t="s">
        <v>571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288</v>
      </c>
      <c r="AE1" t="s">
        <v>289</v>
      </c>
      <c r="AF1" t="s">
        <v>290</v>
      </c>
      <c r="AG1" t="s">
        <v>291</v>
      </c>
      <c r="AH1" t="s">
        <v>292</v>
      </c>
      <c r="AI1" t="s">
        <v>293</v>
      </c>
      <c r="AJ1" t="s">
        <v>294</v>
      </c>
      <c r="AK1" t="s">
        <v>295</v>
      </c>
      <c r="AL1" t="s">
        <v>296</v>
      </c>
      <c r="AM1" t="s">
        <v>297</v>
      </c>
      <c r="AN1" t="s">
        <v>298</v>
      </c>
      <c r="AO1" t="s">
        <v>299</v>
      </c>
      <c r="AP1" t="s">
        <v>300</v>
      </c>
      <c r="AQ1" t="s">
        <v>301</v>
      </c>
      <c r="AR1" t="s">
        <v>302</v>
      </c>
      <c r="AS1" t="s">
        <v>303</v>
      </c>
      <c r="AT1" t="s">
        <v>304</v>
      </c>
      <c r="AU1" t="s">
        <v>305</v>
      </c>
      <c r="AV1" t="s">
        <v>306</v>
      </c>
      <c r="AW1" t="s">
        <v>307</v>
      </c>
      <c r="AX1" t="s">
        <v>308</v>
      </c>
      <c r="AY1" t="s">
        <v>309</v>
      </c>
      <c r="AZ1" t="s">
        <v>310</v>
      </c>
      <c r="BA1" t="s">
        <v>311</v>
      </c>
      <c r="BB1" t="s">
        <v>312</v>
      </c>
      <c r="BC1" t="s">
        <v>313</v>
      </c>
      <c r="BD1" t="s">
        <v>314</v>
      </c>
      <c r="BE1" t="s">
        <v>315</v>
      </c>
      <c r="BF1" t="s">
        <v>316</v>
      </c>
      <c r="BG1" t="s">
        <v>317</v>
      </c>
      <c r="BH1" t="s">
        <v>318</v>
      </c>
      <c r="BI1" t="s">
        <v>319</v>
      </c>
      <c r="BJ1" t="s">
        <v>320</v>
      </c>
      <c r="BK1" t="s">
        <v>321</v>
      </c>
      <c r="BL1" t="s">
        <v>322</v>
      </c>
      <c r="BM1" t="s">
        <v>323</v>
      </c>
      <c r="BN1" t="s">
        <v>324</v>
      </c>
      <c r="BO1" t="s">
        <v>325</v>
      </c>
      <c r="BP1" t="s">
        <v>326</v>
      </c>
      <c r="BQ1" t="s">
        <v>327</v>
      </c>
      <c r="BR1" t="s">
        <v>328</v>
      </c>
      <c r="BS1" t="s">
        <v>329</v>
      </c>
      <c r="BT1" t="s">
        <v>330</v>
      </c>
      <c r="BU1" t="s">
        <v>331</v>
      </c>
      <c r="BV1" t="s">
        <v>332</v>
      </c>
      <c r="BW1" t="s">
        <v>333</v>
      </c>
      <c r="BX1" t="s">
        <v>334</v>
      </c>
      <c r="BY1" t="s">
        <v>335</v>
      </c>
      <c r="BZ1" t="s">
        <v>336</v>
      </c>
      <c r="CA1" t="s">
        <v>337</v>
      </c>
      <c r="CB1" t="s">
        <v>338</v>
      </c>
      <c r="CC1" t="s">
        <v>339</v>
      </c>
      <c r="CD1" t="s">
        <v>340</v>
      </c>
      <c r="CE1" t="s">
        <v>341</v>
      </c>
      <c r="CF1" t="s">
        <v>342</v>
      </c>
      <c r="CG1" t="s">
        <v>343</v>
      </c>
      <c r="CH1" t="s">
        <v>344</v>
      </c>
      <c r="CI1" t="s">
        <v>345</v>
      </c>
      <c r="CJ1" t="s">
        <v>346</v>
      </c>
      <c r="CK1" t="s">
        <v>347</v>
      </c>
      <c r="CL1" t="s">
        <v>348</v>
      </c>
      <c r="CM1" t="s">
        <v>349</v>
      </c>
      <c r="CN1" t="s">
        <v>350</v>
      </c>
      <c r="CO1" t="s">
        <v>351</v>
      </c>
      <c r="CP1" t="s">
        <v>352</v>
      </c>
      <c r="CQ1" t="s">
        <v>353</v>
      </c>
      <c r="CR1" t="s">
        <v>354</v>
      </c>
      <c r="CS1" t="s">
        <v>355</v>
      </c>
      <c r="CT1" t="s">
        <v>356</v>
      </c>
      <c r="CU1" t="s">
        <v>357</v>
      </c>
      <c r="CV1" t="s">
        <v>358</v>
      </c>
      <c r="CW1" t="s">
        <v>359</v>
      </c>
      <c r="CX1" t="s">
        <v>360</v>
      </c>
      <c r="CY1" t="s">
        <v>361</v>
      </c>
      <c r="CZ1" t="s">
        <v>362</v>
      </c>
      <c r="DA1" t="s">
        <v>363</v>
      </c>
      <c r="DB1" t="s">
        <v>364</v>
      </c>
      <c r="DC1" t="s">
        <v>365</v>
      </c>
      <c r="DD1" t="s">
        <v>366</v>
      </c>
      <c r="DE1" t="s">
        <v>367</v>
      </c>
      <c r="DF1" t="s">
        <v>368</v>
      </c>
      <c r="DG1" t="s">
        <v>369</v>
      </c>
      <c r="DH1" t="s">
        <v>370</v>
      </c>
      <c r="DI1" t="s">
        <v>371</v>
      </c>
      <c r="DJ1" t="s">
        <v>372</v>
      </c>
      <c r="DK1" t="s">
        <v>373</v>
      </c>
      <c r="DL1" t="s">
        <v>374</v>
      </c>
      <c r="DM1" t="s">
        <v>375</v>
      </c>
      <c r="DN1" t="s">
        <v>376</v>
      </c>
      <c r="DO1" t="s">
        <v>377</v>
      </c>
      <c r="DP1" t="s">
        <v>378</v>
      </c>
      <c r="DQ1" t="s">
        <v>379</v>
      </c>
      <c r="DR1" t="s">
        <v>380</v>
      </c>
      <c r="DS1" t="s">
        <v>381</v>
      </c>
      <c r="DT1" t="s">
        <v>382</v>
      </c>
      <c r="DU1" t="s">
        <v>383</v>
      </c>
      <c r="DV1" t="s">
        <v>384</v>
      </c>
      <c r="DW1" t="s">
        <v>385</v>
      </c>
      <c r="DX1" t="s">
        <v>386</v>
      </c>
      <c r="DY1" t="s">
        <v>387</v>
      </c>
      <c r="DZ1" t="s">
        <v>388</v>
      </c>
      <c r="EA1" t="s">
        <v>389</v>
      </c>
      <c r="EB1" t="s">
        <v>390</v>
      </c>
      <c r="EC1" t="s">
        <v>391</v>
      </c>
      <c r="ED1" t="s">
        <v>392</v>
      </c>
      <c r="EE1" t="s">
        <v>393</v>
      </c>
      <c r="EF1" t="s">
        <v>394</v>
      </c>
      <c r="EG1" t="s">
        <v>395</v>
      </c>
      <c r="EH1" t="s">
        <v>396</v>
      </c>
      <c r="EI1" t="s">
        <v>397</v>
      </c>
      <c r="EJ1" t="s">
        <v>398</v>
      </c>
      <c r="EK1" t="s">
        <v>399</v>
      </c>
      <c r="EL1" t="s">
        <v>400</v>
      </c>
      <c r="EM1" t="s">
        <v>401</v>
      </c>
      <c r="EN1" t="s">
        <v>402</v>
      </c>
      <c r="EO1" t="s">
        <v>403</v>
      </c>
      <c r="EP1" t="s">
        <v>404</v>
      </c>
      <c r="EQ1" t="s">
        <v>405</v>
      </c>
      <c r="ER1" t="s">
        <v>406</v>
      </c>
      <c r="ES1" t="s">
        <v>407</v>
      </c>
      <c r="ET1" t="s">
        <v>408</v>
      </c>
      <c r="EU1" t="s">
        <v>409</v>
      </c>
      <c r="EV1" t="s">
        <v>410</v>
      </c>
      <c r="EW1" t="s">
        <v>411</v>
      </c>
      <c r="EX1" t="s">
        <v>412</v>
      </c>
      <c r="EY1" t="s">
        <v>413</v>
      </c>
      <c r="EZ1" t="s">
        <v>414</v>
      </c>
      <c r="FA1" t="s">
        <v>415</v>
      </c>
      <c r="FB1" t="s">
        <v>416</v>
      </c>
      <c r="FC1" t="s">
        <v>417</v>
      </c>
      <c r="FD1" t="s">
        <v>418</v>
      </c>
      <c r="FE1" t="s">
        <v>419</v>
      </c>
      <c r="FF1" t="s">
        <v>420</v>
      </c>
      <c r="FG1" t="s">
        <v>421</v>
      </c>
      <c r="FH1" t="s">
        <v>422</v>
      </c>
      <c r="FI1" t="s">
        <v>423</v>
      </c>
      <c r="FJ1" t="s">
        <v>424</v>
      </c>
      <c r="FK1" t="s">
        <v>425</v>
      </c>
      <c r="FL1" t="s">
        <v>426</v>
      </c>
      <c r="FM1" t="s">
        <v>427</v>
      </c>
      <c r="FN1" t="s">
        <v>428</v>
      </c>
      <c r="FO1" t="s">
        <v>429</v>
      </c>
      <c r="FP1" t="s">
        <v>430</v>
      </c>
      <c r="FQ1" t="s">
        <v>431</v>
      </c>
      <c r="FR1" t="s">
        <v>432</v>
      </c>
      <c r="FS1" t="s">
        <v>433</v>
      </c>
      <c r="FT1" t="s">
        <v>434</v>
      </c>
      <c r="FU1" t="s">
        <v>435</v>
      </c>
      <c r="FV1" t="s">
        <v>436</v>
      </c>
      <c r="FW1" t="s">
        <v>437</v>
      </c>
      <c r="FX1" t="s">
        <v>438</v>
      </c>
    </row>
    <row r="2" spans="1:180" x14ac:dyDescent="0.2">
      <c r="B2" t="s">
        <v>59</v>
      </c>
      <c r="C2">
        <v>0</v>
      </c>
      <c r="D2">
        <v>0</v>
      </c>
      <c r="E2" t="s">
        <v>439</v>
      </c>
      <c r="F2">
        <v>0</v>
      </c>
      <c r="G2">
        <v>0</v>
      </c>
      <c r="H2" t="s">
        <v>439</v>
      </c>
      <c r="I2">
        <v>0</v>
      </c>
      <c r="J2">
        <v>0</v>
      </c>
      <c r="K2" t="s">
        <v>439</v>
      </c>
      <c r="L2">
        <v>0</v>
      </c>
      <c r="M2">
        <v>0</v>
      </c>
      <c r="N2" t="s">
        <v>439</v>
      </c>
      <c r="O2">
        <v>0</v>
      </c>
      <c r="P2">
        <v>0</v>
      </c>
      <c r="Q2" t="s">
        <v>439</v>
      </c>
      <c r="R2">
        <v>0</v>
      </c>
      <c r="S2">
        <v>0</v>
      </c>
      <c r="T2" t="s">
        <v>439</v>
      </c>
      <c r="U2">
        <v>0</v>
      </c>
      <c r="V2">
        <v>0</v>
      </c>
      <c r="W2" t="s">
        <v>439</v>
      </c>
      <c r="X2">
        <v>0</v>
      </c>
      <c r="Y2">
        <v>0</v>
      </c>
      <c r="Z2" t="s">
        <v>439</v>
      </c>
      <c r="AA2">
        <v>0</v>
      </c>
      <c r="AB2">
        <v>0</v>
      </c>
      <c r="AC2" t="s">
        <v>439</v>
      </c>
      <c r="AD2">
        <v>0</v>
      </c>
      <c r="AE2">
        <v>0</v>
      </c>
      <c r="AF2" t="s">
        <v>439</v>
      </c>
      <c r="AI2" t="s">
        <v>440</v>
      </c>
      <c r="AJ2">
        <v>0</v>
      </c>
      <c r="AK2">
        <v>0</v>
      </c>
      <c r="AL2" t="s">
        <v>441</v>
      </c>
      <c r="AM2">
        <v>0</v>
      </c>
      <c r="AN2">
        <v>0</v>
      </c>
      <c r="AO2" t="s">
        <v>439</v>
      </c>
      <c r="AP2">
        <v>0</v>
      </c>
      <c r="AQ2">
        <v>0</v>
      </c>
      <c r="AR2" t="s">
        <v>439</v>
      </c>
      <c r="AS2">
        <v>0</v>
      </c>
      <c r="AT2">
        <v>0</v>
      </c>
      <c r="AU2" t="s">
        <v>439</v>
      </c>
      <c r="AV2">
        <v>0</v>
      </c>
      <c r="AW2">
        <v>0</v>
      </c>
      <c r="AX2" t="s">
        <v>439</v>
      </c>
      <c r="AY2">
        <v>0</v>
      </c>
      <c r="AZ2">
        <v>0</v>
      </c>
      <c r="BA2" t="s">
        <v>439</v>
      </c>
      <c r="BB2">
        <v>0</v>
      </c>
      <c r="BC2">
        <v>0</v>
      </c>
      <c r="BD2" t="s">
        <v>439</v>
      </c>
      <c r="BE2">
        <v>0</v>
      </c>
      <c r="BF2">
        <v>0</v>
      </c>
      <c r="BG2" t="s">
        <v>439</v>
      </c>
      <c r="BH2">
        <v>0</v>
      </c>
      <c r="BI2">
        <v>0</v>
      </c>
      <c r="BJ2" t="s">
        <v>439</v>
      </c>
      <c r="BK2">
        <v>0</v>
      </c>
      <c r="BL2">
        <v>0</v>
      </c>
      <c r="BM2" t="s">
        <v>439</v>
      </c>
      <c r="BN2">
        <v>0</v>
      </c>
      <c r="BO2">
        <v>0</v>
      </c>
      <c r="BP2" t="s">
        <v>439</v>
      </c>
      <c r="BQ2">
        <v>0</v>
      </c>
      <c r="BR2">
        <v>0</v>
      </c>
      <c r="BS2" t="s">
        <v>439</v>
      </c>
      <c r="BT2">
        <v>0</v>
      </c>
      <c r="BU2">
        <v>0</v>
      </c>
      <c r="BV2" t="s">
        <v>439</v>
      </c>
      <c r="BW2">
        <v>0</v>
      </c>
      <c r="BX2">
        <v>0</v>
      </c>
      <c r="BY2" t="s">
        <v>439</v>
      </c>
      <c r="BZ2">
        <v>0</v>
      </c>
      <c r="CA2">
        <v>0</v>
      </c>
      <c r="CB2" t="s">
        <v>439</v>
      </c>
      <c r="CC2">
        <v>0</v>
      </c>
      <c r="CD2">
        <v>0</v>
      </c>
      <c r="CE2" t="s">
        <v>439</v>
      </c>
      <c r="CF2">
        <v>0</v>
      </c>
      <c r="CG2">
        <v>0</v>
      </c>
      <c r="CH2" t="s">
        <v>439</v>
      </c>
      <c r="CI2">
        <v>0</v>
      </c>
      <c r="CJ2">
        <v>0</v>
      </c>
      <c r="CK2" t="s">
        <v>439</v>
      </c>
      <c r="CL2">
        <v>0</v>
      </c>
      <c r="CM2">
        <v>0</v>
      </c>
      <c r="CN2" t="s">
        <v>439</v>
      </c>
      <c r="CQ2" t="s">
        <v>440</v>
      </c>
      <c r="CT2" t="s">
        <v>440</v>
      </c>
      <c r="CW2" t="s">
        <v>440</v>
      </c>
      <c r="CZ2" t="s">
        <v>440</v>
      </c>
      <c r="DC2" t="s">
        <v>440</v>
      </c>
      <c r="DF2" t="s">
        <v>440</v>
      </c>
      <c r="DI2" t="s">
        <v>440</v>
      </c>
      <c r="DL2" t="s">
        <v>440</v>
      </c>
      <c r="DO2" t="s">
        <v>440</v>
      </c>
      <c r="DR2" t="s">
        <v>440</v>
      </c>
      <c r="DU2" t="s">
        <v>440</v>
      </c>
      <c r="DX2" t="s">
        <v>440</v>
      </c>
      <c r="EA2" t="s">
        <v>440</v>
      </c>
      <c r="ED2" t="s">
        <v>440</v>
      </c>
      <c r="EG2" t="s">
        <v>440</v>
      </c>
      <c r="EJ2" t="s">
        <v>440</v>
      </c>
      <c r="EM2" t="s">
        <v>440</v>
      </c>
      <c r="EP2" t="s">
        <v>440</v>
      </c>
      <c r="EQ2">
        <v>0</v>
      </c>
      <c r="ER2">
        <v>0</v>
      </c>
      <c r="ES2" t="s">
        <v>439</v>
      </c>
      <c r="EV2" t="s">
        <v>440</v>
      </c>
      <c r="EY2" t="s">
        <v>440</v>
      </c>
      <c r="FB2" t="s">
        <v>440</v>
      </c>
      <c r="FE2" t="s">
        <v>440</v>
      </c>
      <c r="FH2" t="s">
        <v>440</v>
      </c>
      <c r="FK2" t="s">
        <v>440</v>
      </c>
      <c r="FN2" t="s">
        <v>440</v>
      </c>
      <c r="FQ2" t="s">
        <v>440</v>
      </c>
      <c r="FR2">
        <v>0</v>
      </c>
      <c r="FS2">
        <v>0</v>
      </c>
      <c r="FT2" t="s">
        <v>439</v>
      </c>
      <c r="FX2">
        <v>1</v>
      </c>
    </row>
    <row r="3" spans="1:180" x14ac:dyDescent="0.2">
      <c r="B3" t="s">
        <v>67</v>
      </c>
      <c r="E3" t="s">
        <v>440</v>
      </c>
      <c r="H3" t="s">
        <v>440</v>
      </c>
      <c r="K3" t="s">
        <v>440</v>
      </c>
      <c r="N3" t="s">
        <v>440</v>
      </c>
      <c r="Q3" t="s">
        <v>440</v>
      </c>
      <c r="T3" t="s">
        <v>440</v>
      </c>
      <c r="W3" t="s">
        <v>440</v>
      </c>
      <c r="Z3" t="s">
        <v>440</v>
      </c>
      <c r="AC3" t="s">
        <v>440</v>
      </c>
      <c r="AF3" t="s">
        <v>440</v>
      </c>
      <c r="AI3" t="s">
        <v>440</v>
      </c>
      <c r="AL3" t="s">
        <v>440</v>
      </c>
      <c r="AO3" t="s">
        <v>440</v>
      </c>
      <c r="AR3" t="s">
        <v>440</v>
      </c>
      <c r="AU3" t="s">
        <v>440</v>
      </c>
      <c r="AX3" t="s">
        <v>440</v>
      </c>
      <c r="BA3" t="s">
        <v>440</v>
      </c>
      <c r="BD3" t="s">
        <v>440</v>
      </c>
      <c r="BG3" t="s">
        <v>440</v>
      </c>
      <c r="BJ3" t="s">
        <v>440</v>
      </c>
      <c r="BM3" t="s">
        <v>440</v>
      </c>
      <c r="BP3" t="s">
        <v>440</v>
      </c>
      <c r="BS3" t="s">
        <v>440</v>
      </c>
      <c r="BV3" t="s">
        <v>440</v>
      </c>
      <c r="BY3" t="s">
        <v>440</v>
      </c>
      <c r="CB3" t="s">
        <v>440</v>
      </c>
      <c r="CE3" t="s">
        <v>440</v>
      </c>
      <c r="CH3" t="s">
        <v>440</v>
      </c>
      <c r="CK3" t="s">
        <v>440</v>
      </c>
      <c r="CN3" t="s">
        <v>440</v>
      </c>
      <c r="CQ3" t="s">
        <v>440</v>
      </c>
      <c r="CT3" t="s">
        <v>440</v>
      </c>
      <c r="CW3" t="s">
        <v>440</v>
      </c>
      <c r="CZ3" t="s">
        <v>440</v>
      </c>
      <c r="DC3" t="s">
        <v>440</v>
      </c>
      <c r="DF3" t="s">
        <v>440</v>
      </c>
      <c r="DI3" t="s">
        <v>440</v>
      </c>
      <c r="DL3" t="s">
        <v>440</v>
      </c>
      <c r="DO3" t="s">
        <v>440</v>
      </c>
      <c r="DR3" t="s">
        <v>440</v>
      </c>
      <c r="DU3" t="s">
        <v>440</v>
      </c>
      <c r="DX3" t="s">
        <v>440</v>
      </c>
      <c r="EA3" t="s">
        <v>440</v>
      </c>
      <c r="ED3" t="s">
        <v>440</v>
      </c>
      <c r="EG3" t="s">
        <v>440</v>
      </c>
      <c r="EJ3" t="s">
        <v>440</v>
      </c>
      <c r="EM3" t="s">
        <v>440</v>
      </c>
      <c r="EP3" t="s">
        <v>440</v>
      </c>
      <c r="ES3" t="s">
        <v>440</v>
      </c>
      <c r="EV3" t="s">
        <v>440</v>
      </c>
      <c r="EY3" t="s">
        <v>440</v>
      </c>
      <c r="FB3" t="s">
        <v>440</v>
      </c>
      <c r="FE3" t="s">
        <v>440</v>
      </c>
      <c r="FH3" t="s">
        <v>440</v>
      </c>
      <c r="FK3" t="s">
        <v>440</v>
      </c>
      <c r="FN3" t="s">
        <v>440</v>
      </c>
      <c r="FQ3" t="s">
        <v>440</v>
      </c>
      <c r="FT3" t="s">
        <v>440</v>
      </c>
      <c r="FX3">
        <v>2</v>
      </c>
    </row>
    <row r="4" spans="1:180" x14ac:dyDescent="0.2">
      <c r="B4" t="s">
        <v>68</v>
      </c>
      <c r="E4" t="s">
        <v>440</v>
      </c>
      <c r="H4" t="s">
        <v>440</v>
      </c>
      <c r="K4" t="s">
        <v>440</v>
      </c>
      <c r="N4" t="s">
        <v>440</v>
      </c>
      <c r="Q4" t="s">
        <v>440</v>
      </c>
      <c r="T4" t="s">
        <v>440</v>
      </c>
      <c r="W4" t="s">
        <v>440</v>
      </c>
      <c r="Z4" t="s">
        <v>440</v>
      </c>
      <c r="AC4" t="s">
        <v>440</v>
      </c>
      <c r="AF4" t="s">
        <v>440</v>
      </c>
      <c r="AI4" t="s">
        <v>440</v>
      </c>
      <c r="AL4" t="s">
        <v>440</v>
      </c>
      <c r="AO4" t="s">
        <v>440</v>
      </c>
      <c r="AR4" t="s">
        <v>440</v>
      </c>
      <c r="AU4" t="s">
        <v>440</v>
      </c>
      <c r="AX4" t="s">
        <v>440</v>
      </c>
      <c r="BA4" t="s">
        <v>440</v>
      </c>
      <c r="BD4" t="s">
        <v>440</v>
      </c>
      <c r="BG4" t="s">
        <v>440</v>
      </c>
      <c r="BJ4" t="s">
        <v>440</v>
      </c>
      <c r="BM4" t="s">
        <v>440</v>
      </c>
      <c r="BP4" t="s">
        <v>440</v>
      </c>
      <c r="BS4" t="s">
        <v>440</v>
      </c>
      <c r="BV4" t="s">
        <v>440</v>
      </c>
      <c r="BY4" t="s">
        <v>440</v>
      </c>
      <c r="CB4" t="s">
        <v>440</v>
      </c>
      <c r="CE4" t="s">
        <v>440</v>
      </c>
      <c r="CH4" t="s">
        <v>440</v>
      </c>
      <c r="CK4" t="s">
        <v>440</v>
      </c>
      <c r="CN4" t="s">
        <v>440</v>
      </c>
      <c r="CQ4" t="s">
        <v>440</v>
      </c>
      <c r="CT4" t="s">
        <v>440</v>
      </c>
      <c r="CW4" t="s">
        <v>440</v>
      </c>
      <c r="CZ4" t="s">
        <v>440</v>
      </c>
      <c r="DC4" t="s">
        <v>440</v>
      </c>
      <c r="DF4" t="s">
        <v>440</v>
      </c>
      <c r="DI4" t="s">
        <v>440</v>
      </c>
      <c r="DL4" t="s">
        <v>440</v>
      </c>
      <c r="DO4" t="s">
        <v>440</v>
      </c>
      <c r="DR4" t="s">
        <v>440</v>
      </c>
      <c r="DU4" t="s">
        <v>440</v>
      </c>
      <c r="DX4" t="s">
        <v>440</v>
      </c>
      <c r="EA4" t="s">
        <v>440</v>
      </c>
      <c r="ED4" t="s">
        <v>440</v>
      </c>
      <c r="EG4" t="s">
        <v>440</v>
      </c>
      <c r="EJ4" t="s">
        <v>440</v>
      </c>
      <c r="EM4" t="s">
        <v>440</v>
      </c>
      <c r="EP4" t="s">
        <v>440</v>
      </c>
      <c r="ES4" t="s">
        <v>440</v>
      </c>
      <c r="EV4" t="s">
        <v>440</v>
      </c>
      <c r="EY4" t="s">
        <v>440</v>
      </c>
      <c r="FB4" t="s">
        <v>440</v>
      </c>
      <c r="FE4" t="s">
        <v>440</v>
      </c>
      <c r="FH4" t="s">
        <v>440</v>
      </c>
      <c r="FK4" t="s">
        <v>440</v>
      </c>
      <c r="FN4" t="s">
        <v>440</v>
      </c>
      <c r="FQ4" t="s">
        <v>440</v>
      </c>
      <c r="FT4" t="s">
        <v>440</v>
      </c>
      <c r="FX4">
        <v>3</v>
      </c>
    </row>
    <row r="5" spans="1:180" x14ac:dyDescent="0.2">
      <c r="B5" t="s">
        <v>69</v>
      </c>
      <c r="E5" t="s">
        <v>440</v>
      </c>
      <c r="H5" t="s">
        <v>440</v>
      </c>
      <c r="K5" t="s">
        <v>440</v>
      </c>
      <c r="N5" t="s">
        <v>440</v>
      </c>
      <c r="Q5" t="s">
        <v>440</v>
      </c>
      <c r="T5" t="s">
        <v>440</v>
      </c>
      <c r="W5" t="s">
        <v>440</v>
      </c>
      <c r="Z5" t="s">
        <v>440</v>
      </c>
      <c r="AC5" t="s">
        <v>440</v>
      </c>
      <c r="AF5" t="s">
        <v>440</v>
      </c>
      <c r="AI5" t="s">
        <v>440</v>
      </c>
      <c r="AL5" t="s">
        <v>440</v>
      </c>
      <c r="AO5" t="s">
        <v>440</v>
      </c>
      <c r="AR5" t="s">
        <v>440</v>
      </c>
      <c r="AU5" t="s">
        <v>440</v>
      </c>
      <c r="AX5" t="s">
        <v>440</v>
      </c>
      <c r="BA5" t="s">
        <v>440</v>
      </c>
      <c r="BD5" t="s">
        <v>440</v>
      </c>
      <c r="BG5" t="s">
        <v>440</v>
      </c>
      <c r="BJ5" t="s">
        <v>440</v>
      </c>
      <c r="BM5" t="s">
        <v>440</v>
      </c>
      <c r="BP5" t="s">
        <v>440</v>
      </c>
      <c r="BS5" t="s">
        <v>440</v>
      </c>
      <c r="BV5" t="s">
        <v>440</v>
      </c>
      <c r="BY5" t="s">
        <v>440</v>
      </c>
      <c r="CB5" t="s">
        <v>440</v>
      </c>
      <c r="CE5" t="s">
        <v>440</v>
      </c>
      <c r="CH5" t="s">
        <v>440</v>
      </c>
      <c r="CK5" t="s">
        <v>440</v>
      </c>
      <c r="CN5" t="s">
        <v>440</v>
      </c>
      <c r="CQ5" t="s">
        <v>440</v>
      </c>
      <c r="CT5" t="s">
        <v>440</v>
      </c>
      <c r="CW5" t="s">
        <v>440</v>
      </c>
      <c r="CZ5" t="s">
        <v>440</v>
      </c>
      <c r="DC5" t="s">
        <v>440</v>
      </c>
      <c r="DF5" t="s">
        <v>440</v>
      </c>
      <c r="DI5" t="s">
        <v>440</v>
      </c>
      <c r="DL5" t="s">
        <v>440</v>
      </c>
      <c r="DO5" t="s">
        <v>440</v>
      </c>
      <c r="DR5" t="s">
        <v>440</v>
      </c>
      <c r="DU5" t="s">
        <v>440</v>
      </c>
      <c r="DX5" t="s">
        <v>440</v>
      </c>
      <c r="EA5" t="s">
        <v>440</v>
      </c>
      <c r="ED5" t="s">
        <v>440</v>
      </c>
      <c r="EG5" t="s">
        <v>440</v>
      </c>
      <c r="EJ5" t="s">
        <v>440</v>
      </c>
      <c r="EM5" t="s">
        <v>440</v>
      </c>
      <c r="EP5" t="s">
        <v>440</v>
      </c>
      <c r="ES5" t="s">
        <v>440</v>
      </c>
      <c r="EV5" t="s">
        <v>440</v>
      </c>
      <c r="EY5" t="s">
        <v>440</v>
      </c>
      <c r="FB5" t="s">
        <v>440</v>
      </c>
      <c r="FE5" t="s">
        <v>440</v>
      </c>
      <c r="FH5" t="s">
        <v>440</v>
      </c>
      <c r="FK5" t="s">
        <v>440</v>
      </c>
      <c r="FN5" t="s">
        <v>440</v>
      </c>
      <c r="FQ5" t="s">
        <v>440</v>
      </c>
      <c r="FT5" t="s">
        <v>440</v>
      </c>
      <c r="FX5">
        <v>4</v>
      </c>
    </row>
    <row r="6" spans="1:180" x14ac:dyDescent="0.2">
      <c r="B6" t="s">
        <v>70</v>
      </c>
      <c r="E6" t="s">
        <v>440</v>
      </c>
      <c r="H6" t="s">
        <v>440</v>
      </c>
      <c r="K6" t="s">
        <v>440</v>
      </c>
      <c r="N6" t="s">
        <v>440</v>
      </c>
      <c r="Q6" t="s">
        <v>440</v>
      </c>
      <c r="T6" t="s">
        <v>440</v>
      </c>
      <c r="W6" t="s">
        <v>440</v>
      </c>
      <c r="Z6" t="s">
        <v>440</v>
      </c>
      <c r="AC6" t="s">
        <v>440</v>
      </c>
      <c r="AF6" t="s">
        <v>440</v>
      </c>
      <c r="AI6" t="s">
        <v>440</v>
      </c>
      <c r="AL6" t="s">
        <v>440</v>
      </c>
      <c r="AO6" t="s">
        <v>440</v>
      </c>
      <c r="AR6" t="s">
        <v>440</v>
      </c>
      <c r="AU6" t="s">
        <v>440</v>
      </c>
      <c r="AX6" t="s">
        <v>440</v>
      </c>
      <c r="BA6" t="s">
        <v>440</v>
      </c>
      <c r="BD6" t="s">
        <v>440</v>
      </c>
      <c r="BG6" t="s">
        <v>440</v>
      </c>
      <c r="BJ6" t="s">
        <v>440</v>
      </c>
      <c r="BM6" t="s">
        <v>440</v>
      </c>
      <c r="BP6" t="s">
        <v>440</v>
      </c>
      <c r="BS6" t="s">
        <v>440</v>
      </c>
      <c r="BV6" t="s">
        <v>440</v>
      </c>
      <c r="BY6" t="s">
        <v>440</v>
      </c>
      <c r="CB6" t="s">
        <v>440</v>
      </c>
      <c r="CE6" t="s">
        <v>440</v>
      </c>
      <c r="CH6" t="s">
        <v>440</v>
      </c>
      <c r="CK6" t="s">
        <v>440</v>
      </c>
      <c r="CN6" t="s">
        <v>440</v>
      </c>
      <c r="CQ6" t="s">
        <v>440</v>
      </c>
      <c r="CT6" t="s">
        <v>440</v>
      </c>
      <c r="CW6" t="s">
        <v>440</v>
      </c>
      <c r="CZ6" t="s">
        <v>440</v>
      </c>
      <c r="DC6" t="s">
        <v>440</v>
      </c>
      <c r="DF6" t="s">
        <v>440</v>
      </c>
      <c r="DI6" t="s">
        <v>440</v>
      </c>
      <c r="DL6" t="s">
        <v>440</v>
      </c>
      <c r="DO6" t="s">
        <v>440</v>
      </c>
      <c r="DR6" t="s">
        <v>440</v>
      </c>
      <c r="DU6" t="s">
        <v>440</v>
      </c>
      <c r="DX6" t="s">
        <v>440</v>
      </c>
      <c r="EA6" t="s">
        <v>440</v>
      </c>
      <c r="ED6" t="s">
        <v>440</v>
      </c>
      <c r="EG6" t="s">
        <v>440</v>
      </c>
      <c r="EJ6" t="s">
        <v>440</v>
      </c>
      <c r="EM6" t="s">
        <v>440</v>
      </c>
      <c r="EP6" t="s">
        <v>440</v>
      </c>
      <c r="ES6" t="s">
        <v>440</v>
      </c>
      <c r="EV6" t="s">
        <v>440</v>
      </c>
      <c r="EY6" t="s">
        <v>440</v>
      </c>
      <c r="FB6" t="s">
        <v>440</v>
      </c>
      <c r="FE6" t="s">
        <v>440</v>
      </c>
      <c r="FH6" t="s">
        <v>440</v>
      </c>
      <c r="FK6" t="s">
        <v>440</v>
      </c>
      <c r="FN6" t="s">
        <v>440</v>
      </c>
      <c r="FQ6" t="s">
        <v>440</v>
      </c>
      <c r="FT6" t="s">
        <v>440</v>
      </c>
      <c r="FX6">
        <v>5</v>
      </c>
    </row>
    <row r="7" spans="1:180" x14ac:dyDescent="0.2">
      <c r="B7" t="s">
        <v>71</v>
      </c>
      <c r="E7" t="s">
        <v>440</v>
      </c>
      <c r="H7" t="s">
        <v>440</v>
      </c>
      <c r="K7" t="s">
        <v>440</v>
      </c>
      <c r="N7" t="s">
        <v>440</v>
      </c>
      <c r="Q7" t="s">
        <v>440</v>
      </c>
      <c r="T7" t="s">
        <v>440</v>
      </c>
      <c r="W7" t="s">
        <v>440</v>
      </c>
      <c r="Z7" t="s">
        <v>440</v>
      </c>
      <c r="AC7" t="s">
        <v>440</v>
      </c>
      <c r="AF7" t="s">
        <v>440</v>
      </c>
      <c r="AI7" t="s">
        <v>440</v>
      </c>
      <c r="AL7" t="s">
        <v>440</v>
      </c>
      <c r="AO7" t="s">
        <v>440</v>
      </c>
      <c r="AR7" t="s">
        <v>440</v>
      </c>
      <c r="AU7" t="s">
        <v>440</v>
      </c>
      <c r="AX7" t="s">
        <v>440</v>
      </c>
      <c r="BA7" t="s">
        <v>440</v>
      </c>
      <c r="BD7" t="s">
        <v>440</v>
      </c>
      <c r="BG7" t="s">
        <v>440</v>
      </c>
      <c r="BJ7" t="s">
        <v>440</v>
      </c>
      <c r="BM7" t="s">
        <v>440</v>
      </c>
      <c r="BP7" t="s">
        <v>440</v>
      </c>
      <c r="BS7" t="s">
        <v>440</v>
      </c>
      <c r="BV7" t="s">
        <v>440</v>
      </c>
      <c r="BY7" t="s">
        <v>440</v>
      </c>
      <c r="CB7" t="s">
        <v>440</v>
      </c>
      <c r="CE7" t="s">
        <v>440</v>
      </c>
      <c r="CH7" t="s">
        <v>440</v>
      </c>
      <c r="CK7" t="s">
        <v>440</v>
      </c>
      <c r="CN7" t="s">
        <v>440</v>
      </c>
      <c r="CQ7" t="s">
        <v>440</v>
      </c>
      <c r="CT7" t="s">
        <v>440</v>
      </c>
      <c r="CW7" t="s">
        <v>440</v>
      </c>
      <c r="CZ7" t="s">
        <v>440</v>
      </c>
      <c r="DC7" t="s">
        <v>440</v>
      </c>
      <c r="DF7" t="s">
        <v>440</v>
      </c>
      <c r="DI7" t="s">
        <v>440</v>
      </c>
      <c r="DL7" t="s">
        <v>440</v>
      </c>
      <c r="DO7" t="s">
        <v>440</v>
      </c>
      <c r="DR7" t="s">
        <v>440</v>
      </c>
      <c r="DU7" t="s">
        <v>440</v>
      </c>
      <c r="DX7" t="s">
        <v>440</v>
      </c>
      <c r="EA7" t="s">
        <v>440</v>
      </c>
      <c r="ED7" t="s">
        <v>440</v>
      </c>
      <c r="EG7" t="s">
        <v>440</v>
      </c>
      <c r="EJ7" t="s">
        <v>440</v>
      </c>
      <c r="EM7" t="s">
        <v>440</v>
      </c>
      <c r="EP7" t="s">
        <v>440</v>
      </c>
      <c r="ES7" t="s">
        <v>440</v>
      </c>
      <c r="EV7" t="s">
        <v>440</v>
      </c>
      <c r="EY7" t="s">
        <v>440</v>
      </c>
      <c r="FB7" t="s">
        <v>440</v>
      </c>
      <c r="FE7" t="s">
        <v>440</v>
      </c>
      <c r="FH7" t="s">
        <v>440</v>
      </c>
      <c r="FK7" t="s">
        <v>440</v>
      </c>
      <c r="FN7" t="s">
        <v>440</v>
      </c>
      <c r="FQ7" t="s">
        <v>440</v>
      </c>
      <c r="FT7" t="s">
        <v>440</v>
      </c>
      <c r="FX7">
        <v>6</v>
      </c>
    </row>
    <row r="8" spans="1:180" x14ac:dyDescent="0.2">
      <c r="B8" t="s">
        <v>72</v>
      </c>
      <c r="E8" t="s">
        <v>440</v>
      </c>
      <c r="H8" t="s">
        <v>440</v>
      </c>
      <c r="K8" t="s">
        <v>440</v>
      </c>
      <c r="N8" t="s">
        <v>440</v>
      </c>
      <c r="Q8" t="s">
        <v>440</v>
      </c>
      <c r="T8" t="s">
        <v>440</v>
      </c>
      <c r="W8" t="s">
        <v>440</v>
      </c>
      <c r="Z8" t="s">
        <v>440</v>
      </c>
      <c r="AC8" t="s">
        <v>440</v>
      </c>
      <c r="AF8" t="s">
        <v>440</v>
      </c>
      <c r="AI8" t="s">
        <v>440</v>
      </c>
      <c r="AL8" t="s">
        <v>440</v>
      </c>
      <c r="AO8" t="s">
        <v>440</v>
      </c>
      <c r="AR8" t="s">
        <v>440</v>
      </c>
      <c r="AU8" t="s">
        <v>440</v>
      </c>
      <c r="AX8" t="s">
        <v>440</v>
      </c>
      <c r="BA8" t="s">
        <v>440</v>
      </c>
      <c r="BD8" t="s">
        <v>440</v>
      </c>
      <c r="BG8" t="s">
        <v>440</v>
      </c>
      <c r="BJ8" t="s">
        <v>440</v>
      </c>
      <c r="BM8" t="s">
        <v>440</v>
      </c>
      <c r="BP8" t="s">
        <v>440</v>
      </c>
      <c r="BS8" t="s">
        <v>440</v>
      </c>
      <c r="BV8" t="s">
        <v>440</v>
      </c>
      <c r="BY8" t="s">
        <v>440</v>
      </c>
      <c r="CB8" t="s">
        <v>440</v>
      </c>
      <c r="CE8" t="s">
        <v>440</v>
      </c>
      <c r="CH8" t="s">
        <v>440</v>
      </c>
      <c r="CK8" t="s">
        <v>440</v>
      </c>
      <c r="CN8" t="s">
        <v>440</v>
      </c>
      <c r="CQ8" t="s">
        <v>440</v>
      </c>
      <c r="CT8" t="s">
        <v>440</v>
      </c>
      <c r="CW8" t="s">
        <v>440</v>
      </c>
      <c r="CZ8" t="s">
        <v>440</v>
      </c>
      <c r="DC8" t="s">
        <v>440</v>
      </c>
      <c r="DF8" t="s">
        <v>440</v>
      </c>
      <c r="DI8" t="s">
        <v>440</v>
      </c>
      <c r="DL8" t="s">
        <v>440</v>
      </c>
      <c r="DO8" t="s">
        <v>440</v>
      </c>
      <c r="DR8" t="s">
        <v>440</v>
      </c>
      <c r="DU8" t="s">
        <v>440</v>
      </c>
      <c r="DX8" t="s">
        <v>440</v>
      </c>
      <c r="EA8" t="s">
        <v>440</v>
      </c>
      <c r="ED8" t="s">
        <v>440</v>
      </c>
      <c r="EG8" t="s">
        <v>440</v>
      </c>
      <c r="EJ8" t="s">
        <v>440</v>
      </c>
      <c r="EM8" t="s">
        <v>440</v>
      </c>
      <c r="EP8" t="s">
        <v>440</v>
      </c>
      <c r="ES8" t="s">
        <v>440</v>
      </c>
      <c r="EV8" t="s">
        <v>440</v>
      </c>
      <c r="EY8" t="s">
        <v>440</v>
      </c>
      <c r="FB8" t="s">
        <v>440</v>
      </c>
      <c r="FE8" t="s">
        <v>440</v>
      </c>
      <c r="FH8" t="s">
        <v>440</v>
      </c>
      <c r="FK8" t="s">
        <v>440</v>
      </c>
      <c r="FN8" t="s">
        <v>440</v>
      </c>
      <c r="FQ8" t="s">
        <v>440</v>
      </c>
      <c r="FT8" t="s">
        <v>440</v>
      </c>
      <c r="FX8">
        <v>7</v>
      </c>
    </row>
    <row r="9" spans="1:180" x14ac:dyDescent="0.2">
      <c r="B9" t="s">
        <v>73</v>
      </c>
      <c r="E9" t="s">
        <v>440</v>
      </c>
      <c r="H9" t="s">
        <v>440</v>
      </c>
      <c r="K9" t="s">
        <v>440</v>
      </c>
      <c r="N9" t="s">
        <v>440</v>
      </c>
      <c r="Q9" t="s">
        <v>440</v>
      </c>
      <c r="T9" t="s">
        <v>440</v>
      </c>
      <c r="W9" t="s">
        <v>440</v>
      </c>
      <c r="Z9" t="s">
        <v>440</v>
      </c>
      <c r="AC9" t="s">
        <v>440</v>
      </c>
      <c r="AF9" t="s">
        <v>440</v>
      </c>
      <c r="AI9" t="s">
        <v>440</v>
      </c>
      <c r="AL9" t="s">
        <v>440</v>
      </c>
      <c r="AO9" t="s">
        <v>440</v>
      </c>
      <c r="AR9" t="s">
        <v>440</v>
      </c>
      <c r="AU9" t="s">
        <v>440</v>
      </c>
      <c r="AX9" t="s">
        <v>440</v>
      </c>
      <c r="BA9" t="s">
        <v>440</v>
      </c>
      <c r="BD9" t="s">
        <v>440</v>
      </c>
      <c r="BG9" t="s">
        <v>440</v>
      </c>
      <c r="BJ9" t="s">
        <v>440</v>
      </c>
      <c r="BM9" t="s">
        <v>440</v>
      </c>
      <c r="BP9" t="s">
        <v>440</v>
      </c>
      <c r="BS9" t="s">
        <v>440</v>
      </c>
      <c r="BV9" t="s">
        <v>440</v>
      </c>
      <c r="BY9" t="s">
        <v>440</v>
      </c>
      <c r="CB9" t="s">
        <v>440</v>
      </c>
      <c r="CE9" t="s">
        <v>440</v>
      </c>
      <c r="CH9" t="s">
        <v>440</v>
      </c>
      <c r="CK9" t="s">
        <v>440</v>
      </c>
      <c r="CN9" t="s">
        <v>440</v>
      </c>
      <c r="CQ9" t="s">
        <v>440</v>
      </c>
      <c r="CT9" t="s">
        <v>440</v>
      </c>
      <c r="CW9" t="s">
        <v>440</v>
      </c>
      <c r="CZ9" t="s">
        <v>440</v>
      </c>
      <c r="DC9" t="s">
        <v>440</v>
      </c>
      <c r="DF9" t="s">
        <v>440</v>
      </c>
      <c r="DI9" t="s">
        <v>440</v>
      </c>
      <c r="DL9" t="s">
        <v>440</v>
      </c>
      <c r="DO9" t="s">
        <v>440</v>
      </c>
      <c r="DR9" t="s">
        <v>440</v>
      </c>
      <c r="DU9" t="s">
        <v>440</v>
      </c>
      <c r="DX9" t="s">
        <v>440</v>
      </c>
      <c r="EA9" t="s">
        <v>440</v>
      </c>
      <c r="ED9" t="s">
        <v>440</v>
      </c>
      <c r="EG9" t="s">
        <v>440</v>
      </c>
      <c r="EJ9" t="s">
        <v>440</v>
      </c>
      <c r="EM9" t="s">
        <v>440</v>
      </c>
      <c r="EP9" t="s">
        <v>440</v>
      </c>
      <c r="ES9" t="s">
        <v>440</v>
      </c>
      <c r="EV9" t="s">
        <v>440</v>
      </c>
      <c r="EY9" t="s">
        <v>440</v>
      </c>
      <c r="FB9" t="s">
        <v>440</v>
      </c>
      <c r="FE9" t="s">
        <v>440</v>
      </c>
      <c r="FH9" t="s">
        <v>440</v>
      </c>
      <c r="FK9" t="s">
        <v>440</v>
      </c>
      <c r="FN9" t="s">
        <v>440</v>
      </c>
      <c r="FQ9" t="s">
        <v>440</v>
      </c>
      <c r="FT9" t="s">
        <v>440</v>
      </c>
      <c r="FX9">
        <v>8</v>
      </c>
    </row>
    <row r="10" spans="1:180" x14ac:dyDescent="0.2">
      <c r="B10" t="s">
        <v>74</v>
      </c>
      <c r="C10">
        <v>9.0999999999999998E-2</v>
      </c>
      <c r="D10">
        <v>4.9100000000000003E-3</v>
      </c>
      <c r="E10" t="s">
        <v>442</v>
      </c>
      <c r="F10">
        <v>3.0300000000000001E-2</v>
      </c>
      <c r="G10">
        <v>5.1700000000000001E-3</v>
      </c>
      <c r="H10" t="s">
        <v>442</v>
      </c>
      <c r="I10">
        <v>3.6830000000000002E-2</v>
      </c>
      <c r="J10">
        <v>1.9599999999999999E-3</v>
      </c>
      <c r="K10" t="s">
        <v>442</v>
      </c>
      <c r="L10">
        <v>-2.49E-3</v>
      </c>
      <c r="M10">
        <v>1.1100000000000001E-3</v>
      </c>
      <c r="N10" t="s">
        <v>439</v>
      </c>
      <c r="O10">
        <v>3.9100000000000003E-3</v>
      </c>
      <c r="P10">
        <v>1.8000000000000001E-4</v>
      </c>
      <c r="Q10" t="s">
        <v>442</v>
      </c>
      <c r="R10">
        <v>4.061E-2</v>
      </c>
      <c r="S10">
        <v>2.4499999999999999E-3</v>
      </c>
      <c r="T10" t="s">
        <v>442</v>
      </c>
      <c r="U10">
        <v>4.1700000000000001E-3</v>
      </c>
      <c r="V10">
        <v>5.2999999999999998E-4</v>
      </c>
      <c r="W10" t="s">
        <v>442</v>
      </c>
      <c r="X10">
        <v>2.0039999999999999E-2</v>
      </c>
      <c r="Y10">
        <v>7.6000000000000004E-4</v>
      </c>
      <c r="Z10" t="s">
        <v>442</v>
      </c>
      <c r="AA10">
        <v>7.6400000000000001E-3</v>
      </c>
      <c r="AB10">
        <v>7.6999999999999996E-4</v>
      </c>
      <c r="AC10" t="s">
        <v>439</v>
      </c>
      <c r="AD10">
        <v>1.6000000000000001E-3</v>
      </c>
      <c r="AE10">
        <v>5.1999999999999995E-4</v>
      </c>
      <c r="AF10" t="s">
        <v>442</v>
      </c>
      <c r="AI10" t="s">
        <v>440</v>
      </c>
      <c r="AJ10">
        <v>4.4600000000000001E-2</v>
      </c>
      <c r="AK10">
        <v>5.5999999999999995E-4</v>
      </c>
      <c r="AL10" t="s">
        <v>441</v>
      </c>
      <c r="AM10">
        <v>4.2459999999999998E-2</v>
      </c>
      <c r="AN10">
        <v>3.6999999999999999E-4</v>
      </c>
      <c r="AO10" t="s">
        <v>439</v>
      </c>
      <c r="AP10">
        <v>2.33E-3</v>
      </c>
      <c r="AQ10">
        <v>7.6999999999999996E-4</v>
      </c>
      <c r="AR10" t="s">
        <v>439</v>
      </c>
      <c r="AS10">
        <v>4.5039999999999997E-2</v>
      </c>
      <c r="AT10">
        <v>3.5100000000000001E-3</v>
      </c>
      <c r="AU10" t="s">
        <v>439</v>
      </c>
      <c r="AV10">
        <v>-1.34E-3</v>
      </c>
      <c r="AW10">
        <v>2.4000000000000001E-4</v>
      </c>
      <c r="AX10" t="s">
        <v>439</v>
      </c>
      <c r="AY10">
        <v>-5.0000000000000001E-3</v>
      </c>
      <c r="AZ10">
        <v>2.5999999999999998E-4</v>
      </c>
      <c r="BA10" t="s">
        <v>439</v>
      </c>
      <c r="BB10">
        <v>3.0100000000000001E-3</v>
      </c>
      <c r="BC10">
        <v>2.4000000000000001E-4</v>
      </c>
      <c r="BD10" t="s">
        <v>442</v>
      </c>
      <c r="BE10">
        <v>6.3000000000000003E-4</v>
      </c>
      <c r="BF10">
        <v>2.3000000000000001E-4</v>
      </c>
      <c r="BG10" t="s">
        <v>439</v>
      </c>
      <c r="BH10">
        <v>2.47E-3</v>
      </c>
      <c r="BI10">
        <v>4.6999999999999999E-4</v>
      </c>
      <c r="BJ10" t="s">
        <v>442</v>
      </c>
      <c r="BK10">
        <v>2.2899999999999999E-3</v>
      </c>
      <c r="BL10">
        <v>2.0000000000000001E-4</v>
      </c>
      <c r="BM10" t="s">
        <v>442</v>
      </c>
      <c r="BN10">
        <v>7.1000000000000002E-4</v>
      </c>
      <c r="BO10">
        <v>2.9E-4</v>
      </c>
      <c r="BP10" t="s">
        <v>439</v>
      </c>
      <c r="BQ10">
        <v>2.436E-2</v>
      </c>
      <c r="BR10">
        <v>3.3600000000000001E-3</v>
      </c>
      <c r="BS10" t="s">
        <v>442</v>
      </c>
      <c r="BV10" t="s">
        <v>440</v>
      </c>
      <c r="BW10">
        <v>0.33617999999999998</v>
      </c>
      <c r="BX10">
        <v>4.6240000000000003E-2</v>
      </c>
      <c r="BY10" t="s">
        <v>439</v>
      </c>
      <c r="BZ10">
        <v>6.2599999999999999E-3</v>
      </c>
      <c r="CA10">
        <v>6.8000000000000005E-4</v>
      </c>
      <c r="CB10" t="s">
        <v>442</v>
      </c>
      <c r="CC10">
        <v>-3.4529999999999998E-2</v>
      </c>
      <c r="CD10">
        <v>4.6999999999999999E-4</v>
      </c>
      <c r="CE10" t="s">
        <v>439</v>
      </c>
      <c r="CF10">
        <v>-1.4659999999999999E-2</v>
      </c>
      <c r="CG10">
        <v>2.3000000000000001E-4</v>
      </c>
      <c r="CH10" t="s">
        <v>439</v>
      </c>
      <c r="CI10">
        <v>-9.5E-4</v>
      </c>
      <c r="CJ10">
        <v>3.1E-4</v>
      </c>
      <c r="CK10" t="s">
        <v>439</v>
      </c>
      <c r="CL10">
        <v>-5.8700000000000002E-3</v>
      </c>
      <c r="CM10">
        <v>2.1000000000000001E-4</v>
      </c>
      <c r="CN10" t="s">
        <v>439</v>
      </c>
      <c r="CO10">
        <v>1.25603</v>
      </c>
      <c r="CP10">
        <v>3.2099999999999997E-2</v>
      </c>
      <c r="CQ10" t="s">
        <v>442</v>
      </c>
      <c r="CR10">
        <v>0.22286</v>
      </c>
      <c r="CS10">
        <v>8.2799999999999992E-3</v>
      </c>
      <c r="CT10" t="s">
        <v>442</v>
      </c>
      <c r="CU10">
        <v>0.11128</v>
      </c>
      <c r="CV10">
        <v>9.6399999999999993E-3</v>
      </c>
      <c r="CW10" t="s">
        <v>442</v>
      </c>
      <c r="CX10">
        <v>1.97468</v>
      </c>
      <c r="CY10">
        <v>0.26623000000000002</v>
      </c>
      <c r="CZ10" t="s">
        <v>442</v>
      </c>
      <c r="DA10">
        <v>-8.5540000000000005E-2</v>
      </c>
      <c r="DB10">
        <v>4.8660000000000002E-2</v>
      </c>
      <c r="DC10" t="s">
        <v>439</v>
      </c>
      <c r="DD10">
        <v>1.0750599999999999</v>
      </c>
      <c r="DE10">
        <v>6.9290000000000004E-2</v>
      </c>
      <c r="DF10" t="s">
        <v>442</v>
      </c>
      <c r="DG10">
        <v>1.25949</v>
      </c>
      <c r="DH10">
        <v>0.29853000000000002</v>
      </c>
      <c r="DI10" t="s">
        <v>439</v>
      </c>
      <c r="DJ10">
        <v>-9.1000000000000004E-3</v>
      </c>
      <c r="DK10">
        <v>2.82E-3</v>
      </c>
      <c r="DL10" t="s">
        <v>439</v>
      </c>
      <c r="DM10">
        <v>2.3E-3</v>
      </c>
      <c r="DN10">
        <v>1.9000000000000001E-4</v>
      </c>
      <c r="DO10" t="s">
        <v>439</v>
      </c>
      <c r="DP10">
        <v>-1.23E-2</v>
      </c>
      <c r="DQ10">
        <v>2.1000000000000001E-4</v>
      </c>
      <c r="DR10" t="s">
        <v>439</v>
      </c>
      <c r="DS10">
        <v>-2.5590000000000002E-2</v>
      </c>
      <c r="DT10">
        <v>1.2999999999999999E-4</v>
      </c>
      <c r="DU10" t="s">
        <v>439</v>
      </c>
      <c r="DV10">
        <v>-0.30403000000000002</v>
      </c>
      <c r="DW10">
        <v>1.24E-3</v>
      </c>
      <c r="DX10" t="s">
        <v>439</v>
      </c>
      <c r="DY10">
        <v>-5.5199999999999997E-3</v>
      </c>
      <c r="DZ10">
        <v>3.2000000000000003E-4</v>
      </c>
      <c r="EA10" t="s">
        <v>439</v>
      </c>
      <c r="EB10">
        <v>2.017E-2</v>
      </c>
      <c r="EC10">
        <v>2.48E-3</v>
      </c>
      <c r="ED10" t="s">
        <v>439</v>
      </c>
      <c r="EE10">
        <v>-2.3009999999999999E-2</v>
      </c>
      <c r="EF10">
        <v>6.7000000000000002E-4</v>
      </c>
      <c r="EG10" t="s">
        <v>439</v>
      </c>
      <c r="EH10">
        <v>-7.553E-2</v>
      </c>
      <c r="EI10">
        <v>2.5699999999999998E-3</v>
      </c>
      <c r="EJ10" t="s">
        <v>439</v>
      </c>
      <c r="EM10" t="s">
        <v>440</v>
      </c>
      <c r="EN10">
        <v>-1.9089999999999999E-2</v>
      </c>
      <c r="EO10">
        <v>5.9899999999999997E-3</v>
      </c>
      <c r="EP10" t="s">
        <v>439</v>
      </c>
      <c r="ES10" t="s">
        <v>440</v>
      </c>
      <c r="ET10">
        <v>0.47449999999999998</v>
      </c>
      <c r="EU10">
        <v>3.7080000000000002E-2</v>
      </c>
      <c r="EV10" t="s">
        <v>439</v>
      </c>
      <c r="EW10">
        <v>-5.8E-4</v>
      </c>
      <c r="EX10">
        <v>4.2000000000000002E-4</v>
      </c>
      <c r="EY10" t="s">
        <v>439</v>
      </c>
      <c r="EZ10">
        <v>-1.6820000000000002E-2</v>
      </c>
      <c r="FA10">
        <v>5.8E-4</v>
      </c>
      <c r="FB10" t="s">
        <v>439</v>
      </c>
      <c r="FC10">
        <v>-6.191E-2</v>
      </c>
      <c r="FD10">
        <v>0</v>
      </c>
      <c r="FE10" t="s">
        <v>439</v>
      </c>
      <c r="FF10">
        <v>2.7117</v>
      </c>
      <c r="FG10">
        <v>0.34304000000000001</v>
      </c>
      <c r="FH10" t="s">
        <v>441</v>
      </c>
      <c r="FK10" t="s">
        <v>440</v>
      </c>
      <c r="FN10" t="s">
        <v>440</v>
      </c>
      <c r="FO10">
        <v>-5.47E-3</v>
      </c>
      <c r="FP10">
        <v>3.4000000000000002E-4</v>
      </c>
      <c r="FQ10" t="s">
        <v>441</v>
      </c>
      <c r="FT10" t="s">
        <v>440</v>
      </c>
      <c r="FX10">
        <v>9</v>
      </c>
    </row>
    <row r="11" spans="1:180" x14ac:dyDescent="0.2">
      <c r="B11" t="s">
        <v>77</v>
      </c>
      <c r="C11">
        <v>1.2061200000000001</v>
      </c>
      <c r="D11">
        <v>1.2899999999999999E-3</v>
      </c>
      <c r="E11" t="s">
        <v>443</v>
      </c>
      <c r="F11">
        <v>1.21617</v>
      </c>
      <c r="G11">
        <v>1.256E-2</v>
      </c>
      <c r="H11" t="s">
        <v>443</v>
      </c>
      <c r="I11">
        <v>1.2189099999999999</v>
      </c>
      <c r="J11">
        <v>5.0200000000000002E-3</v>
      </c>
      <c r="K11" t="s">
        <v>443</v>
      </c>
      <c r="L11">
        <v>1.2299</v>
      </c>
      <c r="M11">
        <v>3.0999999999999999E-3</v>
      </c>
      <c r="N11" t="s">
        <v>443</v>
      </c>
      <c r="O11">
        <v>1.21665</v>
      </c>
      <c r="P11">
        <v>5.4400000000000004E-3</v>
      </c>
      <c r="Q11" t="s">
        <v>443</v>
      </c>
      <c r="R11">
        <v>1.19129</v>
      </c>
      <c r="S11">
        <v>1.7010000000000001E-2</v>
      </c>
      <c r="T11" t="s">
        <v>443</v>
      </c>
      <c r="U11">
        <v>1.2195</v>
      </c>
      <c r="V11">
        <v>8.5100000000000002E-3</v>
      </c>
      <c r="W11" t="s">
        <v>443</v>
      </c>
      <c r="X11">
        <v>1.1735100000000001</v>
      </c>
      <c r="Y11">
        <v>1.1599999999999999E-2</v>
      </c>
      <c r="Z11" t="s">
        <v>443</v>
      </c>
      <c r="AA11">
        <v>1.1965699999999999</v>
      </c>
      <c r="AB11">
        <v>7.7499999999999999E-3</v>
      </c>
      <c r="AC11" t="s">
        <v>443</v>
      </c>
      <c r="AD11">
        <v>1.2023999999999999</v>
      </c>
      <c r="AE11">
        <v>6.45E-3</v>
      </c>
      <c r="AF11" t="s">
        <v>443</v>
      </c>
      <c r="AI11" t="s">
        <v>440</v>
      </c>
      <c r="AJ11">
        <v>1.1694899999999999</v>
      </c>
      <c r="AK11">
        <v>3.116E-2</v>
      </c>
      <c r="AL11" t="s">
        <v>444</v>
      </c>
      <c r="AM11">
        <v>1.18967</v>
      </c>
      <c r="AN11">
        <v>1.932E-2</v>
      </c>
      <c r="AO11" t="s">
        <v>443</v>
      </c>
      <c r="AP11">
        <v>1.25678</v>
      </c>
      <c r="AQ11">
        <v>2.223E-2</v>
      </c>
      <c r="AR11" t="s">
        <v>443</v>
      </c>
      <c r="AS11">
        <v>4.1804600000000001</v>
      </c>
      <c r="AT11">
        <v>6.9470000000000004E-2</v>
      </c>
      <c r="AU11" t="s">
        <v>443</v>
      </c>
      <c r="AV11">
        <v>1.2237100000000001</v>
      </c>
      <c r="AW11">
        <v>1.5630000000000002E-2</v>
      </c>
      <c r="AX11" t="s">
        <v>443</v>
      </c>
      <c r="AY11">
        <v>1.2250099999999999</v>
      </c>
      <c r="AZ11">
        <v>1.652E-2</v>
      </c>
      <c r="BA11" t="s">
        <v>443</v>
      </c>
      <c r="BB11">
        <v>1.2242999999999999</v>
      </c>
      <c r="BC11">
        <v>4.2900000000000004E-3</v>
      </c>
      <c r="BD11" t="s">
        <v>443</v>
      </c>
      <c r="BE11">
        <v>1.2398100000000001</v>
      </c>
      <c r="BF11">
        <v>9.7300000000000008E-3</v>
      </c>
      <c r="BG11" t="s">
        <v>443</v>
      </c>
      <c r="BH11">
        <v>1.2354499999999999</v>
      </c>
      <c r="BI11">
        <v>1.4489999999999999E-2</v>
      </c>
      <c r="BJ11" t="s">
        <v>443</v>
      </c>
      <c r="BK11">
        <v>1.2667999999999999</v>
      </c>
      <c r="BL11">
        <v>1.206E-2</v>
      </c>
      <c r="BM11" t="s">
        <v>443</v>
      </c>
      <c r="BN11">
        <v>1.25796</v>
      </c>
      <c r="BO11">
        <v>2.2579999999999999E-2</v>
      </c>
      <c r="BP11" t="s">
        <v>443</v>
      </c>
      <c r="BQ11">
        <v>1.28966</v>
      </c>
      <c r="BR11">
        <v>9.11E-3</v>
      </c>
      <c r="BS11" t="s">
        <v>443</v>
      </c>
      <c r="BV11" t="s">
        <v>440</v>
      </c>
      <c r="BW11">
        <v>1.3310299999999999</v>
      </c>
      <c r="BX11">
        <v>5.5700000000000003E-3</v>
      </c>
      <c r="BY11" t="s">
        <v>443</v>
      </c>
      <c r="BZ11">
        <v>1.22895</v>
      </c>
      <c r="CA11">
        <v>1.9310000000000001E-2</v>
      </c>
      <c r="CB11" t="s">
        <v>443</v>
      </c>
      <c r="CC11">
        <v>1.2000200000000001</v>
      </c>
      <c r="CD11">
        <v>1.269E-2</v>
      </c>
      <c r="CE11" t="s">
        <v>443</v>
      </c>
      <c r="CF11">
        <v>1.1836500000000001</v>
      </c>
      <c r="CG11">
        <v>9.8899999999999995E-3</v>
      </c>
      <c r="CH11" t="s">
        <v>443</v>
      </c>
      <c r="CI11">
        <v>1.24451</v>
      </c>
      <c r="CJ11">
        <v>7.4000000000000003E-3</v>
      </c>
      <c r="CK11" t="s">
        <v>443</v>
      </c>
      <c r="CL11">
        <v>1.30016</v>
      </c>
      <c r="CM11">
        <v>6.94E-3</v>
      </c>
      <c r="CN11" t="s">
        <v>443</v>
      </c>
      <c r="CO11">
        <v>8.4497900000000001</v>
      </c>
      <c r="CP11">
        <v>6.9849999999999995E-2</v>
      </c>
      <c r="CQ11" t="s">
        <v>443</v>
      </c>
      <c r="CR11">
        <v>8.5688600000000008</v>
      </c>
      <c r="CS11">
        <v>8.0890000000000004E-2</v>
      </c>
      <c r="CT11" t="s">
        <v>443</v>
      </c>
      <c r="CU11">
        <v>4.2934799999999997</v>
      </c>
      <c r="CV11">
        <v>0.10483000000000001</v>
      </c>
      <c r="CW11" t="s">
        <v>443</v>
      </c>
      <c r="CX11">
        <v>9.0062099999999994</v>
      </c>
      <c r="CY11">
        <v>0.40934999999999999</v>
      </c>
      <c r="CZ11" t="s">
        <v>443</v>
      </c>
      <c r="DA11">
        <v>1.2336100000000001</v>
      </c>
      <c r="DB11">
        <v>5.6279999999999997E-2</v>
      </c>
      <c r="DC11" t="s">
        <v>443</v>
      </c>
      <c r="DD11">
        <v>23.27167</v>
      </c>
      <c r="DE11">
        <v>0.50351000000000001</v>
      </c>
      <c r="DF11" t="s">
        <v>443</v>
      </c>
      <c r="DG11">
        <v>8.8469800000000003</v>
      </c>
      <c r="DH11">
        <v>0.12078999999999999</v>
      </c>
      <c r="DI11" t="s">
        <v>443</v>
      </c>
      <c r="DJ11">
        <v>1.25251</v>
      </c>
      <c r="DK11">
        <v>2.4279999999999999E-2</v>
      </c>
      <c r="DL11" t="s">
        <v>443</v>
      </c>
      <c r="DM11">
        <v>1.22068</v>
      </c>
      <c r="DN11">
        <v>1.018E-2</v>
      </c>
      <c r="DO11" t="s">
        <v>443</v>
      </c>
      <c r="DP11">
        <v>1.2053700000000001</v>
      </c>
      <c r="DQ11">
        <v>7.0699999999999999E-3</v>
      </c>
      <c r="DR11" t="s">
        <v>443</v>
      </c>
      <c r="DS11">
        <v>1.17117</v>
      </c>
      <c r="DT11">
        <v>1.6590000000000001E-2</v>
      </c>
      <c r="DU11" t="s">
        <v>443</v>
      </c>
      <c r="DV11">
        <v>3.8248099999999998</v>
      </c>
      <c r="DW11">
        <v>6.5740000000000007E-2</v>
      </c>
      <c r="DX11" t="s">
        <v>443</v>
      </c>
      <c r="DY11">
        <v>1.2166300000000001</v>
      </c>
      <c r="DZ11">
        <v>2.726E-2</v>
      </c>
      <c r="EA11" t="s">
        <v>443</v>
      </c>
      <c r="EB11">
        <v>1.1200399999999999</v>
      </c>
      <c r="EC11">
        <v>2.7830000000000001E-2</v>
      </c>
      <c r="ED11" t="s">
        <v>443</v>
      </c>
      <c r="EE11">
        <v>1.20095</v>
      </c>
      <c r="EF11">
        <v>1.8319999999999999E-2</v>
      </c>
      <c r="EG11" t="s">
        <v>443</v>
      </c>
      <c r="EH11">
        <v>4.3483599999999996</v>
      </c>
      <c r="EI11">
        <v>8.6679999999999993E-2</v>
      </c>
      <c r="EJ11" t="s">
        <v>443</v>
      </c>
      <c r="EM11" t="s">
        <v>440</v>
      </c>
      <c r="EN11">
        <v>1.2312799999999999</v>
      </c>
      <c r="EO11">
        <v>4.0469999999999999E-2</v>
      </c>
      <c r="EP11" t="s">
        <v>443</v>
      </c>
      <c r="ES11" t="s">
        <v>440</v>
      </c>
      <c r="ET11">
        <v>9.3603000000000005</v>
      </c>
      <c r="EU11">
        <v>0.30048999999999998</v>
      </c>
      <c r="EV11" t="s">
        <v>443</v>
      </c>
      <c r="EW11">
        <v>1.53312</v>
      </c>
      <c r="EX11">
        <v>7.1360000000000007E-2</v>
      </c>
      <c r="EY11" t="s">
        <v>443</v>
      </c>
      <c r="EZ11">
        <v>1.2697400000000001</v>
      </c>
      <c r="FA11">
        <v>7.2730000000000003E-2</v>
      </c>
      <c r="FB11" t="s">
        <v>443</v>
      </c>
      <c r="FC11">
        <v>1.27481</v>
      </c>
      <c r="FD11">
        <v>3.8580000000000003E-2</v>
      </c>
      <c r="FE11" t="s">
        <v>445</v>
      </c>
      <c r="FF11">
        <v>1.09988</v>
      </c>
      <c r="FG11">
        <v>9.8239999999999994E-2</v>
      </c>
      <c r="FH11" t="s">
        <v>444</v>
      </c>
      <c r="FK11" t="s">
        <v>440</v>
      </c>
      <c r="FN11" t="s">
        <v>440</v>
      </c>
      <c r="FO11">
        <v>1.2957099999999999</v>
      </c>
      <c r="FP11">
        <v>4.0570000000000002E-2</v>
      </c>
      <c r="FQ11" t="s">
        <v>444</v>
      </c>
      <c r="FT11" t="s">
        <v>440</v>
      </c>
      <c r="FU11">
        <v>1</v>
      </c>
      <c r="FX11">
        <v>10</v>
      </c>
    </row>
    <row r="12" spans="1:180" x14ac:dyDescent="0.2">
      <c r="B12" t="s">
        <v>78</v>
      </c>
      <c r="C12">
        <v>4.5440000000000001E-2</v>
      </c>
      <c r="D12">
        <v>6.0600000000000003E-3</v>
      </c>
      <c r="E12" t="s">
        <v>439</v>
      </c>
      <c r="F12">
        <v>1.5890000000000001E-2</v>
      </c>
      <c r="G12">
        <v>2.0100000000000001E-3</v>
      </c>
      <c r="H12" t="s">
        <v>439</v>
      </c>
      <c r="I12">
        <v>2.5149999999999999E-2</v>
      </c>
      <c r="J12">
        <v>2.4499999999999999E-3</v>
      </c>
      <c r="K12" t="s">
        <v>439</v>
      </c>
      <c r="L12">
        <v>-6.0800000000000003E-3</v>
      </c>
      <c r="M12">
        <v>6.8999999999999997E-4</v>
      </c>
      <c r="N12" t="s">
        <v>439</v>
      </c>
      <c r="O12">
        <v>3.5799999999999998E-3</v>
      </c>
      <c r="P12">
        <v>6.9999999999999999E-4</v>
      </c>
      <c r="Q12" t="s">
        <v>439</v>
      </c>
      <c r="R12">
        <v>2.5950000000000001E-2</v>
      </c>
      <c r="S12">
        <v>5.9999999999999995E-4</v>
      </c>
      <c r="T12" t="s">
        <v>439</v>
      </c>
      <c r="U12">
        <v>2.9299999999999999E-3</v>
      </c>
      <c r="V12">
        <v>4.8000000000000001E-4</v>
      </c>
      <c r="W12" t="s">
        <v>439</v>
      </c>
      <c r="X12">
        <v>1.585E-2</v>
      </c>
      <c r="Y12">
        <v>1.1900000000000001E-3</v>
      </c>
      <c r="Z12" t="s">
        <v>439</v>
      </c>
      <c r="AA12">
        <v>6.2899999999999996E-3</v>
      </c>
      <c r="AB12">
        <v>5.5000000000000003E-4</v>
      </c>
      <c r="AC12" t="s">
        <v>439</v>
      </c>
      <c r="AD12">
        <v>1.0200000000000001E-3</v>
      </c>
      <c r="AE12">
        <v>3.6999999999999999E-4</v>
      </c>
      <c r="AF12" t="s">
        <v>439</v>
      </c>
      <c r="AI12" t="s">
        <v>440</v>
      </c>
      <c r="AJ12">
        <v>4.4380000000000003E-2</v>
      </c>
      <c r="AK12">
        <v>1.9000000000000001E-4</v>
      </c>
      <c r="AL12" t="s">
        <v>441</v>
      </c>
      <c r="AM12">
        <v>4.2689999999999999E-2</v>
      </c>
      <c r="AN12">
        <v>2.5999999999999998E-4</v>
      </c>
      <c r="AO12" t="s">
        <v>439</v>
      </c>
      <c r="AP12">
        <v>-2.5000000000000001E-3</v>
      </c>
      <c r="AQ12">
        <v>5.9000000000000003E-4</v>
      </c>
      <c r="AR12" t="s">
        <v>439</v>
      </c>
      <c r="AS12">
        <v>3.3730000000000003E-2</v>
      </c>
      <c r="AT12">
        <v>2E-3</v>
      </c>
      <c r="AU12" t="s">
        <v>439</v>
      </c>
      <c r="AV12">
        <v>-1.9E-3</v>
      </c>
      <c r="AW12">
        <v>4.0000000000000003E-5</v>
      </c>
      <c r="AX12" t="s">
        <v>439</v>
      </c>
      <c r="AY12">
        <v>-5.5500000000000002E-3</v>
      </c>
      <c r="AZ12">
        <v>2.0000000000000002E-5</v>
      </c>
      <c r="BA12" t="s">
        <v>439</v>
      </c>
      <c r="BB12">
        <v>1.99E-3</v>
      </c>
      <c r="BC12">
        <v>1.1E-4</v>
      </c>
      <c r="BD12" t="s">
        <v>439</v>
      </c>
      <c r="BE12">
        <v>-3.2000000000000003E-4</v>
      </c>
      <c r="BF12">
        <v>2.0000000000000001E-4</v>
      </c>
      <c r="BG12" t="s">
        <v>439</v>
      </c>
      <c r="BH12">
        <v>8.1999999999999998E-4</v>
      </c>
      <c r="BI12">
        <v>1.3999999999999999E-4</v>
      </c>
      <c r="BJ12" t="s">
        <v>439</v>
      </c>
      <c r="BK12">
        <v>1.6100000000000001E-3</v>
      </c>
      <c r="BL12">
        <v>6.0000000000000002E-5</v>
      </c>
      <c r="BM12" t="s">
        <v>439</v>
      </c>
      <c r="BN12">
        <v>-9.0000000000000006E-5</v>
      </c>
      <c r="BO12">
        <v>1.4999999999999999E-4</v>
      </c>
      <c r="BP12" t="s">
        <v>439</v>
      </c>
      <c r="BQ12">
        <v>7.6400000000000001E-3</v>
      </c>
      <c r="BR12">
        <v>2.9E-4</v>
      </c>
      <c r="BS12" t="s">
        <v>442</v>
      </c>
      <c r="BV12" t="s">
        <v>440</v>
      </c>
      <c r="BW12">
        <v>0.49009000000000003</v>
      </c>
      <c r="BX12">
        <v>3.3779999999999998E-2</v>
      </c>
      <c r="BY12" t="s">
        <v>442</v>
      </c>
      <c r="BZ12">
        <v>3.46E-3</v>
      </c>
      <c r="CA12">
        <v>3.0000000000000001E-5</v>
      </c>
      <c r="CB12" t="s">
        <v>439</v>
      </c>
      <c r="CC12">
        <v>-3.0079999999999999E-2</v>
      </c>
      <c r="CD12">
        <v>5.9000000000000003E-4</v>
      </c>
      <c r="CE12" t="s">
        <v>439</v>
      </c>
      <c r="CF12">
        <v>-9.5399999999999999E-3</v>
      </c>
      <c r="CG12">
        <v>6.9999999999999994E-5</v>
      </c>
      <c r="CH12" t="s">
        <v>439</v>
      </c>
      <c r="CI12">
        <v>-8.4999999999999995E-4</v>
      </c>
      <c r="CJ12">
        <v>2.9E-4</v>
      </c>
      <c r="CK12" t="s">
        <v>439</v>
      </c>
      <c r="CL12">
        <v>-6.4700000000000001E-3</v>
      </c>
      <c r="CM12">
        <v>4.0000000000000003E-5</v>
      </c>
      <c r="CN12" t="s">
        <v>439</v>
      </c>
      <c r="CO12">
        <v>8.745E-2</v>
      </c>
      <c r="CP12">
        <v>3.6510000000000001E-2</v>
      </c>
      <c r="CQ12" t="s">
        <v>439</v>
      </c>
      <c r="CR12">
        <v>4.2450000000000002E-2</v>
      </c>
      <c r="CS12">
        <v>1.532E-2</v>
      </c>
      <c r="CT12" t="s">
        <v>439</v>
      </c>
      <c r="CU12">
        <v>-2.6780000000000002E-2</v>
      </c>
      <c r="CV12">
        <v>2.154E-2</v>
      </c>
      <c r="CW12" t="s">
        <v>439</v>
      </c>
      <c r="CX12">
        <v>0.10351</v>
      </c>
      <c r="CY12">
        <v>0.56347999999999998</v>
      </c>
      <c r="CZ12" t="s">
        <v>439</v>
      </c>
      <c r="DA12">
        <v>-5.951E-2</v>
      </c>
      <c r="DB12">
        <v>2.6169999999999999E-2</v>
      </c>
      <c r="DC12" t="s">
        <v>439</v>
      </c>
      <c r="DD12">
        <v>-0.39226</v>
      </c>
      <c r="DE12">
        <v>0.13153999999999999</v>
      </c>
      <c r="DF12" t="s">
        <v>439</v>
      </c>
      <c r="DG12">
        <v>0.49242000000000002</v>
      </c>
      <c r="DH12">
        <v>9.3469999999999998E-2</v>
      </c>
      <c r="DI12" t="s">
        <v>439</v>
      </c>
      <c r="DJ12">
        <v>-8.5500000000000003E-3</v>
      </c>
      <c r="DK12">
        <v>3.8899999999999998E-3</v>
      </c>
      <c r="DL12" t="s">
        <v>439</v>
      </c>
      <c r="DM12">
        <v>2.2499999999999998E-3</v>
      </c>
      <c r="DN12">
        <v>5.1000000000000004E-4</v>
      </c>
      <c r="DO12" t="s">
        <v>439</v>
      </c>
      <c r="DP12">
        <v>-1.0540000000000001E-2</v>
      </c>
      <c r="DQ12">
        <v>4.4999999999999999E-4</v>
      </c>
      <c r="DR12" t="s">
        <v>439</v>
      </c>
      <c r="DS12">
        <v>-2.6620000000000001E-2</v>
      </c>
      <c r="DT12">
        <v>3.4000000000000002E-4</v>
      </c>
      <c r="DU12" t="s">
        <v>439</v>
      </c>
      <c r="DV12">
        <v>-0.28926000000000002</v>
      </c>
      <c r="DW12">
        <v>2.5899999999999999E-3</v>
      </c>
      <c r="DX12" t="s">
        <v>439</v>
      </c>
      <c r="DY12">
        <v>-6.2599999999999999E-3</v>
      </c>
      <c r="DZ12">
        <v>2.7E-4</v>
      </c>
      <c r="EA12" t="s">
        <v>439</v>
      </c>
      <c r="EB12">
        <v>1.959E-2</v>
      </c>
      <c r="EC12">
        <v>4.4000000000000002E-4</v>
      </c>
      <c r="ED12" t="s">
        <v>439</v>
      </c>
      <c r="EE12">
        <v>-1.9879999999999998E-2</v>
      </c>
      <c r="EF12">
        <v>1.3500000000000001E-3</v>
      </c>
      <c r="EG12" t="s">
        <v>439</v>
      </c>
      <c r="EH12">
        <v>-5.382E-2</v>
      </c>
      <c r="EI12">
        <v>1.2760000000000001E-2</v>
      </c>
      <c r="EJ12" t="s">
        <v>439</v>
      </c>
      <c r="EM12" t="s">
        <v>440</v>
      </c>
      <c r="EN12">
        <v>-2.2800000000000001E-2</v>
      </c>
      <c r="EO12">
        <v>5.0000000000000002E-5</v>
      </c>
      <c r="EP12" t="s">
        <v>439</v>
      </c>
      <c r="ES12" t="s">
        <v>440</v>
      </c>
      <c r="ET12">
        <v>0.29926000000000003</v>
      </c>
      <c r="EU12">
        <v>9.5999999999999992E-3</v>
      </c>
      <c r="EV12" t="s">
        <v>439</v>
      </c>
      <c r="EW12">
        <v>-8.4000000000000003E-4</v>
      </c>
      <c r="EX12">
        <v>4.0000000000000002E-4</v>
      </c>
      <c r="EY12" t="s">
        <v>439</v>
      </c>
      <c r="EZ12">
        <v>-1.1900000000000001E-2</v>
      </c>
      <c r="FA12">
        <v>3.4099999999999998E-3</v>
      </c>
      <c r="FB12" t="s">
        <v>439</v>
      </c>
      <c r="FC12">
        <v>9.443E-2</v>
      </c>
      <c r="FD12">
        <v>6.8459999999999993E-2</v>
      </c>
      <c r="FE12" t="s">
        <v>439</v>
      </c>
      <c r="FF12">
        <v>1.83815</v>
      </c>
      <c r="FG12">
        <v>5.0349999999999999E-2</v>
      </c>
      <c r="FH12" t="s">
        <v>441</v>
      </c>
      <c r="FK12" t="s">
        <v>440</v>
      </c>
      <c r="FN12" t="s">
        <v>440</v>
      </c>
      <c r="FO12">
        <v>-5.3299999999999997E-3</v>
      </c>
      <c r="FP12">
        <v>8.3000000000000001E-4</v>
      </c>
      <c r="FQ12" t="s">
        <v>441</v>
      </c>
      <c r="FT12" t="s">
        <v>440</v>
      </c>
      <c r="FX12">
        <v>11</v>
      </c>
    </row>
    <row r="13" spans="1:180" x14ac:dyDescent="0.2">
      <c r="B13" t="s">
        <v>79</v>
      </c>
      <c r="C13">
        <v>0.33613999999999999</v>
      </c>
      <c r="D13">
        <v>2.7799999999999999E-3</v>
      </c>
      <c r="E13" t="s">
        <v>446</v>
      </c>
      <c r="F13">
        <v>0.27594999999999997</v>
      </c>
      <c r="G13">
        <v>5.7800000000000004E-3</v>
      </c>
      <c r="H13" t="s">
        <v>446</v>
      </c>
      <c r="I13">
        <v>0.27609</v>
      </c>
      <c r="J13">
        <v>4.0600000000000002E-3</v>
      </c>
      <c r="K13" t="s">
        <v>446</v>
      </c>
      <c r="L13">
        <v>6.4755799999999999</v>
      </c>
      <c r="M13">
        <v>0.10471999999999999</v>
      </c>
      <c r="N13" t="s">
        <v>446</v>
      </c>
      <c r="O13">
        <v>5.8100000000000001E-3</v>
      </c>
      <c r="P13">
        <v>2.7E-4</v>
      </c>
      <c r="Q13" t="s">
        <v>447</v>
      </c>
      <c r="R13">
        <v>2.2532299999999998</v>
      </c>
      <c r="S13">
        <v>8.9300000000000004E-3</v>
      </c>
      <c r="T13" t="s">
        <v>446</v>
      </c>
      <c r="U13">
        <v>4.1700000000000001E-3</v>
      </c>
      <c r="V13">
        <v>6.0000000000000002E-5</v>
      </c>
      <c r="W13" t="s">
        <v>447</v>
      </c>
      <c r="X13">
        <v>2.1780000000000001E-2</v>
      </c>
      <c r="Y13">
        <v>1.2099999999999999E-3</v>
      </c>
      <c r="Z13" t="s">
        <v>447</v>
      </c>
      <c r="AA13">
        <v>2.6450000000000001E-2</v>
      </c>
      <c r="AB13">
        <v>4.6000000000000001E-4</v>
      </c>
      <c r="AC13" t="s">
        <v>448</v>
      </c>
      <c r="AD13">
        <v>0.12515999999999999</v>
      </c>
      <c r="AE13">
        <v>3.4000000000000002E-4</v>
      </c>
      <c r="AF13" t="s">
        <v>446</v>
      </c>
      <c r="AI13" t="s">
        <v>440</v>
      </c>
      <c r="AJ13">
        <v>4.6550000000000001E-2</v>
      </c>
      <c r="AK13">
        <v>4.8000000000000001E-4</v>
      </c>
      <c r="AL13" t="s">
        <v>449</v>
      </c>
      <c r="AM13">
        <v>1.08351</v>
      </c>
      <c r="AN13">
        <v>3.2799999999999999E-3</v>
      </c>
      <c r="AO13" t="s">
        <v>446</v>
      </c>
      <c r="AP13">
        <v>1E-4</v>
      </c>
      <c r="AQ13">
        <v>3.8000000000000002E-4</v>
      </c>
      <c r="AR13" t="s">
        <v>450</v>
      </c>
      <c r="AS13">
        <v>10.27439</v>
      </c>
      <c r="AT13">
        <v>0.10118000000000001</v>
      </c>
      <c r="AU13" t="s">
        <v>446</v>
      </c>
      <c r="AV13">
        <v>1.2999999999999999E-4</v>
      </c>
      <c r="AW13">
        <v>5.0000000000000002E-5</v>
      </c>
      <c r="AX13" t="s">
        <v>450</v>
      </c>
      <c r="AY13">
        <v>-3.3400000000000001E-3</v>
      </c>
      <c r="AZ13">
        <v>5.0000000000000002E-5</v>
      </c>
      <c r="BA13" t="s">
        <v>450</v>
      </c>
      <c r="BB13">
        <v>4.0699999999999998E-3</v>
      </c>
      <c r="BC13">
        <v>3.3E-4</v>
      </c>
      <c r="BD13" t="s">
        <v>447</v>
      </c>
      <c r="BE13">
        <v>1.74E-3</v>
      </c>
      <c r="BF13">
        <v>1.4999999999999999E-4</v>
      </c>
      <c r="BG13" t="s">
        <v>447</v>
      </c>
      <c r="BH13">
        <v>2.97E-3</v>
      </c>
      <c r="BI13">
        <v>2.1000000000000001E-4</v>
      </c>
      <c r="BJ13" t="s">
        <v>447</v>
      </c>
      <c r="BK13">
        <v>3.5699999999999998E-3</v>
      </c>
      <c r="BL13">
        <v>9.0000000000000006E-5</v>
      </c>
      <c r="BM13" t="s">
        <v>447</v>
      </c>
      <c r="BN13">
        <v>1.81E-3</v>
      </c>
      <c r="BO13">
        <v>1E-4</v>
      </c>
      <c r="BP13" t="s">
        <v>447</v>
      </c>
      <c r="BQ13">
        <v>4.8399999999999997E-3</v>
      </c>
      <c r="BR13">
        <v>5.1000000000000004E-4</v>
      </c>
      <c r="BS13" t="s">
        <v>447</v>
      </c>
      <c r="BV13" t="s">
        <v>440</v>
      </c>
      <c r="BW13">
        <v>-0.16916999999999999</v>
      </c>
      <c r="BX13">
        <v>0.11670999999999999</v>
      </c>
      <c r="BY13" t="s">
        <v>450</v>
      </c>
      <c r="BZ13">
        <v>0.13838</v>
      </c>
      <c r="CA13">
        <v>3.1700000000000001E-3</v>
      </c>
      <c r="CB13" t="s">
        <v>446</v>
      </c>
      <c r="CC13">
        <v>0.33443000000000001</v>
      </c>
      <c r="CD13">
        <v>1.112E-2</v>
      </c>
      <c r="CE13" t="s">
        <v>446</v>
      </c>
      <c r="CF13">
        <v>0.35066999999999998</v>
      </c>
      <c r="CG13">
        <v>6.4900000000000001E-3</v>
      </c>
      <c r="CH13" t="s">
        <v>446</v>
      </c>
      <c r="CI13">
        <v>0.36132999999999998</v>
      </c>
      <c r="CJ13">
        <v>1.0030000000000001E-2</v>
      </c>
      <c r="CK13" t="s">
        <v>446</v>
      </c>
      <c r="CL13">
        <v>0.25509999999999999</v>
      </c>
      <c r="CM13">
        <v>6.5700000000000003E-3</v>
      </c>
      <c r="CN13" t="s">
        <v>447</v>
      </c>
      <c r="CO13">
        <v>434.12536</v>
      </c>
      <c r="CP13">
        <v>144.18131</v>
      </c>
      <c r="CQ13" t="s">
        <v>448</v>
      </c>
      <c r="CR13">
        <v>176.63907</v>
      </c>
      <c r="CS13">
        <v>57.768749999999997</v>
      </c>
      <c r="CT13" t="s">
        <v>448</v>
      </c>
      <c r="CU13">
        <v>3.3569900000000001</v>
      </c>
      <c r="CV13">
        <v>1.29756</v>
      </c>
      <c r="CW13" t="s">
        <v>448</v>
      </c>
      <c r="CX13">
        <v>5.71455</v>
      </c>
      <c r="CY13">
        <v>7.5606099999999996</v>
      </c>
      <c r="CZ13" t="s">
        <v>448</v>
      </c>
      <c r="DA13">
        <v>1.8110000000000001E-2</v>
      </c>
      <c r="DB13">
        <v>6.6720000000000002E-2</v>
      </c>
      <c r="DC13" t="s">
        <v>450</v>
      </c>
      <c r="DD13">
        <v>1.65744</v>
      </c>
      <c r="DE13">
        <v>2.8413599999999999</v>
      </c>
      <c r="DF13" t="s">
        <v>447</v>
      </c>
      <c r="DG13">
        <v>681.85401000000002</v>
      </c>
      <c r="DH13">
        <v>246.12924000000001</v>
      </c>
      <c r="DI13" t="s">
        <v>448</v>
      </c>
      <c r="DJ13">
        <v>-3.7000000000000002E-3</v>
      </c>
      <c r="DK13">
        <v>8.4600000000000005E-3</v>
      </c>
      <c r="DL13" t="s">
        <v>450</v>
      </c>
      <c r="DM13">
        <v>0.90130999999999994</v>
      </c>
      <c r="DN13">
        <v>0.32530999999999999</v>
      </c>
      <c r="DO13" t="s">
        <v>448</v>
      </c>
      <c r="DP13">
        <v>0.45821000000000001</v>
      </c>
      <c r="DQ13">
        <v>0.16214000000000001</v>
      </c>
      <c r="DR13" t="s">
        <v>448</v>
      </c>
      <c r="DS13">
        <v>0.87727999999999995</v>
      </c>
      <c r="DT13">
        <v>0.29049999999999998</v>
      </c>
      <c r="DU13" t="s">
        <v>448</v>
      </c>
      <c r="DV13">
        <v>1.9373800000000001</v>
      </c>
      <c r="DW13">
        <v>0.75463999999999998</v>
      </c>
      <c r="DX13" t="s">
        <v>446</v>
      </c>
      <c r="DY13">
        <v>0.60684000000000005</v>
      </c>
      <c r="DZ13">
        <v>0.20382</v>
      </c>
      <c r="EA13" t="s">
        <v>448</v>
      </c>
      <c r="EB13">
        <v>1.32233</v>
      </c>
      <c r="EC13">
        <v>0.40237000000000001</v>
      </c>
      <c r="ED13" t="s">
        <v>446</v>
      </c>
      <c r="EE13">
        <v>0.50378999999999996</v>
      </c>
      <c r="EF13">
        <v>0.16250000000000001</v>
      </c>
      <c r="EG13" t="s">
        <v>448</v>
      </c>
      <c r="EH13">
        <v>1.8458300000000001</v>
      </c>
      <c r="EI13">
        <v>0.65810000000000002</v>
      </c>
      <c r="EJ13" t="s">
        <v>448</v>
      </c>
      <c r="EM13" t="s">
        <v>440</v>
      </c>
      <c r="EN13">
        <v>-1.9970000000000002E-2</v>
      </c>
      <c r="EO13">
        <v>1.89E-3</v>
      </c>
      <c r="EP13" t="s">
        <v>450</v>
      </c>
      <c r="ES13" t="s">
        <v>440</v>
      </c>
      <c r="ET13">
        <v>40.653530000000003</v>
      </c>
      <c r="EU13">
        <v>0.78554000000000002</v>
      </c>
      <c r="EV13" t="s">
        <v>446</v>
      </c>
      <c r="EW13">
        <v>2.6800000000000001E-3</v>
      </c>
      <c r="EX13">
        <v>1.47E-3</v>
      </c>
      <c r="EY13" t="s">
        <v>450</v>
      </c>
      <c r="EZ13">
        <v>1.1745399999999999</v>
      </c>
      <c r="FA13">
        <v>2.1909999999999999E-2</v>
      </c>
      <c r="FB13" t="s">
        <v>446</v>
      </c>
      <c r="FC13">
        <v>0.26657999999999998</v>
      </c>
      <c r="FD13">
        <v>6.6220000000000001E-2</v>
      </c>
      <c r="FE13" t="s">
        <v>451</v>
      </c>
      <c r="FF13">
        <v>0.82840000000000003</v>
      </c>
      <c r="FG13">
        <v>2.1649999999999999E-2</v>
      </c>
      <c r="FH13" t="s">
        <v>452</v>
      </c>
      <c r="FK13" t="s">
        <v>440</v>
      </c>
      <c r="FN13" t="s">
        <v>440</v>
      </c>
      <c r="FO13">
        <v>-3.31E-3</v>
      </c>
      <c r="FP13">
        <v>6.8999999999999997E-4</v>
      </c>
      <c r="FQ13" t="s">
        <v>449</v>
      </c>
      <c r="FT13" t="s">
        <v>440</v>
      </c>
      <c r="FU13">
        <v>1</v>
      </c>
      <c r="FX13">
        <v>12</v>
      </c>
    </row>
    <row r="14" spans="1:180" x14ac:dyDescent="0.2">
      <c r="B14" t="s">
        <v>80</v>
      </c>
      <c r="C14">
        <v>19.7638</v>
      </c>
      <c r="D14">
        <v>0.19788</v>
      </c>
      <c r="E14" t="s">
        <v>448</v>
      </c>
      <c r="F14">
        <v>15.505699999999999</v>
      </c>
      <c r="G14">
        <v>0.64722999999999997</v>
      </c>
      <c r="H14" t="s">
        <v>446</v>
      </c>
      <c r="I14">
        <v>13.08427</v>
      </c>
      <c r="J14">
        <v>0.32490999999999998</v>
      </c>
      <c r="K14" t="s">
        <v>446</v>
      </c>
      <c r="L14">
        <v>333.30040000000002</v>
      </c>
      <c r="M14">
        <v>3.28369</v>
      </c>
      <c r="N14" t="s">
        <v>446</v>
      </c>
      <c r="O14">
        <v>3.8600000000000002E-2</v>
      </c>
      <c r="P14">
        <v>7.2999999999999996E-4</v>
      </c>
      <c r="Q14" t="s">
        <v>447</v>
      </c>
      <c r="R14">
        <v>113.96487</v>
      </c>
      <c r="S14">
        <v>3.1021700000000001</v>
      </c>
      <c r="T14" t="s">
        <v>446</v>
      </c>
      <c r="U14">
        <v>2.0420000000000001E-2</v>
      </c>
      <c r="V14">
        <v>1.9000000000000001E-4</v>
      </c>
      <c r="W14" t="s">
        <v>447</v>
      </c>
      <c r="X14">
        <v>0.19101000000000001</v>
      </c>
      <c r="Y14">
        <v>6.0899999999999999E-3</v>
      </c>
      <c r="Z14" t="s">
        <v>447</v>
      </c>
      <c r="AA14">
        <v>1.3032999999999999</v>
      </c>
      <c r="AB14">
        <v>3.98E-3</v>
      </c>
      <c r="AC14" t="s">
        <v>448</v>
      </c>
      <c r="AD14">
        <v>6.9095300000000002</v>
      </c>
      <c r="AE14">
        <v>0.24066000000000001</v>
      </c>
      <c r="AF14" t="s">
        <v>448</v>
      </c>
      <c r="AI14" t="s">
        <v>440</v>
      </c>
      <c r="AJ14">
        <v>0.10305</v>
      </c>
      <c r="AK14">
        <v>3.16E-3</v>
      </c>
      <c r="AL14" t="s">
        <v>449</v>
      </c>
      <c r="AM14">
        <v>47.622660000000003</v>
      </c>
      <c r="AN14">
        <v>1.5084299999999999</v>
      </c>
      <c r="AO14" t="s">
        <v>446</v>
      </c>
      <c r="AP14">
        <v>-4.6000000000000001E-4</v>
      </c>
      <c r="AQ14">
        <v>2.9999999999999997E-4</v>
      </c>
      <c r="AR14" t="s">
        <v>450</v>
      </c>
      <c r="AS14">
        <v>472.33069</v>
      </c>
      <c r="AT14">
        <v>9.6099700000000006</v>
      </c>
      <c r="AU14" t="s">
        <v>446</v>
      </c>
      <c r="AV14">
        <v>1.583E-2</v>
      </c>
      <c r="AW14">
        <v>2.7E-4</v>
      </c>
      <c r="AX14" t="s">
        <v>447</v>
      </c>
      <c r="AY14">
        <v>7.8899999999999994E-3</v>
      </c>
      <c r="AZ14">
        <v>1.3999999999999999E-4</v>
      </c>
      <c r="BA14" t="s">
        <v>447</v>
      </c>
      <c r="BB14">
        <v>1.26E-2</v>
      </c>
      <c r="BC14">
        <v>5.1999999999999995E-4</v>
      </c>
      <c r="BD14" t="s">
        <v>447</v>
      </c>
      <c r="BE14">
        <v>3.5300000000000002E-3</v>
      </c>
      <c r="BF14">
        <v>4.0000000000000003E-5</v>
      </c>
      <c r="BG14" t="s">
        <v>447</v>
      </c>
      <c r="BH14">
        <v>1.8180000000000002E-2</v>
      </c>
      <c r="BI14">
        <v>8.4999999999999995E-4</v>
      </c>
      <c r="BJ14" t="s">
        <v>447</v>
      </c>
      <c r="BK14">
        <v>2.4599999999999999E-3</v>
      </c>
      <c r="BL14">
        <v>5.0000000000000002E-5</v>
      </c>
      <c r="BM14" t="s">
        <v>447</v>
      </c>
      <c r="BN14">
        <v>8.5999999999999998E-4</v>
      </c>
      <c r="BO14">
        <v>1.6000000000000001E-4</v>
      </c>
      <c r="BP14" t="s">
        <v>450</v>
      </c>
      <c r="BQ14">
        <v>2.0979999999999999E-2</v>
      </c>
      <c r="BR14">
        <v>7.6999999999999996E-4</v>
      </c>
      <c r="BS14" t="s">
        <v>447</v>
      </c>
      <c r="BV14" t="s">
        <v>440</v>
      </c>
      <c r="BW14">
        <v>-2.0413600000000001</v>
      </c>
      <c r="BX14">
        <v>8.7000000000000001E-4</v>
      </c>
      <c r="BY14" t="s">
        <v>450</v>
      </c>
      <c r="BZ14">
        <v>5.9459400000000002</v>
      </c>
      <c r="CA14">
        <v>0.21887000000000001</v>
      </c>
      <c r="CB14" t="s">
        <v>446</v>
      </c>
      <c r="CC14">
        <v>16.474599999999999</v>
      </c>
      <c r="CD14">
        <v>0.26751999999999998</v>
      </c>
      <c r="CE14" t="s">
        <v>446</v>
      </c>
      <c r="CF14">
        <v>15.840059999999999</v>
      </c>
      <c r="CG14">
        <v>0.10445</v>
      </c>
      <c r="CH14" t="s">
        <v>446</v>
      </c>
      <c r="CI14">
        <v>16.349150000000002</v>
      </c>
      <c r="CJ14">
        <v>0.14637</v>
      </c>
      <c r="CK14" t="s">
        <v>446</v>
      </c>
      <c r="CL14">
        <v>10.76667</v>
      </c>
      <c r="CM14">
        <v>0.20063</v>
      </c>
      <c r="CN14" t="s">
        <v>447</v>
      </c>
      <c r="CO14">
        <v>19387.464339999999</v>
      </c>
      <c r="CP14">
        <v>491.13788</v>
      </c>
      <c r="CQ14" t="s">
        <v>446</v>
      </c>
      <c r="CR14">
        <v>7596.4909299999999</v>
      </c>
      <c r="CS14">
        <v>352.74250000000001</v>
      </c>
      <c r="CT14" t="s">
        <v>446</v>
      </c>
      <c r="CU14">
        <v>143.18414000000001</v>
      </c>
      <c r="CV14">
        <v>6.9985400000000002</v>
      </c>
      <c r="CW14" t="s">
        <v>446</v>
      </c>
      <c r="CX14">
        <v>15.314970000000001</v>
      </c>
      <c r="CY14">
        <v>0.93250999999999995</v>
      </c>
      <c r="CZ14" t="s">
        <v>448</v>
      </c>
      <c r="DA14">
        <v>1.2931900000000001</v>
      </c>
      <c r="DB14">
        <v>3.6810000000000002E-2</v>
      </c>
      <c r="DC14" t="s">
        <v>447</v>
      </c>
      <c r="DD14">
        <v>7.4673499999999997</v>
      </c>
      <c r="DE14">
        <v>0.29403000000000001</v>
      </c>
      <c r="DF14" t="s">
        <v>447</v>
      </c>
      <c r="DG14">
        <v>29523.05903</v>
      </c>
      <c r="DH14">
        <v>640.09168999999997</v>
      </c>
      <c r="DI14" t="s">
        <v>446</v>
      </c>
      <c r="DJ14">
        <v>5.7299999999999997E-2</v>
      </c>
      <c r="DK14">
        <v>6.9699999999999996E-3</v>
      </c>
      <c r="DL14" t="s">
        <v>447</v>
      </c>
      <c r="DM14">
        <v>39.853760000000001</v>
      </c>
      <c r="DN14">
        <v>0.52354999999999996</v>
      </c>
      <c r="DO14" t="s">
        <v>446</v>
      </c>
      <c r="DP14">
        <v>19.25966</v>
      </c>
      <c r="DQ14">
        <v>0.57330999999999999</v>
      </c>
      <c r="DR14" t="s">
        <v>446</v>
      </c>
      <c r="DS14">
        <v>39.960189999999997</v>
      </c>
      <c r="DT14">
        <v>0.13922999999999999</v>
      </c>
      <c r="DU14" t="s">
        <v>446</v>
      </c>
      <c r="DV14">
        <v>92.645110000000003</v>
      </c>
      <c r="DW14">
        <v>1.0344500000000001</v>
      </c>
      <c r="DX14" t="s">
        <v>446</v>
      </c>
      <c r="DY14">
        <v>27.763529999999999</v>
      </c>
      <c r="DZ14">
        <v>1.01349</v>
      </c>
      <c r="EA14" t="s">
        <v>446</v>
      </c>
      <c r="EB14">
        <v>56.824620000000003</v>
      </c>
      <c r="EC14">
        <v>0.66752999999999996</v>
      </c>
      <c r="ED14" t="s">
        <v>446</v>
      </c>
      <c r="EE14">
        <v>21.875699999999998</v>
      </c>
      <c r="EF14">
        <v>0.49237999999999998</v>
      </c>
      <c r="EG14" t="s">
        <v>446</v>
      </c>
      <c r="EH14">
        <v>78.718459999999993</v>
      </c>
      <c r="EI14">
        <v>2.8676599999999999</v>
      </c>
      <c r="EJ14" t="s">
        <v>446</v>
      </c>
      <c r="EM14" t="s">
        <v>440</v>
      </c>
      <c r="EN14">
        <v>4.1279999999999997E-2</v>
      </c>
      <c r="EO14">
        <v>2.2799999999999999E-3</v>
      </c>
      <c r="EP14" t="s">
        <v>447</v>
      </c>
      <c r="ES14" t="s">
        <v>440</v>
      </c>
      <c r="ET14">
        <v>2127.8195799999999</v>
      </c>
      <c r="EU14">
        <v>108.21254</v>
      </c>
      <c r="EV14" t="s">
        <v>446</v>
      </c>
      <c r="EW14">
        <v>5.3099999999999996E-3</v>
      </c>
      <c r="EX14">
        <v>3.8600000000000001E-3</v>
      </c>
      <c r="EY14" t="s">
        <v>450</v>
      </c>
      <c r="EZ14">
        <v>29.874199999999998</v>
      </c>
      <c r="FA14">
        <v>1.06158</v>
      </c>
      <c r="FB14" t="s">
        <v>448</v>
      </c>
      <c r="FC14">
        <v>5.2233200000000002</v>
      </c>
      <c r="FD14">
        <v>6.7680000000000004E-2</v>
      </c>
      <c r="FE14" t="s">
        <v>448</v>
      </c>
      <c r="FF14">
        <v>5.5556799999999997</v>
      </c>
      <c r="FG14">
        <v>0.22966</v>
      </c>
      <c r="FH14" t="s">
        <v>452</v>
      </c>
      <c r="FK14" t="s">
        <v>440</v>
      </c>
      <c r="FN14" t="s">
        <v>440</v>
      </c>
      <c r="FO14">
        <v>5.7759999999999999E-2</v>
      </c>
      <c r="FP14">
        <v>3.0899999999999999E-3</v>
      </c>
      <c r="FQ14" t="s">
        <v>449</v>
      </c>
      <c r="FT14" t="s">
        <v>440</v>
      </c>
      <c r="FU14">
        <v>1</v>
      </c>
      <c r="FX14">
        <v>13</v>
      </c>
    </row>
    <row r="15" spans="1:180" x14ac:dyDescent="0.2">
      <c r="B15" t="s">
        <v>81</v>
      </c>
      <c r="C15">
        <v>6.2909999999999994E-2</v>
      </c>
      <c r="D15">
        <v>6.8300000000000001E-3</v>
      </c>
      <c r="E15" t="s">
        <v>442</v>
      </c>
      <c r="F15">
        <v>2.3709999999999998E-2</v>
      </c>
      <c r="G15">
        <v>3.8500000000000001E-3</v>
      </c>
      <c r="H15" t="s">
        <v>442</v>
      </c>
      <c r="I15">
        <v>4.1369999999999997E-2</v>
      </c>
      <c r="J15">
        <v>1.2700000000000001E-3</v>
      </c>
      <c r="K15" t="s">
        <v>442</v>
      </c>
      <c r="L15">
        <v>0.42613000000000001</v>
      </c>
      <c r="M15">
        <v>1.7760000000000001E-2</v>
      </c>
      <c r="N15" t="s">
        <v>442</v>
      </c>
      <c r="O15">
        <v>4.1599999999999996E-3</v>
      </c>
      <c r="P15">
        <v>5.0000000000000002E-5</v>
      </c>
      <c r="Q15" t="s">
        <v>442</v>
      </c>
      <c r="R15">
        <v>0.31545000000000001</v>
      </c>
      <c r="S15">
        <v>2.6259999999999999E-2</v>
      </c>
      <c r="T15" t="s">
        <v>442</v>
      </c>
      <c r="U15">
        <v>1.3500000000000001E-3</v>
      </c>
      <c r="V15">
        <v>8.0000000000000007E-5</v>
      </c>
      <c r="W15" t="s">
        <v>439</v>
      </c>
      <c r="X15">
        <v>1.806E-2</v>
      </c>
      <c r="Y15">
        <v>3.3E-4</v>
      </c>
      <c r="Z15" t="s">
        <v>442</v>
      </c>
      <c r="AA15">
        <v>8.7399999999999995E-3</v>
      </c>
      <c r="AB15">
        <v>1.7099999999999999E-3</v>
      </c>
      <c r="AC15" t="s">
        <v>442</v>
      </c>
      <c r="AD15">
        <v>1.273E-2</v>
      </c>
      <c r="AE15">
        <v>3.49E-3</v>
      </c>
      <c r="AF15" t="s">
        <v>442</v>
      </c>
      <c r="AI15" t="s">
        <v>440</v>
      </c>
      <c r="AJ15">
        <v>4.3470000000000002E-2</v>
      </c>
      <c r="AK15">
        <v>2.7999999999999998E-4</v>
      </c>
      <c r="AL15" t="s">
        <v>441</v>
      </c>
      <c r="AM15">
        <v>0.12143</v>
      </c>
      <c r="AN15">
        <v>1.056E-2</v>
      </c>
      <c r="AO15" t="s">
        <v>442</v>
      </c>
      <c r="AP15">
        <v>-1.017E-2</v>
      </c>
      <c r="AQ15">
        <v>2.5999999999999998E-4</v>
      </c>
      <c r="AR15" t="s">
        <v>439</v>
      </c>
      <c r="AS15">
        <v>0.81066000000000005</v>
      </c>
      <c r="AT15">
        <v>5.2510000000000001E-2</v>
      </c>
      <c r="AU15" t="s">
        <v>442</v>
      </c>
      <c r="AV15">
        <v>-9.3000000000000005E-4</v>
      </c>
      <c r="AW15">
        <v>3.0000000000000001E-5</v>
      </c>
      <c r="AX15" t="s">
        <v>439</v>
      </c>
      <c r="AY15">
        <v>-3.2100000000000002E-3</v>
      </c>
      <c r="AZ15">
        <v>1E-4</v>
      </c>
      <c r="BA15" t="s">
        <v>439</v>
      </c>
      <c r="BB15">
        <v>3.2200000000000002E-3</v>
      </c>
      <c r="BC15">
        <v>1.1E-4</v>
      </c>
      <c r="BD15" t="s">
        <v>442</v>
      </c>
      <c r="BE15">
        <v>-1.8000000000000001E-4</v>
      </c>
      <c r="BF15">
        <v>2.2000000000000001E-4</v>
      </c>
      <c r="BG15" t="s">
        <v>439</v>
      </c>
      <c r="BH15">
        <v>1.83E-3</v>
      </c>
      <c r="BI15">
        <v>2.0000000000000001E-4</v>
      </c>
      <c r="BJ15" t="s">
        <v>442</v>
      </c>
      <c r="BK15">
        <v>1.56E-3</v>
      </c>
      <c r="BL15">
        <v>2.0000000000000002E-5</v>
      </c>
      <c r="BM15" t="s">
        <v>439</v>
      </c>
      <c r="BN15">
        <v>-2.3000000000000001E-4</v>
      </c>
      <c r="BO15">
        <v>1.3999999999999999E-4</v>
      </c>
      <c r="BP15" t="s">
        <v>439</v>
      </c>
      <c r="BQ15">
        <v>-3.31E-3</v>
      </c>
      <c r="BR15">
        <v>2.3000000000000001E-4</v>
      </c>
      <c r="BS15" t="s">
        <v>439</v>
      </c>
      <c r="BV15" t="s">
        <v>440</v>
      </c>
      <c r="BW15">
        <v>-2.0489899999999999</v>
      </c>
      <c r="BX15">
        <v>5.2999999999999998E-4</v>
      </c>
      <c r="BY15" t="s">
        <v>439</v>
      </c>
      <c r="BZ15">
        <v>1.2959999999999999E-2</v>
      </c>
      <c r="CA15">
        <v>6.2E-4</v>
      </c>
      <c r="CB15" t="s">
        <v>442</v>
      </c>
      <c r="CC15">
        <v>-1.247E-2</v>
      </c>
      <c r="CD15">
        <v>1.9300000000000001E-3</v>
      </c>
      <c r="CE15" t="s">
        <v>439</v>
      </c>
      <c r="CF15">
        <v>9.8899999999999995E-3</v>
      </c>
      <c r="CG15">
        <v>8.9999999999999998E-4</v>
      </c>
      <c r="CH15" t="s">
        <v>439</v>
      </c>
      <c r="CI15">
        <v>-2.164E-2</v>
      </c>
      <c r="CJ15">
        <v>1.3799999999999999E-3</v>
      </c>
      <c r="CK15" t="s">
        <v>439</v>
      </c>
      <c r="CL15">
        <v>7.6099999999999996E-3</v>
      </c>
      <c r="CM15">
        <v>3.5E-4</v>
      </c>
      <c r="CN15" t="s">
        <v>442</v>
      </c>
      <c r="CO15">
        <v>36.093170000000001</v>
      </c>
      <c r="CP15">
        <v>2.9163800000000002</v>
      </c>
      <c r="CQ15" t="s">
        <v>442</v>
      </c>
      <c r="CR15">
        <v>7.0779100000000001</v>
      </c>
      <c r="CS15">
        <v>0.97387999999999997</v>
      </c>
      <c r="CT15" t="s">
        <v>442</v>
      </c>
      <c r="CU15">
        <v>5.6043399999999997</v>
      </c>
      <c r="CV15">
        <v>7.3789999999999994E-2</v>
      </c>
      <c r="CW15" t="s">
        <v>442</v>
      </c>
      <c r="CX15">
        <v>0.32040000000000002</v>
      </c>
      <c r="CY15">
        <v>0.41304999999999997</v>
      </c>
      <c r="CZ15" t="s">
        <v>442</v>
      </c>
      <c r="DA15">
        <v>7.5171999999999999</v>
      </c>
      <c r="DB15">
        <v>0.23255999999999999</v>
      </c>
      <c r="DC15" t="s">
        <v>442</v>
      </c>
      <c r="DD15">
        <v>0.74238000000000004</v>
      </c>
      <c r="DE15">
        <v>0.3513</v>
      </c>
      <c r="DF15" t="s">
        <v>442</v>
      </c>
      <c r="DG15">
        <v>29.569240000000001</v>
      </c>
      <c r="DH15">
        <v>4.7545200000000003</v>
      </c>
      <c r="DI15" t="s">
        <v>442</v>
      </c>
      <c r="DJ15">
        <v>4.2300000000000003E-3</v>
      </c>
      <c r="DK15">
        <v>7.1900000000000002E-3</v>
      </c>
      <c r="DL15" t="s">
        <v>439</v>
      </c>
      <c r="DM15">
        <v>3.6319999999999998E-2</v>
      </c>
      <c r="DN15">
        <v>3.47E-3</v>
      </c>
      <c r="DO15" t="s">
        <v>442</v>
      </c>
      <c r="DP15">
        <v>1.0189999999999999E-2</v>
      </c>
      <c r="DQ15">
        <v>9.8999999999999999E-4</v>
      </c>
      <c r="DR15" t="s">
        <v>439</v>
      </c>
      <c r="DS15">
        <v>9.4699999999999993E-3</v>
      </c>
      <c r="DT15">
        <v>3.81E-3</v>
      </c>
      <c r="DU15" t="s">
        <v>439</v>
      </c>
      <c r="DV15">
        <v>-0.14599000000000001</v>
      </c>
      <c r="DW15">
        <v>1.0279999999999999E-2</v>
      </c>
      <c r="DX15" t="s">
        <v>439</v>
      </c>
      <c r="DY15">
        <v>1.5970000000000002E-2</v>
      </c>
      <c r="DZ15">
        <v>1.6199999999999999E-3</v>
      </c>
      <c r="EA15" t="s">
        <v>439</v>
      </c>
      <c r="EB15">
        <v>6.0639999999999999E-2</v>
      </c>
      <c r="EC15">
        <v>9.2200000000000008E-3</v>
      </c>
      <c r="ED15" t="s">
        <v>442</v>
      </c>
      <c r="EE15">
        <v>0.14355000000000001</v>
      </c>
      <c r="EF15">
        <v>5.79E-3</v>
      </c>
      <c r="EG15" t="s">
        <v>442</v>
      </c>
      <c r="EH15">
        <v>0.76571999999999996</v>
      </c>
      <c r="EI15">
        <v>1.6279999999999999E-2</v>
      </c>
      <c r="EJ15" t="s">
        <v>442</v>
      </c>
      <c r="EM15" t="s">
        <v>440</v>
      </c>
      <c r="EN15">
        <v>-2.3539999999999998E-2</v>
      </c>
      <c r="EO15">
        <v>2.7999999999999998E-4</v>
      </c>
      <c r="EP15" t="s">
        <v>439</v>
      </c>
      <c r="ES15" t="s">
        <v>440</v>
      </c>
      <c r="ET15">
        <v>2.8338100000000002</v>
      </c>
      <c r="EU15">
        <v>0.21893000000000001</v>
      </c>
      <c r="EV15" t="s">
        <v>442</v>
      </c>
      <c r="EW15">
        <v>-1.6000000000000001E-4</v>
      </c>
      <c r="EX15">
        <v>1.06E-3</v>
      </c>
      <c r="EY15" t="s">
        <v>439</v>
      </c>
      <c r="EZ15">
        <v>2.6749999999999999E-2</v>
      </c>
      <c r="FA15">
        <v>9.1900000000000003E-3</v>
      </c>
      <c r="FB15" t="s">
        <v>439</v>
      </c>
      <c r="FC15">
        <v>6.4799999999999996E-3</v>
      </c>
      <c r="FD15">
        <v>1.558E-2</v>
      </c>
      <c r="FE15" t="s">
        <v>439</v>
      </c>
      <c r="FF15">
        <v>0.62890999999999997</v>
      </c>
      <c r="FG15">
        <v>0.17224999999999999</v>
      </c>
      <c r="FH15" t="s">
        <v>441</v>
      </c>
      <c r="FK15" t="s">
        <v>440</v>
      </c>
      <c r="FN15" t="s">
        <v>440</v>
      </c>
      <c r="FO15">
        <v>-6.5599999999999999E-3</v>
      </c>
      <c r="FP15">
        <v>3.5E-4</v>
      </c>
      <c r="FQ15" t="s">
        <v>441</v>
      </c>
      <c r="FT15" t="s">
        <v>440</v>
      </c>
      <c r="FX15">
        <v>14</v>
      </c>
    </row>
    <row r="16" spans="1:180" x14ac:dyDescent="0.2">
      <c r="B16" t="s">
        <v>82</v>
      </c>
      <c r="C16">
        <v>0.59167000000000003</v>
      </c>
      <c r="D16">
        <v>1.4279999999999999E-2</v>
      </c>
      <c r="E16" t="s">
        <v>442</v>
      </c>
      <c r="F16">
        <v>0.59940000000000004</v>
      </c>
      <c r="G16">
        <v>1.8409999999999999E-2</v>
      </c>
      <c r="H16" t="s">
        <v>442</v>
      </c>
      <c r="I16">
        <v>0.59535000000000005</v>
      </c>
      <c r="J16">
        <v>6.3400000000000001E-3</v>
      </c>
      <c r="K16" t="s">
        <v>442</v>
      </c>
      <c r="L16">
        <v>0.60523000000000005</v>
      </c>
      <c r="M16">
        <v>2.7699999999999999E-3</v>
      </c>
      <c r="N16" t="s">
        <v>442</v>
      </c>
      <c r="O16">
        <v>0.55962000000000001</v>
      </c>
      <c r="P16">
        <v>4.7699999999999999E-3</v>
      </c>
      <c r="Q16" t="s">
        <v>442</v>
      </c>
      <c r="R16">
        <v>0.60743000000000003</v>
      </c>
      <c r="S16">
        <v>5.5599999999999998E-3</v>
      </c>
      <c r="T16" t="s">
        <v>442</v>
      </c>
      <c r="U16">
        <v>0.56401000000000001</v>
      </c>
      <c r="V16">
        <v>5.7299999999999999E-3</v>
      </c>
      <c r="W16" t="s">
        <v>442</v>
      </c>
      <c r="X16">
        <v>0.56452000000000002</v>
      </c>
      <c r="Y16">
        <v>8.9899999999999997E-3</v>
      </c>
      <c r="Z16" t="s">
        <v>442</v>
      </c>
      <c r="AA16">
        <v>0.56645000000000001</v>
      </c>
      <c r="AB16">
        <v>5.94E-3</v>
      </c>
      <c r="AC16" t="s">
        <v>442</v>
      </c>
      <c r="AD16">
        <v>0.55496999999999996</v>
      </c>
      <c r="AE16">
        <v>6.3499999999999997E-3</v>
      </c>
      <c r="AF16" t="s">
        <v>442</v>
      </c>
      <c r="AI16" t="s">
        <v>440</v>
      </c>
      <c r="AJ16">
        <v>0.56710000000000005</v>
      </c>
      <c r="AK16">
        <v>9.2899999999999996E-3</v>
      </c>
      <c r="AL16" t="s">
        <v>441</v>
      </c>
      <c r="AM16">
        <v>0.60540000000000005</v>
      </c>
      <c r="AN16">
        <v>1.176E-2</v>
      </c>
      <c r="AO16" t="s">
        <v>442</v>
      </c>
      <c r="AP16">
        <v>0.56091000000000002</v>
      </c>
      <c r="AQ16">
        <v>8.5599999999999999E-3</v>
      </c>
      <c r="AR16" t="s">
        <v>442</v>
      </c>
      <c r="AS16">
        <v>2.0645099999999998</v>
      </c>
      <c r="AT16">
        <v>4.1399999999999999E-2</v>
      </c>
      <c r="AU16" t="s">
        <v>442</v>
      </c>
      <c r="AV16">
        <v>0.55027999999999999</v>
      </c>
      <c r="AW16">
        <v>1.2330000000000001E-2</v>
      </c>
      <c r="AX16" t="s">
        <v>442</v>
      </c>
      <c r="AY16">
        <v>0.55764000000000002</v>
      </c>
      <c r="AZ16">
        <v>1.4670000000000001E-2</v>
      </c>
      <c r="BA16" t="s">
        <v>442</v>
      </c>
      <c r="BB16">
        <v>0.57813999999999999</v>
      </c>
      <c r="BC16">
        <v>1.524E-2</v>
      </c>
      <c r="BD16" t="s">
        <v>442</v>
      </c>
      <c r="BE16">
        <v>0.58228000000000002</v>
      </c>
      <c r="BF16">
        <v>1.5890000000000001E-2</v>
      </c>
      <c r="BG16" t="s">
        <v>442</v>
      </c>
      <c r="BH16">
        <v>0.58140000000000003</v>
      </c>
      <c r="BI16">
        <v>1.0789999999999999E-2</v>
      </c>
      <c r="BJ16" t="s">
        <v>442</v>
      </c>
      <c r="BK16">
        <v>0.58658999999999994</v>
      </c>
      <c r="BL16">
        <v>1.503E-2</v>
      </c>
      <c r="BM16" t="s">
        <v>442</v>
      </c>
      <c r="BN16">
        <v>0.59547000000000005</v>
      </c>
      <c r="BO16">
        <v>1.8319999999999999E-2</v>
      </c>
      <c r="BP16" t="s">
        <v>442</v>
      </c>
      <c r="BQ16">
        <v>0.61529</v>
      </c>
      <c r="BR16">
        <v>1.391E-2</v>
      </c>
      <c r="BS16" t="s">
        <v>442</v>
      </c>
      <c r="BV16" t="s">
        <v>440</v>
      </c>
      <c r="BW16">
        <v>-1.5971900000000001</v>
      </c>
      <c r="BX16">
        <v>1.383E-2</v>
      </c>
      <c r="BY16" t="s">
        <v>439</v>
      </c>
      <c r="BZ16">
        <v>0.57298000000000004</v>
      </c>
      <c r="CA16">
        <v>8.3300000000000006E-3</v>
      </c>
      <c r="CB16" t="s">
        <v>442</v>
      </c>
      <c r="CC16">
        <v>0.55388000000000004</v>
      </c>
      <c r="CD16">
        <v>7.5199999999999998E-3</v>
      </c>
      <c r="CE16" t="s">
        <v>442</v>
      </c>
      <c r="CF16">
        <v>0.55906999999999996</v>
      </c>
      <c r="CG16">
        <v>1.5440000000000001E-2</v>
      </c>
      <c r="CH16" t="s">
        <v>442</v>
      </c>
      <c r="CI16">
        <v>0.55223</v>
      </c>
      <c r="CJ16">
        <v>8.8299999999999993E-3</v>
      </c>
      <c r="CK16" t="s">
        <v>442</v>
      </c>
      <c r="CL16">
        <v>0.61104000000000003</v>
      </c>
      <c r="CM16">
        <v>1.486E-2</v>
      </c>
      <c r="CN16" t="s">
        <v>442</v>
      </c>
      <c r="CO16">
        <v>52.577210000000001</v>
      </c>
      <c r="CP16">
        <v>3.2183700000000002</v>
      </c>
      <c r="CQ16" t="s">
        <v>442</v>
      </c>
      <c r="CR16">
        <v>5.2820999999999998</v>
      </c>
      <c r="CS16">
        <v>0.92774000000000001</v>
      </c>
      <c r="CT16" t="s">
        <v>442</v>
      </c>
      <c r="CU16">
        <v>12.41663</v>
      </c>
      <c r="CV16">
        <v>0.20455999999999999</v>
      </c>
      <c r="CW16" t="s">
        <v>442</v>
      </c>
      <c r="CX16">
        <v>5.2055999999999996</v>
      </c>
      <c r="CY16">
        <v>0.89024999999999999</v>
      </c>
      <c r="CZ16" t="s">
        <v>442</v>
      </c>
      <c r="DA16">
        <v>7.9041699999999997</v>
      </c>
      <c r="DB16">
        <v>0.22287999999999999</v>
      </c>
      <c r="DC16" t="s">
        <v>442</v>
      </c>
      <c r="DD16">
        <v>11.92403</v>
      </c>
      <c r="DE16">
        <v>0.42046</v>
      </c>
      <c r="DF16" t="s">
        <v>442</v>
      </c>
      <c r="DG16">
        <v>11.129619999999999</v>
      </c>
      <c r="DH16">
        <v>3.1837599999999999</v>
      </c>
      <c r="DI16" t="s">
        <v>442</v>
      </c>
      <c r="DJ16">
        <v>0.58309999999999995</v>
      </c>
      <c r="DK16">
        <v>5.0840000000000003E-2</v>
      </c>
      <c r="DL16" t="s">
        <v>442</v>
      </c>
      <c r="DM16">
        <v>0.56701000000000001</v>
      </c>
      <c r="DN16">
        <v>8.2299999999999995E-3</v>
      </c>
      <c r="DO16" t="s">
        <v>442</v>
      </c>
      <c r="DP16">
        <v>0.57584000000000002</v>
      </c>
      <c r="DQ16">
        <v>1.108E-2</v>
      </c>
      <c r="DR16" t="s">
        <v>442</v>
      </c>
      <c r="DS16">
        <v>0.54534000000000005</v>
      </c>
      <c r="DT16">
        <v>1.644E-2</v>
      </c>
      <c r="DU16" t="s">
        <v>442</v>
      </c>
      <c r="DV16">
        <v>1.7931299999999999</v>
      </c>
      <c r="DW16">
        <v>3.7280000000000001E-2</v>
      </c>
      <c r="DX16" t="s">
        <v>442</v>
      </c>
      <c r="DY16">
        <v>0.55391999999999997</v>
      </c>
      <c r="DZ16">
        <v>1.1900000000000001E-2</v>
      </c>
      <c r="EA16" t="s">
        <v>442</v>
      </c>
      <c r="EB16">
        <v>0.52337999999999996</v>
      </c>
      <c r="EC16">
        <v>1.282E-2</v>
      </c>
      <c r="ED16" t="s">
        <v>442</v>
      </c>
      <c r="EE16">
        <v>1.0463100000000001</v>
      </c>
      <c r="EF16">
        <v>2.6210000000000001E-2</v>
      </c>
      <c r="EG16" t="s">
        <v>442</v>
      </c>
      <c r="EH16">
        <v>3.72715</v>
      </c>
      <c r="EI16">
        <v>0.12131</v>
      </c>
      <c r="EJ16" t="s">
        <v>442</v>
      </c>
      <c r="EM16" t="s">
        <v>440</v>
      </c>
      <c r="EN16">
        <v>0.55367999999999995</v>
      </c>
      <c r="EO16">
        <v>2.9579999999999999E-2</v>
      </c>
      <c r="EP16" t="s">
        <v>442</v>
      </c>
      <c r="ES16" t="s">
        <v>440</v>
      </c>
      <c r="ET16">
        <v>7.9439099999999998</v>
      </c>
      <c r="EU16">
        <v>0.20460999999999999</v>
      </c>
      <c r="EV16" t="s">
        <v>442</v>
      </c>
      <c r="EW16">
        <v>0.62958999999999998</v>
      </c>
      <c r="EX16">
        <v>2.8309999999999998E-2</v>
      </c>
      <c r="EY16" t="s">
        <v>442</v>
      </c>
      <c r="EZ16">
        <v>0.71287999999999996</v>
      </c>
      <c r="FA16">
        <v>3.5680000000000003E-2</v>
      </c>
      <c r="FB16" t="s">
        <v>442</v>
      </c>
      <c r="FC16">
        <v>0.64380999999999999</v>
      </c>
      <c r="FD16">
        <v>1.2189999999999999E-2</v>
      </c>
      <c r="FE16" t="s">
        <v>439</v>
      </c>
      <c r="FF16">
        <v>1.8383400000000001</v>
      </c>
      <c r="FG16">
        <v>0.25803999999999999</v>
      </c>
      <c r="FH16" t="s">
        <v>441</v>
      </c>
      <c r="FK16" t="s">
        <v>440</v>
      </c>
      <c r="FN16" t="s">
        <v>440</v>
      </c>
      <c r="FO16">
        <v>0.61836999999999998</v>
      </c>
      <c r="FP16">
        <v>3.1399999999999997E-2</v>
      </c>
      <c r="FQ16" t="s">
        <v>441</v>
      </c>
      <c r="FT16" t="s">
        <v>440</v>
      </c>
      <c r="FX16">
        <v>15</v>
      </c>
    </row>
    <row r="17" spans="2:180" x14ac:dyDescent="0.2">
      <c r="B17" t="s">
        <v>83</v>
      </c>
      <c r="C17">
        <v>5.4269999999999999E-2</v>
      </c>
      <c r="D17">
        <v>1.7099999999999999E-3</v>
      </c>
      <c r="E17" t="s">
        <v>439</v>
      </c>
      <c r="F17">
        <v>1.4160000000000001E-2</v>
      </c>
      <c r="G17">
        <v>2.47E-3</v>
      </c>
      <c r="H17" t="s">
        <v>439</v>
      </c>
      <c r="I17">
        <v>3.1449999999999999E-2</v>
      </c>
      <c r="J17">
        <v>4.4000000000000002E-4</v>
      </c>
      <c r="K17" t="s">
        <v>442</v>
      </c>
      <c r="L17">
        <v>4.5909999999999999E-2</v>
      </c>
      <c r="M17">
        <v>2.7200000000000002E-3</v>
      </c>
      <c r="N17" t="s">
        <v>442</v>
      </c>
      <c r="O17">
        <v>4.9300000000000004E-3</v>
      </c>
      <c r="P17">
        <v>1.2E-4</v>
      </c>
      <c r="Q17" t="s">
        <v>442</v>
      </c>
      <c r="R17">
        <v>8.0829999999999999E-2</v>
      </c>
      <c r="S17">
        <v>1.41E-3</v>
      </c>
      <c r="T17" t="s">
        <v>442</v>
      </c>
      <c r="U17">
        <v>1.14E-3</v>
      </c>
      <c r="V17">
        <v>9.0000000000000006E-5</v>
      </c>
      <c r="W17" t="s">
        <v>439</v>
      </c>
      <c r="X17">
        <v>1.521E-2</v>
      </c>
      <c r="Y17">
        <v>3.6999999999999999E-4</v>
      </c>
      <c r="Z17" t="s">
        <v>439</v>
      </c>
      <c r="AA17">
        <v>5.4289999999999998E-2</v>
      </c>
      <c r="AB17">
        <v>2.0799999999999998E-3</v>
      </c>
      <c r="AC17" t="s">
        <v>442</v>
      </c>
      <c r="AD17">
        <v>1.26E-2</v>
      </c>
      <c r="AE17">
        <v>1.1000000000000001E-3</v>
      </c>
      <c r="AF17" t="s">
        <v>442</v>
      </c>
      <c r="AI17" t="s">
        <v>440</v>
      </c>
      <c r="AJ17">
        <v>6.3380000000000006E-2</v>
      </c>
      <c r="AK17">
        <v>8.8000000000000003E-4</v>
      </c>
      <c r="AL17" t="s">
        <v>441</v>
      </c>
      <c r="AM17">
        <v>0.12667999999999999</v>
      </c>
      <c r="AN17">
        <v>2.0300000000000001E-3</v>
      </c>
      <c r="AO17" t="s">
        <v>442</v>
      </c>
      <c r="AP17">
        <v>-2.2399999999999998E-3</v>
      </c>
      <c r="AQ17">
        <v>5.1999999999999995E-4</v>
      </c>
      <c r="AR17" t="s">
        <v>439</v>
      </c>
      <c r="AS17">
        <v>0.15623999999999999</v>
      </c>
      <c r="AT17">
        <v>2.9299999999999999E-3</v>
      </c>
      <c r="AU17" t="s">
        <v>442</v>
      </c>
      <c r="AV17">
        <v>4.0000000000000003E-5</v>
      </c>
      <c r="AW17">
        <v>5.0000000000000002E-5</v>
      </c>
      <c r="AX17" t="s">
        <v>439</v>
      </c>
      <c r="AY17">
        <v>-1.2899999999999999E-3</v>
      </c>
      <c r="AZ17">
        <v>9.0000000000000006E-5</v>
      </c>
      <c r="BA17" t="s">
        <v>439</v>
      </c>
      <c r="BB17">
        <v>4.0299999999999997E-3</v>
      </c>
      <c r="BC17">
        <v>1.8000000000000001E-4</v>
      </c>
      <c r="BD17" t="s">
        <v>442</v>
      </c>
      <c r="BE17">
        <v>-1E-4</v>
      </c>
      <c r="BF17">
        <v>4.0000000000000003E-5</v>
      </c>
      <c r="BG17" t="s">
        <v>439</v>
      </c>
      <c r="BH17">
        <v>2E-3</v>
      </c>
      <c r="BI17">
        <v>4.0000000000000003E-5</v>
      </c>
      <c r="BJ17" t="s">
        <v>442</v>
      </c>
      <c r="BK17">
        <v>1.6000000000000001E-3</v>
      </c>
      <c r="BL17">
        <v>1.0000000000000001E-5</v>
      </c>
      <c r="BM17" t="s">
        <v>439</v>
      </c>
      <c r="BN17">
        <v>-1.9000000000000001E-4</v>
      </c>
      <c r="BO17">
        <v>6.0000000000000002E-5</v>
      </c>
      <c r="BP17" t="s">
        <v>439</v>
      </c>
      <c r="BQ17">
        <v>4.7499999999999999E-3</v>
      </c>
      <c r="BR17">
        <v>2.1000000000000001E-4</v>
      </c>
      <c r="BS17" t="s">
        <v>442</v>
      </c>
      <c r="BV17" t="s">
        <v>440</v>
      </c>
      <c r="BW17">
        <v>-2.04921</v>
      </c>
      <c r="BX17">
        <v>1.3999999999999999E-4</v>
      </c>
      <c r="BY17" t="s">
        <v>439</v>
      </c>
      <c r="BZ17">
        <v>3.32E-3</v>
      </c>
      <c r="CA17">
        <v>9.0000000000000006E-5</v>
      </c>
      <c r="CB17" t="s">
        <v>439</v>
      </c>
      <c r="CC17">
        <v>3.3989999999999999E-2</v>
      </c>
      <c r="CD17">
        <v>1.57E-3</v>
      </c>
      <c r="CE17" t="s">
        <v>442</v>
      </c>
      <c r="CF17">
        <v>5.5379999999999999E-2</v>
      </c>
      <c r="CG17">
        <v>2.63E-3</v>
      </c>
      <c r="CH17" t="s">
        <v>442</v>
      </c>
      <c r="CI17">
        <v>2.58E-2</v>
      </c>
      <c r="CJ17">
        <v>1.1999999999999999E-3</v>
      </c>
      <c r="CK17" t="s">
        <v>442</v>
      </c>
      <c r="CL17">
        <v>-5.1399999999999996E-3</v>
      </c>
      <c r="CM17">
        <v>6.7000000000000002E-4</v>
      </c>
      <c r="CN17" t="s">
        <v>439</v>
      </c>
      <c r="CO17">
        <v>29.653009999999998</v>
      </c>
      <c r="CP17">
        <v>0.84789999999999999</v>
      </c>
      <c r="CQ17" t="s">
        <v>442</v>
      </c>
      <c r="CR17">
        <v>2.1676799999999998</v>
      </c>
      <c r="CS17">
        <v>8.8679999999999995E-2</v>
      </c>
      <c r="CT17" t="s">
        <v>442</v>
      </c>
      <c r="CU17">
        <v>9.4256899999999995</v>
      </c>
      <c r="CV17">
        <v>0.42324000000000001</v>
      </c>
      <c r="CW17" t="s">
        <v>442</v>
      </c>
      <c r="CX17">
        <v>4.7577699999999998</v>
      </c>
      <c r="CY17">
        <v>0.74058000000000002</v>
      </c>
      <c r="CZ17" t="s">
        <v>442</v>
      </c>
      <c r="DA17">
        <v>4.7041300000000001</v>
      </c>
      <c r="DB17">
        <v>8.9260000000000006E-2</v>
      </c>
      <c r="DC17" t="s">
        <v>442</v>
      </c>
      <c r="DD17">
        <v>4.6645200000000004</v>
      </c>
      <c r="DE17">
        <v>0.25713000000000003</v>
      </c>
      <c r="DF17" t="s">
        <v>442</v>
      </c>
      <c r="DG17">
        <v>11.791689999999999</v>
      </c>
      <c r="DH17">
        <v>0.53876999999999997</v>
      </c>
      <c r="DI17" t="s">
        <v>442</v>
      </c>
      <c r="DJ17">
        <v>3.1019999999999999E-2</v>
      </c>
      <c r="DK17">
        <v>5.2900000000000004E-3</v>
      </c>
      <c r="DL17" t="s">
        <v>442</v>
      </c>
      <c r="DM17">
        <v>8.1600000000000006E-3</v>
      </c>
      <c r="DN17">
        <v>8.7000000000000001E-4</v>
      </c>
      <c r="DO17" t="s">
        <v>442</v>
      </c>
      <c r="DP17">
        <v>2.85554</v>
      </c>
      <c r="DQ17">
        <v>7.3270000000000002E-2</v>
      </c>
      <c r="DR17" t="s">
        <v>442</v>
      </c>
      <c r="DS17">
        <v>0.60724999999999996</v>
      </c>
      <c r="DT17">
        <v>1.418E-2</v>
      </c>
      <c r="DU17" t="s">
        <v>442</v>
      </c>
      <c r="DV17">
        <v>5.5203899999999999</v>
      </c>
      <c r="DW17">
        <v>0.13769000000000001</v>
      </c>
      <c r="DX17" t="s">
        <v>442</v>
      </c>
      <c r="DY17">
        <v>5.9500000000000004E-3</v>
      </c>
      <c r="DZ17">
        <v>2.7E-4</v>
      </c>
      <c r="EA17" t="s">
        <v>439</v>
      </c>
      <c r="EB17">
        <v>0.55045999999999995</v>
      </c>
      <c r="EC17">
        <v>7.92E-3</v>
      </c>
      <c r="ED17" t="s">
        <v>442</v>
      </c>
      <c r="EE17">
        <v>0.65114000000000005</v>
      </c>
      <c r="EF17">
        <v>1.9439999999999999E-2</v>
      </c>
      <c r="EG17" t="s">
        <v>442</v>
      </c>
      <c r="EH17">
        <v>2.19299</v>
      </c>
      <c r="EI17">
        <v>8.7690000000000004E-2</v>
      </c>
      <c r="EJ17" t="s">
        <v>442</v>
      </c>
      <c r="EM17" t="s">
        <v>440</v>
      </c>
      <c r="EN17">
        <v>-2.66E-3</v>
      </c>
      <c r="EO17">
        <v>2.5200000000000001E-3</v>
      </c>
      <c r="EP17" t="s">
        <v>439</v>
      </c>
      <c r="ES17" t="s">
        <v>440</v>
      </c>
      <c r="ET17">
        <v>7.2828299999999997</v>
      </c>
      <c r="EU17">
        <v>0.30303000000000002</v>
      </c>
      <c r="EV17" t="s">
        <v>442</v>
      </c>
      <c r="EW17">
        <v>-8.4000000000000003E-4</v>
      </c>
      <c r="EX17">
        <v>4.0000000000000002E-4</v>
      </c>
      <c r="EY17" t="s">
        <v>439</v>
      </c>
      <c r="EZ17">
        <v>-1.133E-2</v>
      </c>
      <c r="FA17">
        <v>3.3700000000000002E-3</v>
      </c>
      <c r="FB17" t="s">
        <v>439</v>
      </c>
      <c r="FC17">
        <v>2.7269999999999999E-2</v>
      </c>
      <c r="FD17">
        <v>6.0999999999999999E-2</v>
      </c>
      <c r="FE17" t="s">
        <v>439</v>
      </c>
      <c r="FF17">
        <v>0.58528000000000002</v>
      </c>
      <c r="FG17">
        <v>0.23660999999999999</v>
      </c>
      <c r="FH17" t="s">
        <v>441</v>
      </c>
      <c r="FK17" t="s">
        <v>440</v>
      </c>
      <c r="FN17" t="s">
        <v>440</v>
      </c>
      <c r="FO17">
        <v>1.753E-2</v>
      </c>
      <c r="FP17">
        <v>9.3000000000000005E-4</v>
      </c>
      <c r="FQ17" t="s">
        <v>441</v>
      </c>
      <c r="FT17" t="s">
        <v>440</v>
      </c>
      <c r="FX17">
        <v>16</v>
      </c>
    </row>
    <row r="18" spans="2:180" x14ac:dyDescent="0.2">
      <c r="B18" t="s">
        <v>84</v>
      </c>
      <c r="C18">
        <v>7.5560000000000002E-2</v>
      </c>
      <c r="D18">
        <v>4.8700000000000002E-3</v>
      </c>
      <c r="E18" t="s">
        <v>442</v>
      </c>
      <c r="F18">
        <v>1.217E-2</v>
      </c>
      <c r="G18">
        <v>5.0200000000000002E-3</v>
      </c>
      <c r="H18" t="s">
        <v>439</v>
      </c>
      <c r="I18">
        <v>9.8239999999999994E-2</v>
      </c>
      <c r="J18">
        <v>2.1800000000000001E-3</v>
      </c>
      <c r="K18" t="s">
        <v>442</v>
      </c>
      <c r="L18">
        <v>0.58316000000000001</v>
      </c>
      <c r="M18">
        <v>1.0449999999999999E-2</v>
      </c>
      <c r="N18" t="s">
        <v>442</v>
      </c>
      <c r="O18">
        <v>7.5600000000000001E-2</v>
      </c>
      <c r="P18">
        <v>1.56E-3</v>
      </c>
      <c r="Q18" t="s">
        <v>442</v>
      </c>
      <c r="R18">
        <v>2.9056799999999998</v>
      </c>
      <c r="S18">
        <v>7.6689999999999994E-2</v>
      </c>
      <c r="T18" t="s">
        <v>442</v>
      </c>
      <c r="U18">
        <v>1.06E-3</v>
      </c>
      <c r="V18">
        <v>4.0000000000000003E-5</v>
      </c>
      <c r="W18" t="s">
        <v>439</v>
      </c>
      <c r="X18">
        <v>1.916E-2</v>
      </c>
      <c r="Y18">
        <v>1.7000000000000001E-4</v>
      </c>
      <c r="Z18" t="s">
        <v>442</v>
      </c>
      <c r="AA18">
        <v>3.4290000000000001E-2</v>
      </c>
      <c r="AB18">
        <v>5.0000000000000001E-4</v>
      </c>
      <c r="AC18" t="s">
        <v>442</v>
      </c>
      <c r="AD18">
        <v>2.9420000000000002E-2</v>
      </c>
      <c r="AE18">
        <v>2.64E-3</v>
      </c>
      <c r="AF18" t="s">
        <v>442</v>
      </c>
      <c r="AI18" t="s">
        <v>440</v>
      </c>
      <c r="AJ18">
        <v>0.15464</v>
      </c>
      <c r="AK18">
        <v>3.5999999999999999E-3</v>
      </c>
      <c r="AL18" t="s">
        <v>441</v>
      </c>
      <c r="AM18">
        <v>0.27137</v>
      </c>
      <c r="AN18">
        <v>1.013E-2</v>
      </c>
      <c r="AO18" t="s">
        <v>442</v>
      </c>
      <c r="AP18">
        <v>-7.5700000000000003E-3</v>
      </c>
      <c r="AQ18">
        <v>2.2000000000000001E-4</v>
      </c>
      <c r="AR18" t="s">
        <v>439</v>
      </c>
      <c r="AS18">
        <v>0.76502999999999999</v>
      </c>
      <c r="AT18">
        <v>2.4889999999999999E-2</v>
      </c>
      <c r="AU18" t="s">
        <v>442</v>
      </c>
      <c r="AV18">
        <v>1.814E-2</v>
      </c>
      <c r="AW18">
        <v>1.09E-3</v>
      </c>
      <c r="AX18" t="s">
        <v>442</v>
      </c>
      <c r="AY18">
        <v>4.249E-2</v>
      </c>
      <c r="AZ18">
        <v>1.42E-3</v>
      </c>
      <c r="BA18" t="s">
        <v>442</v>
      </c>
      <c r="BB18">
        <v>2.061E-2</v>
      </c>
      <c r="BC18">
        <v>5.5999999999999995E-4</v>
      </c>
      <c r="BD18" t="s">
        <v>442</v>
      </c>
      <c r="BE18">
        <v>3.0799999999999998E-3</v>
      </c>
      <c r="BF18">
        <v>5.1000000000000004E-4</v>
      </c>
      <c r="BG18" t="s">
        <v>442</v>
      </c>
      <c r="BH18">
        <v>6.0299999999999998E-3</v>
      </c>
      <c r="BI18">
        <v>6.8000000000000005E-4</v>
      </c>
      <c r="BJ18" t="s">
        <v>442</v>
      </c>
      <c r="BK18">
        <v>2.1299999999999999E-3</v>
      </c>
      <c r="BL18">
        <v>5.0000000000000002E-5</v>
      </c>
      <c r="BM18" t="s">
        <v>442</v>
      </c>
      <c r="BN18">
        <v>2.2399999999999998E-3</v>
      </c>
      <c r="BO18">
        <v>1.4999999999999999E-4</v>
      </c>
      <c r="BP18" t="s">
        <v>442</v>
      </c>
      <c r="BQ18">
        <v>0.46893000000000001</v>
      </c>
      <c r="BR18">
        <v>1.1480000000000001E-2</v>
      </c>
      <c r="BS18" t="s">
        <v>442</v>
      </c>
      <c r="BV18" t="s">
        <v>440</v>
      </c>
      <c r="BW18">
        <v>-2.0491199999999998</v>
      </c>
      <c r="BX18">
        <v>1.1E-4</v>
      </c>
      <c r="BY18" t="s">
        <v>439</v>
      </c>
      <c r="BZ18">
        <v>3.8899999999999998E-3</v>
      </c>
      <c r="CA18">
        <v>6.9999999999999994E-5</v>
      </c>
      <c r="CB18" t="s">
        <v>442</v>
      </c>
      <c r="CC18">
        <v>1.33517</v>
      </c>
      <c r="CD18">
        <v>2.1170000000000001E-2</v>
      </c>
      <c r="CE18" t="s">
        <v>442</v>
      </c>
      <c r="CF18">
        <v>1.3232900000000001</v>
      </c>
      <c r="CG18">
        <v>1.1050000000000001E-2</v>
      </c>
      <c r="CH18" t="s">
        <v>442</v>
      </c>
      <c r="CI18">
        <v>1.3573900000000001</v>
      </c>
      <c r="CJ18">
        <v>1.7559999999999999E-2</v>
      </c>
      <c r="CK18" t="s">
        <v>442</v>
      </c>
      <c r="CL18">
        <v>-2.3400000000000001E-3</v>
      </c>
      <c r="CM18">
        <v>2.9999999999999997E-4</v>
      </c>
      <c r="CN18" t="s">
        <v>439</v>
      </c>
      <c r="CO18">
        <v>30.339659999999999</v>
      </c>
      <c r="CP18">
        <v>0.88463999999999998</v>
      </c>
      <c r="CQ18" t="s">
        <v>442</v>
      </c>
      <c r="CR18">
        <v>49.523960000000002</v>
      </c>
      <c r="CS18">
        <v>2.04332</v>
      </c>
      <c r="CT18" t="s">
        <v>442</v>
      </c>
      <c r="CU18">
        <v>29.3858</v>
      </c>
      <c r="CV18">
        <v>1.5772900000000001</v>
      </c>
      <c r="CW18" t="s">
        <v>442</v>
      </c>
      <c r="CX18">
        <v>41.95111</v>
      </c>
      <c r="CY18">
        <v>1.8825000000000001</v>
      </c>
      <c r="CZ18" t="s">
        <v>442</v>
      </c>
      <c r="DA18">
        <v>7.7404900000000003</v>
      </c>
      <c r="DB18">
        <v>0.39015</v>
      </c>
      <c r="DC18" t="s">
        <v>442</v>
      </c>
      <c r="DD18">
        <v>59.65748</v>
      </c>
      <c r="DE18">
        <v>1.6929799999999999</v>
      </c>
      <c r="DF18" t="s">
        <v>442</v>
      </c>
      <c r="DG18">
        <v>181.96117000000001</v>
      </c>
      <c r="DH18">
        <v>7.2298600000000004</v>
      </c>
      <c r="DI18" t="s">
        <v>442</v>
      </c>
      <c r="DJ18">
        <v>0.73131999999999997</v>
      </c>
      <c r="DK18">
        <v>6.0350000000000001E-2</v>
      </c>
      <c r="DL18" t="s">
        <v>442</v>
      </c>
      <c r="DM18">
        <v>5.765E-2</v>
      </c>
      <c r="DN18">
        <v>1.82E-3</v>
      </c>
      <c r="DO18" t="s">
        <v>442</v>
      </c>
      <c r="DP18">
        <v>5.1164899999999998</v>
      </c>
      <c r="DQ18">
        <v>0.16191</v>
      </c>
      <c r="DR18" t="s">
        <v>442</v>
      </c>
      <c r="DS18">
        <v>1.90689</v>
      </c>
      <c r="DT18">
        <v>3.3669999999999999E-2</v>
      </c>
      <c r="DU18" t="s">
        <v>442</v>
      </c>
      <c r="DV18">
        <v>47.884830000000001</v>
      </c>
      <c r="DW18">
        <v>1.24949</v>
      </c>
      <c r="DX18" t="s">
        <v>442</v>
      </c>
      <c r="DY18">
        <v>0.13059999999999999</v>
      </c>
      <c r="DZ18">
        <v>1.0399999999999999E-3</v>
      </c>
      <c r="EA18" t="s">
        <v>442</v>
      </c>
      <c r="EB18">
        <v>2.5306500000000001</v>
      </c>
      <c r="EC18">
        <v>6.0139999999999999E-2</v>
      </c>
      <c r="ED18" t="s">
        <v>442</v>
      </c>
      <c r="EE18">
        <v>1.8701099999999999</v>
      </c>
      <c r="EF18">
        <v>3.6429999999999997E-2</v>
      </c>
      <c r="EG18" t="s">
        <v>442</v>
      </c>
      <c r="EH18">
        <v>10.90269</v>
      </c>
      <c r="EI18">
        <v>0.52431000000000005</v>
      </c>
      <c r="EJ18" t="s">
        <v>442</v>
      </c>
      <c r="EM18" t="s">
        <v>440</v>
      </c>
      <c r="EN18">
        <v>9.5089999999999994E-2</v>
      </c>
      <c r="EO18">
        <v>4.47E-3</v>
      </c>
      <c r="EP18" t="s">
        <v>442</v>
      </c>
      <c r="ES18" t="s">
        <v>440</v>
      </c>
      <c r="ET18">
        <v>47.986739999999998</v>
      </c>
      <c r="EU18">
        <v>0.95526999999999995</v>
      </c>
      <c r="EV18" t="s">
        <v>442</v>
      </c>
      <c r="EW18">
        <v>1.66E-3</v>
      </c>
      <c r="EX18">
        <v>1.82E-3</v>
      </c>
      <c r="EY18" t="s">
        <v>439</v>
      </c>
      <c r="EZ18">
        <v>1.9800000000000002E-2</v>
      </c>
      <c r="FA18">
        <v>5.5999999999999999E-3</v>
      </c>
      <c r="FB18" t="s">
        <v>439</v>
      </c>
      <c r="FC18">
        <v>8.9459999999999998E-2</v>
      </c>
      <c r="FD18">
        <v>4.9430000000000002E-2</v>
      </c>
      <c r="FE18" t="s">
        <v>439</v>
      </c>
      <c r="FF18">
        <v>1.2589999999999999</v>
      </c>
      <c r="FG18">
        <v>0.28786</v>
      </c>
      <c r="FH18" t="s">
        <v>441</v>
      </c>
      <c r="FK18" t="s">
        <v>440</v>
      </c>
      <c r="FN18" t="s">
        <v>440</v>
      </c>
      <c r="FO18">
        <v>0.11932</v>
      </c>
      <c r="FP18">
        <v>7.1300000000000001E-3</v>
      </c>
      <c r="FQ18" t="s">
        <v>441</v>
      </c>
      <c r="FT18" t="s">
        <v>440</v>
      </c>
      <c r="FX18">
        <v>17</v>
      </c>
    </row>
    <row r="19" spans="2:180" x14ac:dyDescent="0.2">
      <c r="B19" t="s">
        <v>85</v>
      </c>
      <c r="C19">
        <v>5.8389999999999997E-2</v>
      </c>
      <c r="D19">
        <v>1.3699999999999999E-3</v>
      </c>
      <c r="E19" t="s">
        <v>442</v>
      </c>
      <c r="F19">
        <v>1.6080000000000001E-2</v>
      </c>
      <c r="G19">
        <v>5.6999999999999998E-4</v>
      </c>
      <c r="H19" t="s">
        <v>439</v>
      </c>
      <c r="I19">
        <v>3.9640000000000002E-2</v>
      </c>
      <c r="J19">
        <v>8.4000000000000003E-4</v>
      </c>
      <c r="K19" t="s">
        <v>442</v>
      </c>
      <c r="L19">
        <v>5.5169999999999997E-2</v>
      </c>
      <c r="M19">
        <v>7.2000000000000005E-4</v>
      </c>
      <c r="N19" t="s">
        <v>442</v>
      </c>
      <c r="O19">
        <v>6.1500000000000001E-3</v>
      </c>
      <c r="P19">
        <v>6.0000000000000002E-5</v>
      </c>
      <c r="Q19" t="s">
        <v>442</v>
      </c>
      <c r="R19">
        <v>0.34079999999999999</v>
      </c>
      <c r="S19">
        <v>1.8500000000000001E-3</v>
      </c>
      <c r="T19" t="s">
        <v>442</v>
      </c>
      <c r="U19">
        <v>1.5299999999999999E-3</v>
      </c>
      <c r="V19">
        <v>3.0000000000000001E-5</v>
      </c>
      <c r="W19" t="s">
        <v>439</v>
      </c>
      <c r="X19">
        <v>1.7000000000000001E-2</v>
      </c>
      <c r="Y19">
        <v>8.4000000000000003E-4</v>
      </c>
      <c r="Z19" t="s">
        <v>439</v>
      </c>
      <c r="AA19">
        <v>8.4510000000000002E-2</v>
      </c>
      <c r="AB19">
        <v>1E-3</v>
      </c>
      <c r="AC19" t="s">
        <v>442</v>
      </c>
      <c r="AD19">
        <v>6.5799999999999999E-3</v>
      </c>
      <c r="AE19">
        <v>8.4999999999999995E-4</v>
      </c>
      <c r="AF19" t="s">
        <v>442</v>
      </c>
      <c r="AI19" t="s">
        <v>440</v>
      </c>
      <c r="AJ19">
        <v>0.10314</v>
      </c>
      <c r="AK19">
        <v>1.6299999999999999E-3</v>
      </c>
      <c r="AL19" t="s">
        <v>441</v>
      </c>
      <c r="AM19">
        <v>0.83603000000000005</v>
      </c>
      <c r="AN19">
        <v>1.4E-2</v>
      </c>
      <c r="AO19" t="s">
        <v>442</v>
      </c>
      <c r="AP19">
        <v>-8.6700000000000006E-3</v>
      </c>
      <c r="AQ19">
        <v>5.0000000000000002E-5</v>
      </c>
      <c r="AR19" t="s">
        <v>439</v>
      </c>
      <c r="AS19">
        <v>0.98051999999999995</v>
      </c>
      <c r="AT19">
        <v>2.35E-2</v>
      </c>
      <c r="AU19" t="s">
        <v>442</v>
      </c>
      <c r="AV19">
        <v>1.5200000000000001E-3</v>
      </c>
      <c r="AW19">
        <v>4.0000000000000003E-5</v>
      </c>
      <c r="AX19" t="s">
        <v>442</v>
      </c>
      <c r="AY19">
        <v>1.82E-3</v>
      </c>
      <c r="AZ19">
        <v>1.7000000000000001E-4</v>
      </c>
      <c r="BA19" t="s">
        <v>442</v>
      </c>
      <c r="BB19">
        <v>5.6299999999999996E-3</v>
      </c>
      <c r="BC19">
        <v>2.9999999999999997E-4</v>
      </c>
      <c r="BD19" t="s">
        <v>442</v>
      </c>
      <c r="BE19">
        <v>2.9999999999999997E-4</v>
      </c>
      <c r="BF19">
        <v>6.9999999999999994E-5</v>
      </c>
      <c r="BG19" t="s">
        <v>439</v>
      </c>
      <c r="BH19">
        <v>2.0500000000000002E-3</v>
      </c>
      <c r="BI19">
        <v>4.0999999999999999E-4</v>
      </c>
      <c r="BJ19" t="s">
        <v>442</v>
      </c>
      <c r="BK19">
        <v>1.64E-3</v>
      </c>
      <c r="BL19">
        <v>2.0000000000000002E-5</v>
      </c>
      <c r="BM19" t="s">
        <v>439</v>
      </c>
      <c r="BN19">
        <v>2.5000000000000001E-4</v>
      </c>
      <c r="BO19">
        <v>1.1E-4</v>
      </c>
      <c r="BP19" t="s">
        <v>439</v>
      </c>
      <c r="BQ19">
        <v>3.2079999999999997E-2</v>
      </c>
      <c r="BR19">
        <v>6.9999999999999999E-4</v>
      </c>
      <c r="BS19" t="s">
        <v>442</v>
      </c>
      <c r="BV19" t="s">
        <v>440</v>
      </c>
      <c r="BW19">
        <v>-2.0491199999999998</v>
      </c>
      <c r="BX19">
        <v>7.7999999999999999E-4</v>
      </c>
      <c r="BY19" t="s">
        <v>439</v>
      </c>
      <c r="BZ19">
        <v>3.2499999999999999E-3</v>
      </c>
      <c r="CA19">
        <v>5.0000000000000002E-5</v>
      </c>
      <c r="CB19" t="s">
        <v>439</v>
      </c>
      <c r="CC19">
        <v>1.61307</v>
      </c>
      <c r="CD19">
        <v>1.1939999999999999E-2</v>
      </c>
      <c r="CE19" t="s">
        <v>442</v>
      </c>
      <c r="CF19">
        <v>1.5608299999999999</v>
      </c>
      <c r="CG19">
        <v>3.4979999999999997E-2</v>
      </c>
      <c r="CH19" t="s">
        <v>442</v>
      </c>
      <c r="CI19">
        <v>1.6256999999999999</v>
      </c>
      <c r="CJ19">
        <v>2.2710000000000001E-2</v>
      </c>
      <c r="CK19" t="s">
        <v>442</v>
      </c>
      <c r="CL19">
        <v>1.54331</v>
      </c>
      <c r="CM19">
        <v>2.7720000000000002E-2</v>
      </c>
      <c r="CN19" t="s">
        <v>442</v>
      </c>
      <c r="CO19">
        <v>46.383949999999999</v>
      </c>
      <c r="CP19">
        <v>1.1407</v>
      </c>
      <c r="CQ19" t="s">
        <v>442</v>
      </c>
      <c r="CR19">
        <v>2.6676799999999998</v>
      </c>
      <c r="CS19">
        <v>9.3039999999999998E-2</v>
      </c>
      <c r="CT19" t="s">
        <v>442</v>
      </c>
      <c r="CU19">
        <v>21.04373</v>
      </c>
      <c r="CV19">
        <v>0.56491000000000002</v>
      </c>
      <c r="CW19" t="s">
        <v>442</v>
      </c>
      <c r="CX19">
        <v>6.5139300000000002</v>
      </c>
      <c r="CY19">
        <v>0.23683000000000001</v>
      </c>
      <c r="CZ19" t="s">
        <v>442</v>
      </c>
      <c r="DA19">
        <v>4.4964199999999996</v>
      </c>
      <c r="DB19">
        <v>0.21231</v>
      </c>
      <c r="DC19" t="s">
        <v>442</v>
      </c>
      <c r="DD19">
        <v>3.4750700000000001</v>
      </c>
      <c r="DE19">
        <v>0.19616</v>
      </c>
      <c r="DF19" t="s">
        <v>442</v>
      </c>
      <c r="DG19">
        <v>9.6872199999999999</v>
      </c>
      <c r="DH19">
        <v>0.35970999999999997</v>
      </c>
      <c r="DI19" t="s">
        <v>442</v>
      </c>
      <c r="DJ19">
        <v>5.0650000000000001E-2</v>
      </c>
      <c r="DK19">
        <v>1.8600000000000001E-3</v>
      </c>
      <c r="DL19" t="s">
        <v>442</v>
      </c>
      <c r="DM19">
        <v>3.1980000000000001E-2</v>
      </c>
      <c r="DN19">
        <v>1.1999999999999999E-3</v>
      </c>
      <c r="DO19" t="s">
        <v>442</v>
      </c>
      <c r="DP19">
        <v>13.729810000000001</v>
      </c>
      <c r="DQ19">
        <v>0.23963000000000001</v>
      </c>
      <c r="DR19" t="s">
        <v>442</v>
      </c>
      <c r="DS19">
        <v>4.0512899999999998</v>
      </c>
      <c r="DT19">
        <v>0.11212999999999999</v>
      </c>
      <c r="DU19" t="s">
        <v>442</v>
      </c>
      <c r="DV19">
        <v>43.355829999999997</v>
      </c>
      <c r="DW19">
        <v>1.1254599999999999</v>
      </c>
      <c r="DX19" t="s">
        <v>442</v>
      </c>
      <c r="DY19">
        <v>0.11688999999999999</v>
      </c>
      <c r="DZ19">
        <v>5.5999999999999999E-3</v>
      </c>
      <c r="EA19" t="s">
        <v>442</v>
      </c>
      <c r="EB19">
        <v>8.5364400000000007</v>
      </c>
      <c r="EC19">
        <v>0.22741</v>
      </c>
      <c r="ED19" t="s">
        <v>442</v>
      </c>
      <c r="EE19">
        <v>14.89171</v>
      </c>
      <c r="EF19">
        <v>0.28469</v>
      </c>
      <c r="EG19" t="s">
        <v>442</v>
      </c>
      <c r="EH19">
        <v>4.0781999999999998</v>
      </c>
      <c r="EI19">
        <v>4.8840000000000001E-2</v>
      </c>
      <c r="EJ19" t="s">
        <v>442</v>
      </c>
      <c r="EM19" t="s">
        <v>440</v>
      </c>
      <c r="EN19">
        <v>3.8960000000000002E-2</v>
      </c>
      <c r="EO19">
        <v>3.3899999999999998E-3</v>
      </c>
      <c r="EP19" t="s">
        <v>442</v>
      </c>
      <c r="ES19" t="s">
        <v>440</v>
      </c>
      <c r="ET19">
        <v>7.7384899999999996</v>
      </c>
      <c r="EU19">
        <v>0.33443000000000001</v>
      </c>
      <c r="EV19" t="s">
        <v>442</v>
      </c>
      <c r="EW19">
        <v>-1.07E-3</v>
      </c>
      <c r="EX19">
        <v>0</v>
      </c>
      <c r="EY19" t="s">
        <v>439</v>
      </c>
      <c r="EZ19">
        <v>-7.1999999999999998E-3</v>
      </c>
      <c r="FA19">
        <v>6.1700000000000001E-3</v>
      </c>
      <c r="FB19" t="s">
        <v>439</v>
      </c>
      <c r="FC19">
        <v>2.555E-2</v>
      </c>
      <c r="FD19">
        <v>7.714E-2</v>
      </c>
      <c r="FE19" t="s">
        <v>439</v>
      </c>
      <c r="FF19">
        <v>1.0621799999999999</v>
      </c>
      <c r="FG19">
        <v>0.17674999999999999</v>
      </c>
      <c r="FH19" t="s">
        <v>441</v>
      </c>
      <c r="FK19" t="s">
        <v>440</v>
      </c>
      <c r="FN19" t="s">
        <v>440</v>
      </c>
      <c r="FO19">
        <v>6.132E-2</v>
      </c>
      <c r="FP19">
        <v>4.5399999999999998E-3</v>
      </c>
      <c r="FQ19" t="s">
        <v>441</v>
      </c>
      <c r="FT19" t="s">
        <v>440</v>
      </c>
      <c r="FU19">
        <v>2</v>
      </c>
      <c r="FX19">
        <v>18</v>
      </c>
    </row>
    <row r="20" spans="2:180" x14ac:dyDescent="0.2">
      <c r="B20" t="s">
        <v>86</v>
      </c>
      <c r="C20">
        <v>1.2566999999999999</v>
      </c>
      <c r="D20">
        <v>2.1319999999999999E-2</v>
      </c>
      <c r="E20" t="s">
        <v>443</v>
      </c>
      <c r="F20">
        <v>1.27339</v>
      </c>
      <c r="G20">
        <v>1.7469999999999999E-2</v>
      </c>
      <c r="H20" t="s">
        <v>443</v>
      </c>
      <c r="I20">
        <v>1.2153700000000001</v>
      </c>
      <c r="J20">
        <v>2.8469999999999999E-2</v>
      </c>
      <c r="K20" t="s">
        <v>443</v>
      </c>
      <c r="L20">
        <v>1.25654</v>
      </c>
      <c r="M20">
        <v>2.664E-2</v>
      </c>
      <c r="N20" t="s">
        <v>443</v>
      </c>
      <c r="O20">
        <v>1.2309699999999999</v>
      </c>
      <c r="P20">
        <v>4.0509999999999997E-2</v>
      </c>
      <c r="Q20" t="s">
        <v>443</v>
      </c>
      <c r="R20">
        <v>1.19608</v>
      </c>
      <c r="S20">
        <v>3.0710000000000001E-2</v>
      </c>
      <c r="T20" t="s">
        <v>443</v>
      </c>
      <c r="U20">
        <v>1.2283500000000001</v>
      </c>
      <c r="V20">
        <v>3.117E-2</v>
      </c>
      <c r="W20" t="s">
        <v>443</v>
      </c>
      <c r="X20">
        <v>1.19468</v>
      </c>
      <c r="Y20">
        <v>9.4599999999999997E-3</v>
      </c>
      <c r="Z20" t="s">
        <v>443</v>
      </c>
      <c r="AA20">
        <v>1.21269</v>
      </c>
      <c r="AB20">
        <v>2.3650000000000001E-2</v>
      </c>
      <c r="AC20" t="s">
        <v>443</v>
      </c>
      <c r="AD20">
        <v>1.2165999999999999</v>
      </c>
      <c r="AE20">
        <v>2.0709999999999999E-2</v>
      </c>
      <c r="AF20" t="s">
        <v>443</v>
      </c>
      <c r="AI20" t="s">
        <v>440</v>
      </c>
      <c r="AJ20">
        <v>1.1749000000000001</v>
      </c>
      <c r="AK20">
        <v>3.3180000000000001E-2</v>
      </c>
      <c r="AL20" t="s">
        <v>444</v>
      </c>
      <c r="AM20">
        <v>1.19726</v>
      </c>
      <c r="AN20">
        <v>1.9040000000000001E-2</v>
      </c>
      <c r="AO20" t="s">
        <v>443</v>
      </c>
      <c r="AP20">
        <v>1.2436</v>
      </c>
      <c r="AQ20">
        <v>1.9050000000000001E-2</v>
      </c>
      <c r="AR20" t="s">
        <v>443</v>
      </c>
      <c r="AS20">
        <v>4.2267599999999996</v>
      </c>
      <c r="AT20">
        <v>7.8880000000000006E-2</v>
      </c>
      <c r="AU20" t="s">
        <v>443</v>
      </c>
      <c r="AV20">
        <v>1.2263999999999999</v>
      </c>
      <c r="AW20">
        <v>2.8920000000000001E-2</v>
      </c>
      <c r="AX20" t="s">
        <v>443</v>
      </c>
      <c r="AY20">
        <v>1.2315799999999999</v>
      </c>
      <c r="AZ20">
        <v>2.4830000000000001E-2</v>
      </c>
      <c r="BA20" t="s">
        <v>443</v>
      </c>
      <c r="BB20">
        <v>1.2448699999999999</v>
      </c>
      <c r="BC20">
        <v>2.1010000000000001E-2</v>
      </c>
      <c r="BD20" t="s">
        <v>443</v>
      </c>
      <c r="BE20">
        <v>1.2531099999999999</v>
      </c>
      <c r="BF20">
        <v>1.6990000000000002E-2</v>
      </c>
      <c r="BG20" t="s">
        <v>443</v>
      </c>
      <c r="BH20">
        <v>1.25116</v>
      </c>
      <c r="BI20">
        <v>4.0370000000000003E-2</v>
      </c>
      <c r="BJ20" t="s">
        <v>443</v>
      </c>
      <c r="BK20">
        <v>1.28759</v>
      </c>
      <c r="BL20">
        <v>7.9000000000000001E-4</v>
      </c>
      <c r="BM20" t="s">
        <v>443</v>
      </c>
      <c r="BN20">
        <v>1.2740100000000001</v>
      </c>
      <c r="BO20">
        <v>1.413E-2</v>
      </c>
      <c r="BP20" t="s">
        <v>443</v>
      </c>
      <c r="BQ20">
        <v>1.28881</v>
      </c>
      <c r="BR20">
        <v>1.264E-2</v>
      </c>
      <c r="BS20" t="s">
        <v>443</v>
      </c>
      <c r="BV20" t="s">
        <v>440</v>
      </c>
      <c r="BW20">
        <v>-1.1224799999999999</v>
      </c>
      <c r="BX20">
        <v>2.1999999999999999E-2</v>
      </c>
      <c r="BY20" t="s">
        <v>445</v>
      </c>
      <c r="BZ20">
        <v>1.2435700000000001</v>
      </c>
      <c r="CA20">
        <v>4.2909999999999997E-2</v>
      </c>
      <c r="CB20" t="s">
        <v>443</v>
      </c>
      <c r="CC20">
        <v>1.2110099999999999</v>
      </c>
      <c r="CD20">
        <v>2.3189999999999999E-2</v>
      </c>
      <c r="CE20" t="s">
        <v>443</v>
      </c>
      <c r="CF20">
        <v>1.18855</v>
      </c>
      <c r="CG20">
        <v>1.7909999999999999E-2</v>
      </c>
      <c r="CH20" t="s">
        <v>443</v>
      </c>
      <c r="CI20">
        <v>1.21739</v>
      </c>
      <c r="CJ20">
        <v>2.3009999999999999E-2</v>
      </c>
      <c r="CK20" t="s">
        <v>443</v>
      </c>
      <c r="CL20">
        <v>1.3162</v>
      </c>
      <c r="CM20">
        <v>2.843E-2</v>
      </c>
      <c r="CN20" t="s">
        <v>443</v>
      </c>
      <c r="CO20">
        <v>8.0341000000000005</v>
      </c>
      <c r="CP20">
        <v>8.6550000000000002E-2</v>
      </c>
      <c r="CQ20" t="s">
        <v>443</v>
      </c>
      <c r="CR20">
        <v>8.4353300000000004</v>
      </c>
      <c r="CS20">
        <v>0.11051999999999999</v>
      </c>
      <c r="CT20" t="s">
        <v>443</v>
      </c>
      <c r="CU20">
        <v>4.1105900000000002</v>
      </c>
      <c r="CV20">
        <v>8.6449999999999999E-2</v>
      </c>
      <c r="CW20" t="s">
        <v>443</v>
      </c>
      <c r="CX20">
        <v>8.6080199999999998</v>
      </c>
      <c r="CY20">
        <v>0.35328999999999999</v>
      </c>
      <c r="CZ20" t="s">
        <v>443</v>
      </c>
      <c r="DA20">
        <v>1.25485</v>
      </c>
      <c r="DB20">
        <v>3.0159999999999999E-2</v>
      </c>
      <c r="DC20" t="s">
        <v>443</v>
      </c>
      <c r="DD20">
        <v>23.14209</v>
      </c>
      <c r="DE20">
        <v>0.39900999999999998</v>
      </c>
      <c r="DF20" t="s">
        <v>443</v>
      </c>
      <c r="DG20">
        <v>9.4242899999999992</v>
      </c>
      <c r="DH20">
        <v>0.32034000000000001</v>
      </c>
      <c r="DI20" t="s">
        <v>443</v>
      </c>
      <c r="DJ20">
        <v>1.2070700000000001</v>
      </c>
      <c r="DK20">
        <v>2.3470000000000001E-2</v>
      </c>
      <c r="DL20" t="s">
        <v>443</v>
      </c>
      <c r="DM20">
        <v>1.1747700000000001</v>
      </c>
      <c r="DN20">
        <v>2.5409999999999999E-2</v>
      </c>
      <c r="DO20" t="s">
        <v>443</v>
      </c>
      <c r="DP20">
        <v>1.1809700000000001</v>
      </c>
      <c r="DQ20">
        <v>3.5150000000000001E-2</v>
      </c>
      <c r="DR20" t="s">
        <v>443</v>
      </c>
      <c r="DS20">
        <v>1.15418</v>
      </c>
      <c r="DT20">
        <v>2.69E-2</v>
      </c>
      <c r="DU20" t="s">
        <v>443</v>
      </c>
      <c r="DV20">
        <v>3.8012899999999998</v>
      </c>
      <c r="DW20">
        <v>0.15306</v>
      </c>
      <c r="DX20" t="s">
        <v>443</v>
      </c>
      <c r="DY20">
        <v>1.1748499999999999</v>
      </c>
      <c r="DZ20">
        <v>2.7529999999999999E-2</v>
      </c>
      <c r="EA20" t="s">
        <v>443</v>
      </c>
      <c r="EB20">
        <v>1.1044799999999999</v>
      </c>
      <c r="EC20">
        <v>2.4559999999999998E-2</v>
      </c>
      <c r="ED20" t="s">
        <v>443</v>
      </c>
      <c r="EE20">
        <v>1.21068</v>
      </c>
      <c r="EF20">
        <v>1.619E-2</v>
      </c>
      <c r="EG20" t="s">
        <v>443</v>
      </c>
      <c r="EH20">
        <v>4.3614600000000001</v>
      </c>
      <c r="EI20">
        <v>0.12827</v>
      </c>
      <c r="EJ20" t="s">
        <v>443</v>
      </c>
      <c r="EM20" t="s">
        <v>440</v>
      </c>
      <c r="EN20">
        <v>1.19472</v>
      </c>
      <c r="EO20">
        <v>2.716E-2</v>
      </c>
      <c r="EP20" t="s">
        <v>443</v>
      </c>
      <c r="ES20" t="s">
        <v>440</v>
      </c>
      <c r="ET20">
        <v>9.2152200000000004</v>
      </c>
      <c r="EU20">
        <v>0.27629999999999999</v>
      </c>
      <c r="EV20" t="s">
        <v>443</v>
      </c>
      <c r="EW20">
        <v>1.4147000000000001</v>
      </c>
      <c r="EX20">
        <v>3.4450000000000001E-2</v>
      </c>
      <c r="EY20" t="s">
        <v>443</v>
      </c>
      <c r="EZ20">
        <v>1.22607</v>
      </c>
      <c r="FA20">
        <v>3.1620000000000002E-2</v>
      </c>
      <c r="FB20" t="s">
        <v>443</v>
      </c>
      <c r="FC20">
        <v>1.23448</v>
      </c>
      <c r="FD20">
        <v>0.10213</v>
      </c>
      <c r="FE20" t="s">
        <v>445</v>
      </c>
      <c r="FF20">
        <v>1.48647</v>
      </c>
      <c r="FG20">
        <v>5.0099999999999999E-2</v>
      </c>
      <c r="FH20" t="s">
        <v>444</v>
      </c>
      <c r="FK20" t="s">
        <v>440</v>
      </c>
      <c r="FN20" t="s">
        <v>440</v>
      </c>
      <c r="FO20">
        <v>1.22855</v>
      </c>
      <c r="FP20">
        <v>4.2130000000000001E-2</v>
      </c>
      <c r="FQ20" t="s">
        <v>444</v>
      </c>
      <c r="FT20" t="s">
        <v>440</v>
      </c>
      <c r="FU20">
        <v>1</v>
      </c>
      <c r="FX20">
        <v>19</v>
      </c>
    </row>
    <row r="21" spans="2:180" x14ac:dyDescent="0.2">
      <c r="B21" t="s">
        <v>87</v>
      </c>
      <c r="C21">
        <v>5.0290000000000001E-2</v>
      </c>
      <c r="D21">
        <v>3.31E-3</v>
      </c>
      <c r="E21" t="s">
        <v>439</v>
      </c>
      <c r="F21">
        <v>1.141E-2</v>
      </c>
      <c r="G21">
        <v>3.9300000000000003E-3</v>
      </c>
      <c r="H21" t="s">
        <v>439</v>
      </c>
      <c r="I21">
        <v>8.6899999999999998E-3</v>
      </c>
      <c r="J21">
        <v>3.0000000000000001E-5</v>
      </c>
      <c r="K21" t="s">
        <v>439</v>
      </c>
      <c r="L21">
        <v>8.2100000000000003E-3</v>
      </c>
      <c r="M21">
        <v>8.4000000000000003E-4</v>
      </c>
      <c r="N21" t="s">
        <v>439</v>
      </c>
      <c r="O21">
        <v>3.0599999999999998E-3</v>
      </c>
      <c r="P21">
        <v>2.0000000000000002E-5</v>
      </c>
      <c r="Q21" t="s">
        <v>439</v>
      </c>
      <c r="R21">
        <v>2.657E-2</v>
      </c>
      <c r="S21">
        <v>5.9000000000000003E-4</v>
      </c>
      <c r="T21" t="s">
        <v>439</v>
      </c>
      <c r="U21">
        <v>1.15E-3</v>
      </c>
      <c r="V21">
        <v>9.0000000000000006E-5</v>
      </c>
      <c r="W21" t="s">
        <v>439</v>
      </c>
      <c r="X21">
        <v>1.354E-2</v>
      </c>
      <c r="Y21">
        <v>4.2999999999999999E-4</v>
      </c>
      <c r="Z21" t="s">
        <v>439</v>
      </c>
      <c r="AA21">
        <v>6.7099999999999998E-3</v>
      </c>
      <c r="AB21">
        <v>6.9999999999999994E-5</v>
      </c>
      <c r="AC21" t="s">
        <v>439</v>
      </c>
      <c r="AD21">
        <v>8.8999999999999995E-4</v>
      </c>
      <c r="AE21">
        <v>2.9E-4</v>
      </c>
      <c r="AF21" t="s">
        <v>439</v>
      </c>
      <c r="AI21" t="s">
        <v>440</v>
      </c>
      <c r="AJ21">
        <v>4.3740000000000001E-2</v>
      </c>
      <c r="AK21">
        <v>3.3E-4</v>
      </c>
      <c r="AL21" t="s">
        <v>441</v>
      </c>
      <c r="AM21">
        <v>4.3700000000000003E-2</v>
      </c>
      <c r="AN21">
        <v>2.7E-4</v>
      </c>
      <c r="AO21" t="s">
        <v>439</v>
      </c>
      <c r="AP21">
        <v>-1.206E-2</v>
      </c>
      <c r="AQ21">
        <v>1E-4</v>
      </c>
      <c r="AR21" t="s">
        <v>439</v>
      </c>
      <c r="AS21">
        <v>4.7100000000000003E-2</v>
      </c>
      <c r="AT21">
        <v>6.2E-4</v>
      </c>
      <c r="AU21" t="s">
        <v>439</v>
      </c>
      <c r="AV21">
        <v>-1.92E-3</v>
      </c>
      <c r="AW21">
        <v>1.0000000000000001E-5</v>
      </c>
      <c r="AX21" t="s">
        <v>439</v>
      </c>
      <c r="AY21">
        <v>-5.5799999999999999E-3</v>
      </c>
      <c r="AZ21">
        <v>2.0000000000000002E-5</v>
      </c>
      <c r="BA21" t="s">
        <v>439</v>
      </c>
      <c r="BB21">
        <v>1.89E-3</v>
      </c>
      <c r="BC21">
        <v>8.0000000000000007E-5</v>
      </c>
      <c r="BD21" t="s">
        <v>439</v>
      </c>
      <c r="BE21">
        <v>-5.0000000000000001E-4</v>
      </c>
      <c r="BF21">
        <v>1.2E-4</v>
      </c>
      <c r="BG21" t="s">
        <v>439</v>
      </c>
      <c r="BH21">
        <v>1.4E-3</v>
      </c>
      <c r="BI21">
        <v>3.8000000000000002E-4</v>
      </c>
      <c r="BJ21" t="s">
        <v>439</v>
      </c>
      <c r="BK21">
        <v>1.5299999999999999E-3</v>
      </c>
      <c r="BL21">
        <v>3.0000000000000001E-5</v>
      </c>
      <c r="BM21" t="s">
        <v>439</v>
      </c>
      <c r="BN21">
        <v>-4.4000000000000002E-4</v>
      </c>
      <c r="BO21">
        <v>1.2E-4</v>
      </c>
      <c r="BP21" t="s">
        <v>439</v>
      </c>
      <c r="BQ21">
        <v>-2.2200000000000002E-3</v>
      </c>
      <c r="BR21">
        <v>1.6000000000000001E-4</v>
      </c>
      <c r="BS21" t="s">
        <v>439</v>
      </c>
      <c r="BV21" t="s">
        <v>440</v>
      </c>
      <c r="BW21">
        <v>-2.04853</v>
      </c>
      <c r="BX21">
        <v>3.6999999999999999E-4</v>
      </c>
      <c r="BY21" t="s">
        <v>439</v>
      </c>
      <c r="BZ21">
        <v>3.2399999999999998E-3</v>
      </c>
      <c r="CA21">
        <v>8.0000000000000007E-5</v>
      </c>
      <c r="CB21" t="s">
        <v>439</v>
      </c>
      <c r="CC21">
        <v>-3.7470000000000003E-2</v>
      </c>
      <c r="CD21">
        <v>5.0000000000000002E-5</v>
      </c>
      <c r="CE21" t="s">
        <v>439</v>
      </c>
      <c r="CF21">
        <v>-1.3990000000000001E-2</v>
      </c>
      <c r="CG21">
        <v>2.5000000000000001E-4</v>
      </c>
      <c r="CH21" t="s">
        <v>439</v>
      </c>
      <c r="CI21">
        <v>-4.6379999999999998E-2</v>
      </c>
      <c r="CJ21">
        <v>6.9999999999999994E-5</v>
      </c>
      <c r="CK21" t="s">
        <v>439</v>
      </c>
      <c r="CL21">
        <v>-9.0600000000000003E-3</v>
      </c>
      <c r="CM21">
        <v>8.0000000000000007E-5</v>
      </c>
      <c r="CN21" t="s">
        <v>439</v>
      </c>
      <c r="CO21">
        <v>-0.23283000000000001</v>
      </c>
      <c r="CP21">
        <v>2.1610000000000001E-2</v>
      </c>
      <c r="CQ21" t="s">
        <v>439</v>
      </c>
      <c r="CR21">
        <v>9.0469999999999995E-2</v>
      </c>
      <c r="CS21">
        <v>1.2460000000000001E-2</v>
      </c>
      <c r="CT21" t="s">
        <v>439</v>
      </c>
      <c r="CU21">
        <v>-8.4419999999999995E-2</v>
      </c>
      <c r="CV21">
        <v>5.8610000000000002E-2</v>
      </c>
      <c r="CW21" t="s">
        <v>439</v>
      </c>
      <c r="CX21">
        <v>0.68484999999999996</v>
      </c>
      <c r="CY21">
        <v>0.19603999999999999</v>
      </c>
      <c r="CZ21" t="s">
        <v>442</v>
      </c>
      <c r="DA21">
        <v>-0.05</v>
      </c>
      <c r="DB21">
        <v>1.8579999999999999E-2</v>
      </c>
      <c r="DC21" t="s">
        <v>439</v>
      </c>
      <c r="DD21">
        <v>-0.13116</v>
      </c>
      <c r="DE21">
        <v>4.9209999999999997E-2</v>
      </c>
      <c r="DF21" t="s">
        <v>439</v>
      </c>
      <c r="DG21">
        <v>1.5482199999999999</v>
      </c>
      <c r="DH21">
        <v>0.12391000000000001</v>
      </c>
      <c r="DI21" t="s">
        <v>439</v>
      </c>
      <c r="DJ21">
        <v>-9.9500000000000005E-3</v>
      </c>
      <c r="DK21">
        <v>3.3999999999999998E-3</v>
      </c>
      <c r="DL21" t="s">
        <v>439</v>
      </c>
      <c r="DM21">
        <v>2.2499999999999998E-3</v>
      </c>
      <c r="DN21">
        <v>8.4999999999999995E-4</v>
      </c>
      <c r="DO21" t="s">
        <v>439</v>
      </c>
      <c r="DP21">
        <v>-7.1999999999999998E-3</v>
      </c>
      <c r="DQ21">
        <v>8.1999999999999998E-4</v>
      </c>
      <c r="DR21" t="s">
        <v>439</v>
      </c>
      <c r="DS21">
        <v>-2.6120000000000001E-2</v>
      </c>
      <c r="DT21">
        <v>4.2999999999999999E-4</v>
      </c>
      <c r="DU21" t="s">
        <v>439</v>
      </c>
      <c r="DV21">
        <v>-0.29037000000000002</v>
      </c>
      <c r="DW21">
        <v>1E-4</v>
      </c>
      <c r="DX21" t="s">
        <v>439</v>
      </c>
      <c r="DY21">
        <v>-6.0600000000000003E-3</v>
      </c>
      <c r="DZ21">
        <v>2.5999999999999998E-4</v>
      </c>
      <c r="EA21" t="s">
        <v>439</v>
      </c>
      <c r="EB21">
        <v>2.0590000000000001E-2</v>
      </c>
      <c r="EC21">
        <v>2.32E-3</v>
      </c>
      <c r="ED21" t="s">
        <v>439</v>
      </c>
      <c r="EE21">
        <v>-1.677E-2</v>
      </c>
      <c r="EF21">
        <v>6.2E-4</v>
      </c>
      <c r="EG21" t="s">
        <v>439</v>
      </c>
      <c r="EH21">
        <v>-5.6710000000000003E-2</v>
      </c>
      <c r="EI21">
        <v>5.1200000000000004E-3</v>
      </c>
      <c r="EJ21" t="s">
        <v>439</v>
      </c>
      <c r="EM21" t="s">
        <v>440</v>
      </c>
      <c r="EN21">
        <v>-2.281E-2</v>
      </c>
      <c r="EO21">
        <v>2E-3</v>
      </c>
      <c r="EP21" t="s">
        <v>439</v>
      </c>
      <c r="ES21" t="s">
        <v>440</v>
      </c>
      <c r="ET21">
        <v>0.33579999999999999</v>
      </c>
      <c r="EU21">
        <v>7.8300000000000002E-3</v>
      </c>
      <c r="EV21" t="s">
        <v>439</v>
      </c>
      <c r="EW21">
        <v>-8.4000000000000003E-4</v>
      </c>
      <c r="EX21">
        <v>4.0000000000000002E-4</v>
      </c>
      <c r="EY21" t="s">
        <v>439</v>
      </c>
      <c r="EZ21">
        <v>-1.176E-2</v>
      </c>
      <c r="FA21">
        <v>2.6700000000000001E-3</v>
      </c>
      <c r="FB21" t="s">
        <v>439</v>
      </c>
      <c r="FC21">
        <v>0.18043999999999999</v>
      </c>
      <c r="FD21">
        <v>4.6600000000000003E-2</v>
      </c>
      <c r="FE21" t="s">
        <v>439</v>
      </c>
      <c r="FF21">
        <v>1.78976</v>
      </c>
      <c r="FG21">
        <v>0.33994999999999997</v>
      </c>
      <c r="FH21" t="s">
        <v>441</v>
      </c>
      <c r="FK21" t="s">
        <v>440</v>
      </c>
      <c r="FN21" t="s">
        <v>440</v>
      </c>
      <c r="FO21">
        <v>-5.3499999999999997E-3</v>
      </c>
      <c r="FP21">
        <v>1.1199999999999999E-3</v>
      </c>
      <c r="FQ21" t="s">
        <v>441</v>
      </c>
      <c r="FT21" t="s">
        <v>440</v>
      </c>
      <c r="FX21">
        <v>20</v>
      </c>
    </row>
    <row r="22" spans="2:180" x14ac:dyDescent="0.2">
      <c r="B22" t="s">
        <v>88</v>
      </c>
      <c r="C22">
        <v>5.2979999999999999E-2</v>
      </c>
      <c r="D22">
        <v>4.96E-3</v>
      </c>
      <c r="E22" t="s">
        <v>439</v>
      </c>
      <c r="F22">
        <v>1.66E-2</v>
      </c>
      <c r="G22">
        <v>1.66E-3</v>
      </c>
      <c r="H22" t="s">
        <v>439</v>
      </c>
      <c r="I22">
        <v>2.0619999999999999E-2</v>
      </c>
      <c r="J22">
        <v>7.1000000000000002E-4</v>
      </c>
      <c r="K22" t="s">
        <v>439</v>
      </c>
      <c r="L22">
        <v>4.7059999999999998E-2</v>
      </c>
      <c r="M22">
        <v>1.1000000000000001E-3</v>
      </c>
      <c r="N22" t="s">
        <v>442</v>
      </c>
      <c r="O22">
        <v>4.8300000000000001E-3</v>
      </c>
      <c r="P22">
        <v>9.0000000000000006E-5</v>
      </c>
      <c r="Q22" t="s">
        <v>442</v>
      </c>
      <c r="R22">
        <v>0.29204999999999998</v>
      </c>
      <c r="S22">
        <v>3.8899999999999998E-3</v>
      </c>
      <c r="T22" t="s">
        <v>442</v>
      </c>
      <c r="U22">
        <v>1.3799999999999999E-3</v>
      </c>
      <c r="V22">
        <v>1.2999999999999999E-4</v>
      </c>
      <c r="W22" t="s">
        <v>439</v>
      </c>
      <c r="X22">
        <v>1.5440000000000001E-2</v>
      </c>
      <c r="Y22">
        <v>6.2E-4</v>
      </c>
      <c r="Z22" t="s">
        <v>439</v>
      </c>
      <c r="AA22">
        <v>3.884E-2</v>
      </c>
      <c r="AB22">
        <v>6.0999999999999997E-4</v>
      </c>
      <c r="AC22" t="s">
        <v>442</v>
      </c>
      <c r="AD22">
        <v>6.77E-3</v>
      </c>
      <c r="AE22">
        <v>3.1E-4</v>
      </c>
      <c r="AF22" t="s">
        <v>442</v>
      </c>
      <c r="AI22" t="s">
        <v>440</v>
      </c>
      <c r="AJ22">
        <v>9.1130000000000003E-2</v>
      </c>
      <c r="AK22">
        <v>1.2899999999999999E-3</v>
      </c>
      <c r="AL22" t="s">
        <v>441</v>
      </c>
      <c r="AM22">
        <v>0.36774000000000001</v>
      </c>
      <c r="AN22">
        <v>8.1099999999999992E-3</v>
      </c>
      <c r="AO22" t="s">
        <v>442</v>
      </c>
      <c r="AP22">
        <v>-1.0290000000000001E-2</v>
      </c>
      <c r="AQ22">
        <v>1.8000000000000001E-4</v>
      </c>
      <c r="AR22" t="s">
        <v>439</v>
      </c>
      <c r="AS22">
        <v>0.53883000000000003</v>
      </c>
      <c r="AT22">
        <v>5.5799999999999999E-3</v>
      </c>
      <c r="AU22" t="s">
        <v>442</v>
      </c>
      <c r="AV22">
        <v>7.2999999999999996E-4</v>
      </c>
      <c r="AW22">
        <v>2.0000000000000002E-5</v>
      </c>
      <c r="AX22" t="s">
        <v>439</v>
      </c>
      <c r="AY22">
        <v>-1.0300000000000001E-3</v>
      </c>
      <c r="AZ22">
        <v>5.0000000000000002E-5</v>
      </c>
      <c r="BA22" t="s">
        <v>439</v>
      </c>
      <c r="BB22">
        <v>5.3200000000000001E-3</v>
      </c>
      <c r="BC22">
        <v>6.0999999999999997E-4</v>
      </c>
      <c r="BD22" t="s">
        <v>442</v>
      </c>
      <c r="BE22">
        <v>2.1000000000000001E-4</v>
      </c>
      <c r="BF22">
        <v>1.0000000000000001E-5</v>
      </c>
      <c r="BG22" t="s">
        <v>439</v>
      </c>
      <c r="BH22">
        <v>1.8699999999999999E-3</v>
      </c>
      <c r="BI22">
        <v>4.4000000000000002E-4</v>
      </c>
      <c r="BJ22" t="s">
        <v>442</v>
      </c>
      <c r="BK22">
        <v>1.8E-3</v>
      </c>
      <c r="BL22">
        <v>4.0000000000000003E-5</v>
      </c>
      <c r="BM22" t="s">
        <v>442</v>
      </c>
      <c r="BN22">
        <v>5.9000000000000003E-4</v>
      </c>
      <c r="BO22">
        <v>1.1E-4</v>
      </c>
      <c r="BP22" t="s">
        <v>439</v>
      </c>
      <c r="BQ22">
        <v>2.495E-2</v>
      </c>
      <c r="BR22">
        <v>7.7999999999999999E-4</v>
      </c>
      <c r="BS22" t="s">
        <v>442</v>
      </c>
      <c r="BV22" t="s">
        <v>440</v>
      </c>
      <c r="BW22">
        <v>-2.0490699999999999</v>
      </c>
      <c r="BX22">
        <v>1.6000000000000001E-4</v>
      </c>
      <c r="BY22" t="s">
        <v>439</v>
      </c>
      <c r="BZ22">
        <v>3.6099999999999999E-3</v>
      </c>
      <c r="CA22">
        <v>1.2E-4</v>
      </c>
      <c r="CB22" t="s">
        <v>439</v>
      </c>
      <c r="CC22">
        <v>0.74741999999999997</v>
      </c>
      <c r="CD22">
        <v>9.3699999999999999E-3</v>
      </c>
      <c r="CE22" t="s">
        <v>442</v>
      </c>
      <c r="CF22">
        <v>0.74626000000000003</v>
      </c>
      <c r="CG22">
        <v>4.0699999999999998E-3</v>
      </c>
      <c r="CH22" t="s">
        <v>442</v>
      </c>
      <c r="CI22">
        <v>0.74592999999999998</v>
      </c>
      <c r="CJ22">
        <v>4.3400000000000001E-3</v>
      </c>
      <c r="CK22" t="s">
        <v>442</v>
      </c>
      <c r="CL22">
        <v>0.60780999999999996</v>
      </c>
      <c r="CM22">
        <v>8.5299999999999994E-3</v>
      </c>
      <c r="CN22" t="s">
        <v>442</v>
      </c>
      <c r="CO22">
        <v>20.01709</v>
      </c>
      <c r="CP22">
        <v>0.44535999999999998</v>
      </c>
      <c r="CQ22" t="s">
        <v>442</v>
      </c>
      <c r="CR22">
        <v>2.63042</v>
      </c>
      <c r="CS22">
        <v>8.2299999999999998E-2</v>
      </c>
      <c r="CT22" t="s">
        <v>442</v>
      </c>
      <c r="CU22">
        <v>7.3751600000000002</v>
      </c>
      <c r="CV22">
        <v>0.20563999999999999</v>
      </c>
      <c r="CW22" t="s">
        <v>442</v>
      </c>
      <c r="CX22">
        <v>5.4411100000000001</v>
      </c>
      <c r="CY22">
        <v>0.78788999999999998</v>
      </c>
      <c r="CZ22" t="s">
        <v>442</v>
      </c>
      <c r="DA22">
        <v>4.5021699999999996</v>
      </c>
      <c r="DB22">
        <v>8.498E-2</v>
      </c>
      <c r="DC22" t="s">
        <v>442</v>
      </c>
      <c r="DD22">
        <v>5.4616600000000002</v>
      </c>
      <c r="DE22">
        <v>0.34544999999999998</v>
      </c>
      <c r="DF22" t="s">
        <v>442</v>
      </c>
      <c r="DG22">
        <v>12.11181</v>
      </c>
      <c r="DH22">
        <v>0.25958999999999999</v>
      </c>
      <c r="DI22" t="s">
        <v>442</v>
      </c>
      <c r="DJ22">
        <v>3.9750000000000001E-2</v>
      </c>
      <c r="DK22">
        <v>7.0499999999999998E-3</v>
      </c>
      <c r="DL22" t="s">
        <v>442</v>
      </c>
      <c r="DM22">
        <v>2.529E-2</v>
      </c>
      <c r="DN22">
        <v>2.1099999999999999E-3</v>
      </c>
      <c r="DO22" t="s">
        <v>442</v>
      </c>
      <c r="DP22">
        <v>10.9976</v>
      </c>
      <c r="DQ22">
        <v>0.25344</v>
      </c>
      <c r="DR22" t="s">
        <v>442</v>
      </c>
      <c r="DS22">
        <v>3.4720900000000001</v>
      </c>
      <c r="DT22">
        <v>9.6890000000000004E-2</v>
      </c>
      <c r="DU22" t="s">
        <v>442</v>
      </c>
      <c r="DV22">
        <v>34.863549999999996</v>
      </c>
      <c r="DW22">
        <v>0.48363</v>
      </c>
      <c r="DX22" t="s">
        <v>442</v>
      </c>
      <c r="DY22">
        <v>9.4969999999999999E-2</v>
      </c>
      <c r="DZ22">
        <v>5.6100000000000004E-3</v>
      </c>
      <c r="EA22" t="s">
        <v>442</v>
      </c>
      <c r="EB22">
        <v>5.7124199999999998</v>
      </c>
      <c r="EC22">
        <v>0.17246</v>
      </c>
      <c r="ED22" t="s">
        <v>442</v>
      </c>
      <c r="EE22">
        <v>5.7634499999999997</v>
      </c>
      <c r="EF22">
        <v>0.15926999999999999</v>
      </c>
      <c r="EG22" t="s">
        <v>442</v>
      </c>
      <c r="EH22">
        <v>4.8819800000000004</v>
      </c>
      <c r="EI22">
        <v>0.14058000000000001</v>
      </c>
      <c r="EJ22" t="s">
        <v>442</v>
      </c>
      <c r="EM22" t="s">
        <v>440</v>
      </c>
      <c r="EN22">
        <v>2.7369999999999998E-2</v>
      </c>
      <c r="EO22">
        <v>4.2199999999999998E-3</v>
      </c>
      <c r="EP22" t="s">
        <v>442</v>
      </c>
      <c r="ES22" t="s">
        <v>440</v>
      </c>
      <c r="ET22">
        <v>4.5497800000000002</v>
      </c>
      <c r="EU22">
        <v>0.10106999999999999</v>
      </c>
      <c r="EV22" t="s">
        <v>442</v>
      </c>
      <c r="EW22">
        <v>1.65E-3</v>
      </c>
      <c r="EX22">
        <v>2.47E-3</v>
      </c>
      <c r="EY22" t="s">
        <v>439</v>
      </c>
      <c r="EZ22">
        <v>-5.3099999999999996E-3</v>
      </c>
      <c r="FA22">
        <v>4.4900000000000001E-3</v>
      </c>
      <c r="FB22" t="s">
        <v>439</v>
      </c>
      <c r="FC22">
        <v>7.4359999999999996E-2</v>
      </c>
      <c r="FD22">
        <v>6.4689999999999998E-2</v>
      </c>
      <c r="FE22" t="s">
        <v>439</v>
      </c>
      <c r="FF22">
        <v>1.44747</v>
      </c>
      <c r="FG22">
        <v>8.5180000000000006E-2</v>
      </c>
      <c r="FH22" t="s">
        <v>441</v>
      </c>
      <c r="FK22" t="s">
        <v>440</v>
      </c>
      <c r="FN22" t="s">
        <v>440</v>
      </c>
      <c r="FO22">
        <v>4.7750000000000001E-2</v>
      </c>
      <c r="FP22">
        <v>3.9100000000000003E-3</v>
      </c>
      <c r="FQ22" t="s">
        <v>441</v>
      </c>
      <c r="FT22" t="s">
        <v>440</v>
      </c>
      <c r="FX22">
        <v>21</v>
      </c>
    </row>
    <row r="23" spans="2:180" x14ac:dyDescent="0.2">
      <c r="B23" t="s">
        <v>89</v>
      </c>
      <c r="C23">
        <v>5.0139999999999997E-2</v>
      </c>
      <c r="D23">
        <v>9.2300000000000004E-3</v>
      </c>
      <c r="E23" t="s">
        <v>439</v>
      </c>
      <c r="F23">
        <v>1.338E-2</v>
      </c>
      <c r="G23">
        <v>1.8400000000000001E-3</v>
      </c>
      <c r="H23" t="s">
        <v>439</v>
      </c>
      <c r="I23">
        <v>7.1300000000000001E-3</v>
      </c>
      <c r="J23">
        <v>1.9000000000000001E-4</v>
      </c>
      <c r="K23" t="s">
        <v>439</v>
      </c>
      <c r="L23">
        <v>6.8900000000000003E-3</v>
      </c>
      <c r="M23">
        <v>7.6000000000000004E-4</v>
      </c>
      <c r="N23" t="s">
        <v>439</v>
      </c>
      <c r="O23">
        <v>3.0599999999999998E-3</v>
      </c>
      <c r="P23">
        <v>1.0000000000000001E-5</v>
      </c>
      <c r="Q23" t="s">
        <v>439</v>
      </c>
      <c r="R23">
        <v>2.4420000000000001E-2</v>
      </c>
      <c r="S23">
        <v>2.1000000000000001E-4</v>
      </c>
      <c r="T23" t="s">
        <v>439</v>
      </c>
      <c r="U23">
        <v>1.1999999999999999E-3</v>
      </c>
      <c r="V23">
        <v>5.0000000000000002E-5</v>
      </c>
      <c r="W23" t="s">
        <v>439</v>
      </c>
      <c r="X23">
        <v>1.278E-2</v>
      </c>
      <c r="Y23">
        <v>6.6E-4</v>
      </c>
      <c r="Z23" t="s">
        <v>439</v>
      </c>
      <c r="AA23">
        <v>5.1599999999999997E-3</v>
      </c>
      <c r="AB23">
        <v>4.0000000000000003E-5</v>
      </c>
      <c r="AC23" t="s">
        <v>439</v>
      </c>
      <c r="AD23">
        <v>8.8999999999999995E-4</v>
      </c>
      <c r="AE23">
        <v>2.3000000000000001E-4</v>
      </c>
      <c r="AF23" t="s">
        <v>439</v>
      </c>
      <c r="AI23" t="s">
        <v>440</v>
      </c>
      <c r="AJ23">
        <v>4.3150000000000001E-2</v>
      </c>
      <c r="AK23">
        <v>2.4000000000000001E-4</v>
      </c>
      <c r="AL23" t="s">
        <v>441</v>
      </c>
      <c r="AM23">
        <v>4.369E-2</v>
      </c>
      <c r="AN23">
        <v>5.8E-4</v>
      </c>
      <c r="AO23" t="s">
        <v>439</v>
      </c>
      <c r="AP23">
        <v>-1.2789999999999999E-2</v>
      </c>
      <c r="AQ23">
        <v>9.0000000000000006E-5</v>
      </c>
      <c r="AR23" t="s">
        <v>439</v>
      </c>
      <c r="AS23">
        <v>4.6010000000000002E-2</v>
      </c>
      <c r="AT23">
        <v>7.9000000000000001E-4</v>
      </c>
      <c r="AU23" t="s">
        <v>439</v>
      </c>
      <c r="AV23">
        <v>-1.92E-3</v>
      </c>
      <c r="AW23">
        <v>1.0000000000000001E-5</v>
      </c>
      <c r="AX23" t="s">
        <v>439</v>
      </c>
      <c r="AY23">
        <v>-5.47E-3</v>
      </c>
      <c r="AZ23">
        <v>3.0000000000000001E-5</v>
      </c>
      <c r="BA23" t="s">
        <v>439</v>
      </c>
      <c r="BB23">
        <v>1.91E-3</v>
      </c>
      <c r="BC23">
        <v>8.0000000000000007E-5</v>
      </c>
      <c r="BD23" t="s">
        <v>439</v>
      </c>
      <c r="BE23">
        <v>-5.6999999999999998E-4</v>
      </c>
      <c r="BF23">
        <v>9.0000000000000006E-5</v>
      </c>
      <c r="BG23" t="s">
        <v>439</v>
      </c>
      <c r="BH23">
        <v>1.0300000000000001E-3</v>
      </c>
      <c r="BI23">
        <v>1.6000000000000001E-4</v>
      </c>
      <c r="BJ23" t="s">
        <v>439</v>
      </c>
      <c r="BK23">
        <v>1.47E-3</v>
      </c>
      <c r="BL23">
        <v>3.0000000000000001E-5</v>
      </c>
      <c r="BM23" t="s">
        <v>439</v>
      </c>
      <c r="BN23">
        <v>-4.2999999999999999E-4</v>
      </c>
      <c r="BO23">
        <v>8.0000000000000007E-5</v>
      </c>
      <c r="BP23" t="s">
        <v>439</v>
      </c>
      <c r="BQ23">
        <v>-3.9100000000000003E-3</v>
      </c>
      <c r="BR23">
        <v>4.0000000000000002E-4</v>
      </c>
      <c r="BS23" t="s">
        <v>439</v>
      </c>
      <c r="BV23" t="s">
        <v>440</v>
      </c>
      <c r="BW23">
        <v>-2.04867</v>
      </c>
      <c r="BX23">
        <v>6.0999999999999997E-4</v>
      </c>
      <c r="BY23" t="s">
        <v>439</v>
      </c>
      <c r="BZ23">
        <v>2.8E-3</v>
      </c>
      <c r="CA23">
        <v>6.9999999999999994E-5</v>
      </c>
      <c r="CB23" t="s">
        <v>439</v>
      </c>
      <c r="CC23">
        <v>-3.7519999999999998E-2</v>
      </c>
      <c r="CD23">
        <v>2.2000000000000001E-4</v>
      </c>
      <c r="CE23" t="s">
        <v>439</v>
      </c>
      <c r="CF23">
        <v>-1.418E-2</v>
      </c>
      <c r="CG23">
        <v>3.4000000000000002E-4</v>
      </c>
      <c r="CH23" t="s">
        <v>439</v>
      </c>
      <c r="CI23">
        <v>-4.6370000000000001E-2</v>
      </c>
      <c r="CJ23">
        <v>1.7000000000000001E-4</v>
      </c>
      <c r="CK23" t="s">
        <v>439</v>
      </c>
      <c r="CL23">
        <v>-8.94E-3</v>
      </c>
      <c r="CM23">
        <v>1.2999999999999999E-4</v>
      </c>
      <c r="CN23" t="s">
        <v>439</v>
      </c>
      <c r="CO23">
        <v>-0.17197000000000001</v>
      </c>
      <c r="CP23">
        <v>4.172E-2</v>
      </c>
      <c r="CQ23" t="s">
        <v>439</v>
      </c>
      <c r="CR23">
        <v>5.4899999999999997E-2</v>
      </c>
      <c r="CS23">
        <v>1.082E-2</v>
      </c>
      <c r="CT23" t="s">
        <v>439</v>
      </c>
      <c r="CU23">
        <v>0.45578000000000002</v>
      </c>
      <c r="CV23">
        <v>1.9130000000000001E-2</v>
      </c>
      <c r="CW23" t="s">
        <v>442</v>
      </c>
      <c r="CX23">
        <v>0.46786</v>
      </c>
      <c r="CY23">
        <v>0.77102000000000004</v>
      </c>
      <c r="CZ23" t="s">
        <v>442</v>
      </c>
      <c r="DA23">
        <v>4.6617699999999997</v>
      </c>
      <c r="DB23">
        <v>6.2990000000000004E-2</v>
      </c>
      <c r="DC23" t="s">
        <v>442</v>
      </c>
      <c r="DD23">
        <v>-0.10888</v>
      </c>
      <c r="DE23">
        <v>0.23779</v>
      </c>
      <c r="DF23" t="s">
        <v>439</v>
      </c>
      <c r="DG23">
        <v>1.52092</v>
      </c>
      <c r="DH23">
        <v>0.16958000000000001</v>
      </c>
      <c r="DI23" t="s">
        <v>439</v>
      </c>
      <c r="DJ23">
        <v>-3.1700000000000001E-3</v>
      </c>
      <c r="DK23">
        <v>1.4E-3</v>
      </c>
      <c r="DL23" t="s">
        <v>439</v>
      </c>
      <c r="DM23">
        <v>2.2599999999999999E-3</v>
      </c>
      <c r="DN23">
        <v>1.7000000000000001E-4</v>
      </c>
      <c r="DO23" t="s">
        <v>439</v>
      </c>
      <c r="DP23">
        <v>-6.8700000000000002E-3</v>
      </c>
      <c r="DQ23">
        <v>4.6999999999999999E-4</v>
      </c>
      <c r="DR23" t="s">
        <v>439</v>
      </c>
      <c r="DS23">
        <v>-2.6630000000000001E-2</v>
      </c>
      <c r="DT23">
        <v>8.0000000000000007E-5</v>
      </c>
      <c r="DU23" t="s">
        <v>439</v>
      </c>
      <c r="DV23">
        <v>-0.29448000000000002</v>
      </c>
      <c r="DW23">
        <v>4.6100000000000004E-3</v>
      </c>
      <c r="DX23" t="s">
        <v>439</v>
      </c>
      <c r="DY23">
        <v>-5.62E-3</v>
      </c>
      <c r="DZ23">
        <v>2.3000000000000001E-4</v>
      </c>
      <c r="EA23" t="s">
        <v>439</v>
      </c>
      <c r="EB23">
        <v>2.1160000000000002E-2</v>
      </c>
      <c r="EC23">
        <v>1.2800000000000001E-3</v>
      </c>
      <c r="ED23" t="s">
        <v>439</v>
      </c>
      <c r="EE23">
        <v>-6.8900000000000003E-3</v>
      </c>
      <c r="EF23">
        <v>1.4999999999999999E-4</v>
      </c>
      <c r="EG23" t="s">
        <v>439</v>
      </c>
      <c r="EH23">
        <v>5.7000000000000002E-2</v>
      </c>
      <c r="EI23">
        <v>9.2499999999999995E-3</v>
      </c>
      <c r="EJ23" t="s">
        <v>439</v>
      </c>
      <c r="EM23" t="s">
        <v>440</v>
      </c>
      <c r="EN23">
        <v>-2.452E-2</v>
      </c>
      <c r="EO23">
        <v>4.0000000000000003E-5</v>
      </c>
      <c r="EP23" t="s">
        <v>439</v>
      </c>
      <c r="ES23" t="s">
        <v>440</v>
      </c>
      <c r="ET23">
        <v>0.28744999999999998</v>
      </c>
      <c r="EU23">
        <v>1.189E-2</v>
      </c>
      <c r="EV23" t="s">
        <v>439</v>
      </c>
      <c r="EW23">
        <v>-5.9999999999999995E-4</v>
      </c>
      <c r="EX23">
        <v>8.0999999999999996E-4</v>
      </c>
      <c r="EY23" t="s">
        <v>439</v>
      </c>
      <c r="EZ23">
        <v>-1.537E-2</v>
      </c>
      <c r="FA23">
        <v>2.8900000000000002E-3</v>
      </c>
      <c r="FB23" t="s">
        <v>439</v>
      </c>
      <c r="FC23">
        <v>1.7080000000000001E-2</v>
      </c>
      <c r="FD23">
        <v>2.179E-2</v>
      </c>
      <c r="FE23" t="s">
        <v>439</v>
      </c>
      <c r="FF23">
        <v>0.98736999999999997</v>
      </c>
      <c r="FG23">
        <v>1.329E-2</v>
      </c>
      <c r="FH23" t="s">
        <v>441</v>
      </c>
      <c r="FK23" t="s">
        <v>440</v>
      </c>
      <c r="FN23" t="s">
        <v>440</v>
      </c>
      <c r="FO23">
        <v>-7.0499999999999998E-3</v>
      </c>
      <c r="FP23">
        <v>4.6999999999999999E-4</v>
      </c>
      <c r="FQ23" t="s">
        <v>441</v>
      </c>
      <c r="FT23" t="s">
        <v>440</v>
      </c>
      <c r="FX23">
        <v>22</v>
      </c>
    </row>
    <row r="24" spans="2:180" x14ac:dyDescent="0.2">
      <c r="B24" t="s">
        <v>90</v>
      </c>
      <c r="C24">
        <v>0.57745999999999997</v>
      </c>
      <c r="D24">
        <v>2.5999999999999999E-3</v>
      </c>
      <c r="E24" t="s">
        <v>442</v>
      </c>
      <c r="F24">
        <v>0.57552000000000003</v>
      </c>
      <c r="G24">
        <v>8.1600000000000006E-3</v>
      </c>
      <c r="H24" t="s">
        <v>442</v>
      </c>
      <c r="I24">
        <v>0.54622000000000004</v>
      </c>
      <c r="J24">
        <v>4.4400000000000004E-3</v>
      </c>
      <c r="K24" t="s">
        <v>442</v>
      </c>
      <c r="L24">
        <v>0.5605</v>
      </c>
      <c r="M24">
        <v>5.4400000000000004E-3</v>
      </c>
      <c r="N24" t="s">
        <v>442</v>
      </c>
      <c r="O24">
        <v>0.54368000000000005</v>
      </c>
      <c r="P24">
        <v>1.0540000000000001E-2</v>
      </c>
      <c r="Q24" t="s">
        <v>442</v>
      </c>
      <c r="R24">
        <v>0.56969000000000003</v>
      </c>
      <c r="S24">
        <v>1.223E-2</v>
      </c>
      <c r="T24" t="s">
        <v>442</v>
      </c>
      <c r="U24">
        <v>0.55623999999999996</v>
      </c>
      <c r="V24">
        <v>9.5999999999999992E-3</v>
      </c>
      <c r="W24" t="s">
        <v>442</v>
      </c>
      <c r="X24">
        <v>0.55701000000000001</v>
      </c>
      <c r="Y24">
        <v>2.33E-3</v>
      </c>
      <c r="Z24" t="s">
        <v>442</v>
      </c>
      <c r="AA24">
        <v>0.55957999999999997</v>
      </c>
      <c r="AB24">
        <v>3.3E-4</v>
      </c>
      <c r="AC24" t="s">
        <v>442</v>
      </c>
      <c r="AD24">
        <v>0.54498999999999997</v>
      </c>
      <c r="AE24">
        <v>1.37E-2</v>
      </c>
      <c r="AF24" t="s">
        <v>442</v>
      </c>
      <c r="AI24" t="s">
        <v>440</v>
      </c>
      <c r="AJ24">
        <v>0.56993000000000005</v>
      </c>
      <c r="AK24">
        <v>7.4799999999999997E-3</v>
      </c>
      <c r="AL24" t="s">
        <v>441</v>
      </c>
      <c r="AM24">
        <v>0.59467999999999999</v>
      </c>
      <c r="AN24">
        <v>2.8E-3</v>
      </c>
      <c r="AO24" t="s">
        <v>442</v>
      </c>
      <c r="AP24">
        <v>0.54339000000000004</v>
      </c>
      <c r="AQ24">
        <v>7.1300000000000001E-3</v>
      </c>
      <c r="AR24" t="s">
        <v>442</v>
      </c>
      <c r="AS24">
        <v>1.96296</v>
      </c>
      <c r="AT24">
        <v>4.2869999999999998E-2</v>
      </c>
      <c r="AU24" t="s">
        <v>442</v>
      </c>
      <c r="AV24">
        <v>0.54285000000000005</v>
      </c>
      <c r="AW24">
        <v>8.7200000000000003E-3</v>
      </c>
      <c r="AX24" t="s">
        <v>442</v>
      </c>
      <c r="AY24">
        <v>0.54071000000000002</v>
      </c>
      <c r="AZ24">
        <v>5.1000000000000004E-3</v>
      </c>
      <c r="BA24" t="s">
        <v>442</v>
      </c>
      <c r="BB24">
        <v>0.56225000000000003</v>
      </c>
      <c r="BC24">
        <v>4.8999999999999998E-3</v>
      </c>
      <c r="BD24" t="s">
        <v>442</v>
      </c>
      <c r="BE24">
        <v>0.57011999999999996</v>
      </c>
      <c r="BF24">
        <v>8.0499999999999999E-3</v>
      </c>
      <c r="BG24" t="s">
        <v>442</v>
      </c>
      <c r="BH24">
        <v>0.56562000000000001</v>
      </c>
      <c r="BI24">
        <v>9.5700000000000004E-3</v>
      </c>
      <c r="BJ24" t="s">
        <v>442</v>
      </c>
      <c r="BK24">
        <v>0.57025999999999999</v>
      </c>
      <c r="BL24">
        <v>5.1700000000000001E-3</v>
      </c>
      <c r="BM24" t="s">
        <v>442</v>
      </c>
      <c r="BN24">
        <v>0.57287999999999994</v>
      </c>
      <c r="BO24">
        <v>3.0699999999999998E-3</v>
      </c>
      <c r="BP24" t="s">
        <v>442</v>
      </c>
      <c r="BQ24">
        <v>0.59957000000000005</v>
      </c>
      <c r="BR24">
        <v>8.0700000000000008E-3</v>
      </c>
      <c r="BS24" t="s">
        <v>442</v>
      </c>
      <c r="BV24" t="s">
        <v>440</v>
      </c>
      <c r="BW24">
        <v>-1.6199699999999999</v>
      </c>
      <c r="BX24">
        <v>6.79E-3</v>
      </c>
      <c r="BY24" t="s">
        <v>439</v>
      </c>
      <c r="BZ24">
        <v>0.55883000000000005</v>
      </c>
      <c r="CA24">
        <v>3.64E-3</v>
      </c>
      <c r="CB24" t="s">
        <v>442</v>
      </c>
      <c r="CC24">
        <v>0.52966999999999997</v>
      </c>
      <c r="CD24">
        <v>5.5900000000000004E-3</v>
      </c>
      <c r="CE24" t="s">
        <v>442</v>
      </c>
      <c r="CF24">
        <v>0.54293999999999998</v>
      </c>
      <c r="CG24">
        <v>8.4200000000000004E-3</v>
      </c>
      <c r="CH24" t="s">
        <v>442</v>
      </c>
      <c r="CI24">
        <v>0.52805999999999997</v>
      </c>
      <c r="CJ24">
        <v>7.3299999999999997E-3</v>
      </c>
      <c r="CK24" t="s">
        <v>442</v>
      </c>
      <c r="CL24">
        <v>0.58940000000000003</v>
      </c>
      <c r="CM24">
        <v>1.438E-2</v>
      </c>
      <c r="CN24" t="s">
        <v>442</v>
      </c>
      <c r="CO24">
        <v>3.6044200000000002</v>
      </c>
      <c r="CP24">
        <v>0.12175</v>
      </c>
      <c r="CQ24" t="s">
        <v>442</v>
      </c>
      <c r="CR24">
        <v>4.0030099999999997</v>
      </c>
      <c r="CS24">
        <v>0.12504999999999999</v>
      </c>
      <c r="CT24" t="s">
        <v>442</v>
      </c>
      <c r="CU24">
        <v>2.3189299999999999</v>
      </c>
      <c r="CV24">
        <v>5.389E-2</v>
      </c>
      <c r="CW24" t="s">
        <v>442</v>
      </c>
      <c r="CX24">
        <v>3.8230900000000001</v>
      </c>
      <c r="CY24">
        <v>0.78478999999999999</v>
      </c>
      <c r="CZ24" t="s">
        <v>442</v>
      </c>
      <c r="DA24">
        <v>5.0837399999999997</v>
      </c>
      <c r="DB24">
        <v>7.2989999999999999E-2</v>
      </c>
      <c r="DC24" t="s">
        <v>442</v>
      </c>
      <c r="DD24">
        <v>10.30612</v>
      </c>
      <c r="DE24">
        <v>0.45335999999999999</v>
      </c>
      <c r="DF24" t="s">
        <v>442</v>
      </c>
      <c r="DG24">
        <v>6.3038800000000004</v>
      </c>
      <c r="DH24">
        <v>0.22314999999999999</v>
      </c>
      <c r="DI24" t="s">
        <v>442</v>
      </c>
      <c r="DJ24">
        <v>0.57906000000000002</v>
      </c>
      <c r="DK24">
        <v>2.4979999999999999E-2</v>
      </c>
      <c r="DL24" t="s">
        <v>442</v>
      </c>
      <c r="DM24">
        <v>0.54144999999999999</v>
      </c>
      <c r="DN24">
        <v>9.4199999999999996E-3</v>
      </c>
      <c r="DO24" t="s">
        <v>442</v>
      </c>
      <c r="DP24">
        <v>0.53603999999999996</v>
      </c>
      <c r="DQ24">
        <v>2.443E-2</v>
      </c>
      <c r="DR24" t="s">
        <v>442</v>
      </c>
      <c r="DS24">
        <v>0.51807999999999998</v>
      </c>
      <c r="DT24">
        <v>2.3400000000000001E-2</v>
      </c>
      <c r="DU24" t="s">
        <v>442</v>
      </c>
      <c r="DV24">
        <v>1.5639400000000001</v>
      </c>
      <c r="DW24">
        <v>5.9080000000000001E-2</v>
      </c>
      <c r="DX24" t="s">
        <v>442</v>
      </c>
      <c r="DY24">
        <v>0.53063000000000005</v>
      </c>
      <c r="DZ24">
        <v>3.1940000000000003E-2</v>
      </c>
      <c r="EA24" t="s">
        <v>442</v>
      </c>
      <c r="EB24">
        <v>0.49443999999999999</v>
      </c>
      <c r="EC24">
        <v>2.716E-2</v>
      </c>
      <c r="ED24" t="s">
        <v>442</v>
      </c>
      <c r="EE24">
        <v>0.54027000000000003</v>
      </c>
      <c r="EF24">
        <v>2.3529999999999999E-2</v>
      </c>
      <c r="EG24" t="s">
        <v>442</v>
      </c>
      <c r="EH24">
        <v>2.1589299999999998</v>
      </c>
      <c r="EI24">
        <v>0.10281</v>
      </c>
      <c r="EJ24" t="s">
        <v>442</v>
      </c>
      <c r="EM24" t="s">
        <v>440</v>
      </c>
      <c r="EN24">
        <v>0.53027999999999997</v>
      </c>
      <c r="EO24">
        <v>2.2579999999999999E-2</v>
      </c>
      <c r="EP24" t="s">
        <v>442</v>
      </c>
      <c r="ES24" t="s">
        <v>440</v>
      </c>
      <c r="ET24">
        <v>4.5460399999999996</v>
      </c>
      <c r="EU24">
        <v>8.1780000000000005E-2</v>
      </c>
      <c r="EV24" t="s">
        <v>442</v>
      </c>
      <c r="EW24">
        <v>0.63651999999999997</v>
      </c>
      <c r="EX24">
        <v>3.0040000000000001E-2</v>
      </c>
      <c r="EY24" t="s">
        <v>442</v>
      </c>
      <c r="EZ24">
        <v>0.63973000000000002</v>
      </c>
      <c r="FA24">
        <v>2.1649999999999999E-2</v>
      </c>
      <c r="FB24" t="s">
        <v>442</v>
      </c>
      <c r="FC24">
        <v>0.61117999999999995</v>
      </c>
      <c r="FD24">
        <v>3.9949999999999999E-2</v>
      </c>
      <c r="FE24" t="s">
        <v>439</v>
      </c>
      <c r="FF24">
        <v>1.2844500000000001</v>
      </c>
      <c r="FG24">
        <v>8.3690000000000001E-2</v>
      </c>
      <c r="FH24" t="s">
        <v>441</v>
      </c>
      <c r="FK24" t="s">
        <v>440</v>
      </c>
      <c r="FN24" t="s">
        <v>440</v>
      </c>
      <c r="FO24">
        <v>0.56954000000000005</v>
      </c>
      <c r="FP24">
        <v>7.4099999999999999E-3</v>
      </c>
      <c r="FQ24" t="s">
        <v>441</v>
      </c>
      <c r="FT24" t="s">
        <v>440</v>
      </c>
      <c r="FX24">
        <v>23</v>
      </c>
    </row>
    <row r="25" spans="2:180" x14ac:dyDescent="0.2">
      <c r="B25" t="s">
        <v>91</v>
      </c>
      <c r="C25">
        <v>4.9549999999999997E-2</v>
      </c>
      <c r="D25">
        <v>2.6099999999999999E-3</v>
      </c>
      <c r="E25" t="s">
        <v>439</v>
      </c>
      <c r="F25">
        <v>1.2710000000000001E-2</v>
      </c>
      <c r="G25">
        <v>2.9E-4</v>
      </c>
      <c r="H25" t="s">
        <v>439</v>
      </c>
      <c r="I25">
        <v>1.2489999999999999E-2</v>
      </c>
      <c r="J25">
        <v>4.2000000000000002E-4</v>
      </c>
      <c r="K25" t="s">
        <v>439</v>
      </c>
      <c r="L25">
        <v>2.3120000000000002E-2</v>
      </c>
      <c r="M25">
        <v>9.2000000000000003E-4</v>
      </c>
      <c r="N25" t="s">
        <v>439</v>
      </c>
      <c r="O25">
        <v>3.82E-3</v>
      </c>
      <c r="P25">
        <v>3.5E-4</v>
      </c>
      <c r="Q25" t="s">
        <v>442</v>
      </c>
      <c r="R25">
        <v>6.5619999999999998E-2</v>
      </c>
      <c r="S25">
        <v>1.4599999999999999E-3</v>
      </c>
      <c r="T25" t="s">
        <v>442</v>
      </c>
      <c r="U25">
        <v>1.4499999999999999E-3</v>
      </c>
      <c r="V25">
        <v>2.1000000000000001E-4</v>
      </c>
      <c r="W25" t="s">
        <v>439</v>
      </c>
      <c r="X25">
        <v>1.3010000000000001E-2</v>
      </c>
      <c r="Y25">
        <v>6.4000000000000005E-4</v>
      </c>
      <c r="Z25" t="s">
        <v>439</v>
      </c>
      <c r="AA25">
        <v>1.017E-2</v>
      </c>
      <c r="AB25">
        <v>2.5999999999999998E-4</v>
      </c>
      <c r="AC25" t="s">
        <v>442</v>
      </c>
      <c r="AD25">
        <v>6.5900000000000004E-3</v>
      </c>
      <c r="AE25">
        <v>9.1E-4</v>
      </c>
      <c r="AF25" t="s">
        <v>442</v>
      </c>
      <c r="AI25" t="s">
        <v>440</v>
      </c>
      <c r="AJ25">
        <v>9.8492599999999992</v>
      </c>
      <c r="AK25">
        <v>0.17602000000000001</v>
      </c>
      <c r="AL25" t="s">
        <v>441</v>
      </c>
      <c r="AM25">
        <v>0.13550000000000001</v>
      </c>
      <c r="AN25">
        <v>1.17E-3</v>
      </c>
      <c r="AO25" t="s">
        <v>442</v>
      </c>
      <c r="AP25">
        <v>-7.4700000000000001E-3</v>
      </c>
      <c r="AQ25">
        <v>1.2999999999999999E-4</v>
      </c>
      <c r="AR25" t="s">
        <v>439</v>
      </c>
      <c r="AS25">
        <v>0.17171</v>
      </c>
      <c r="AT25">
        <v>4.2199999999999998E-3</v>
      </c>
      <c r="AU25" t="s">
        <v>442</v>
      </c>
      <c r="AV25">
        <v>-6.8000000000000005E-4</v>
      </c>
      <c r="AW25">
        <v>2.1000000000000001E-4</v>
      </c>
      <c r="AX25" t="s">
        <v>439</v>
      </c>
      <c r="AY25">
        <v>-3.62E-3</v>
      </c>
      <c r="AZ25">
        <v>1.6000000000000001E-4</v>
      </c>
      <c r="BA25" t="s">
        <v>439</v>
      </c>
      <c r="BB25">
        <v>2.8800000000000002E-3</v>
      </c>
      <c r="BC25">
        <v>5.4000000000000001E-4</v>
      </c>
      <c r="BD25" t="s">
        <v>442</v>
      </c>
      <c r="BE25">
        <v>-1.4999999999999999E-4</v>
      </c>
      <c r="BF25">
        <v>2.0000000000000001E-4</v>
      </c>
      <c r="BG25" t="s">
        <v>439</v>
      </c>
      <c r="BH25">
        <v>1.3600000000000001E-3</v>
      </c>
      <c r="BI25">
        <v>3.2000000000000003E-4</v>
      </c>
      <c r="BJ25" t="s">
        <v>439</v>
      </c>
      <c r="BK25">
        <v>1.8E-3</v>
      </c>
      <c r="BL25">
        <v>2.2000000000000001E-4</v>
      </c>
      <c r="BM25" t="s">
        <v>442</v>
      </c>
      <c r="BN25">
        <v>6.9999999999999994E-5</v>
      </c>
      <c r="BO25">
        <v>5.1000000000000004E-4</v>
      </c>
      <c r="BP25" t="s">
        <v>439</v>
      </c>
      <c r="BQ25">
        <v>-1.56E-3</v>
      </c>
      <c r="BR25">
        <v>2.7999999999999998E-4</v>
      </c>
      <c r="BS25" t="s">
        <v>439</v>
      </c>
      <c r="BV25" t="s">
        <v>440</v>
      </c>
      <c r="BW25">
        <v>-2.04684</v>
      </c>
      <c r="BX25">
        <v>5.1999999999999995E-4</v>
      </c>
      <c r="BY25" t="s">
        <v>439</v>
      </c>
      <c r="BZ25">
        <v>3.1800000000000001E-3</v>
      </c>
      <c r="CA25">
        <v>2.7999999999999998E-4</v>
      </c>
      <c r="CB25" t="s">
        <v>439</v>
      </c>
      <c r="CC25">
        <v>-2.0899999999999998E-2</v>
      </c>
      <c r="CD25">
        <v>7.9000000000000001E-4</v>
      </c>
      <c r="CE25" t="s">
        <v>439</v>
      </c>
      <c r="CF25">
        <v>2.66E-3</v>
      </c>
      <c r="CG25">
        <v>1.1E-4</v>
      </c>
      <c r="CH25" t="s">
        <v>439</v>
      </c>
      <c r="CI25">
        <v>-2.92E-2</v>
      </c>
      <c r="CJ25">
        <v>6.6E-4</v>
      </c>
      <c r="CK25" t="s">
        <v>439</v>
      </c>
      <c r="CL25">
        <v>-7.1500000000000001E-3</v>
      </c>
      <c r="CM25">
        <v>3.2000000000000003E-4</v>
      </c>
      <c r="CN25" t="s">
        <v>439</v>
      </c>
      <c r="CO25">
        <v>67.598529999999997</v>
      </c>
      <c r="CP25">
        <v>2.25238</v>
      </c>
      <c r="CQ25" t="s">
        <v>442</v>
      </c>
      <c r="CR25">
        <v>2.2607499999999998</v>
      </c>
      <c r="CS25">
        <v>5.9089999999999997E-2</v>
      </c>
      <c r="CT25" t="s">
        <v>442</v>
      </c>
      <c r="CU25">
        <v>3.4411200000000002</v>
      </c>
      <c r="CV25">
        <v>0.12464</v>
      </c>
      <c r="CW25" t="s">
        <v>442</v>
      </c>
      <c r="CX25">
        <v>4.1629399999999999</v>
      </c>
      <c r="CY25">
        <v>0.22747999999999999</v>
      </c>
      <c r="CZ25" t="s">
        <v>442</v>
      </c>
      <c r="DA25">
        <v>187.75042999999999</v>
      </c>
      <c r="DB25">
        <v>3.1654900000000001</v>
      </c>
      <c r="DC25" t="s">
        <v>442</v>
      </c>
      <c r="DD25">
        <v>3.27135</v>
      </c>
      <c r="DE25">
        <v>0.29165999999999997</v>
      </c>
      <c r="DF25" t="s">
        <v>442</v>
      </c>
      <c r="DG25">
        <v>7.6851000000000003</v>
      </c>
      <c r="DH25">
        <v>0.28716000000000003</v>
      </c>
      <c r="DI25" t="s">
        <v>442</v>
      </c>
      <c r="DJ25">
        <v>4.3369999999999999E-2</v>
      </c>
      <c r="DK25">
        <v>1.204E-2</v>
      </c>
      <c r="DL25" t="s">
        <v>442</v>
      </c>
      <c r="DM25">
        <v>5.3899999999999998E-3</v>
      </c>
      <c r="DN25">
        <v>1.24E-3</v>
      </c>
      <c r="DO25" t="s">
        <v>442</v>
      </c>
      <c r="DP25">
        <v>0.61748000000000003</v>
      </c>
      <c r="DQ25">
        <v>1.8669999999999999E-2</v>
      </c>
      <c r="DR25" t="s">
        <v>442</v>
      </c>
      <c r="DS25">
        <v>3.7109999999999997E-2</v>
      </c>
      <c r="DT25">
        <v>2.64E-3</v>
      </c>
      <c r="DU25" t="s">
        <v>442</v>
      </c>
      <c r="DV25">
        <v>4.7662000000000004</v>
      </c>
      <c r="DW25">
        <v>0.19152</v>
      </c>
      <c r="DX25" t="s">
        <v>442</v>
      </c>
      <c r="DY25">
        <v>8.8800000000000007E-3</v>
      </c>
      <c r="DZ25">
        <v>8.1999999999999998E-4</v>
      </c>
      <c r="EA25" t="s">
        <v>439</v>
      </c>
      <c r="EB25">
        <v>0.23980000000000001</v>
      </c>
      <c r="EC25">
        <v>1.401E-2</v>
      </c>
      <c r="ED25" t="s">
        <v>442</v>
      </c>
      <c r="EE25">
        <v>0.18684000000000001</v>
      </c>
      <c r="EF25">
        <v>1.1560000000000001E-2</v>
      </c>
      <c r="EG25" t="s">
        <v>442</v>
      </c>
      <c r="EH25">
        <v>1.26406</v>
      </c>
      <c r="EI25">
        <v>5.1369999999999999E-2</v>
      </c>
      <c r="EJ25" t="s">
        <v>442</v>
      </c>
      <c r="EM25" t="s">
        <v>440</v>
      </c>
      <c r="EN25">
        <v>10.21475</v>
      </c>
      <c r="EO25">
        <v>0.34177999999999997</v>
      </c>
      <c r="EP25" t="s">
        <v>442</v>
      </c>
      <c r="ES25" t="s">
        <v>440</v>
      </c>
      <c r="ET25">
        <v>55.412199999999999</v>
      </c>
      <c r="EU25">
        <v>0.54203999999999997</v>
      </c>
      <c r="EV25" t="s">
        <v>442</v>
      </c>
      <c r="EW25">
        <v>-1.4999999999999999E-4</v>
      </c>
      <c r="EX25">
        <v>1.06E-3</v>
      </c>
      <c r="EY25" t="s">
        <v>439</v>
      </c>
      <c r="EZ25">
        <v>2.9479999999999999E-2</v>
      </c>
      <c r="FA25">
        <v>3.3899999999999998E-3</v>
      </c>
      <c r="FB25" t="s">
        <v>439</v>
      </c>
      <c r="FC25">
        <v>0.12359000000000001</v>
      </c>
      <c r="FD25">
        <v>8.4029999999999994E-2</v>
      </c>
      <c r="FE25" t="s">
        <v>439</v>
      </c>
      <c r="FF25">
        <v>1.22095</v>
      </c>
      <c r="FG25">
        <v>0.16964000000000001</v>
      </c>
      <c r="FH25" t="s">
        <v>441</v>
      </c>
      <c r="FK25" t="s">
        <v>440</v>
      </c>
      <c r="FN25" t="s">
        <v>440</v>
      </c>
      <c r="FO25">
        <v>9.9997399999999992</v>
      </c>
      <c r="FP25">
        <v>0.33489000000000002</v>
      </c>
      <c r="FQ25" t="s">
        <v>441</v>
      </c>
      <c r="FT25" t="s">
        <v>440</v>
      </c>
      <c r="FX25">
        <v>24</v>
      </c>
    </row>
    <row r="26" spans="2:180" x14ac:dyDescent="0.2">
      <c r="B26" t="s">
        <v>92</v>
      </c>
      <c r="C26">
        <v>4.7649999999999998E-2</v>
      </c>
      <c r="D26">
        <v>1.8799999999999999E-3</v>
      </c>
      <c r="E26" t="s">
        <v>439</v>
      </c>
      <c r="F26">
        <v>1.034E-2</v>
      </c>
      <c r="G26">
        <v>1.1299999999999999E-3</v>
      </c>
      <c r="H26" t="s">
        <v>439</v>
      </c>
      <c r="I26">
        <v>9.7199999999999995E-3</v>
      </c>
      <c r="J26">
        <v>2.5999999999999998E-4</v>
      </c>
      <c r="K26" t="s">
        <v>439</v>
      </c>
      <c r="L26">
        <v>3.2050000000000002E-2</v>
      </c>
      <c r="M26">
        <v>1.25E-3</v>
      </c>
      <c r="N26" t="s">
        <v>442</v>
      </c>
      <c r="O26">
        <v>3.9399999999999999E-3</v>
      </c>
      <c r="P26">
        <v>5.0000000000000002E-5</v>
      </c>
      <c r="Q26" t="s">
        <v>442</v>
      </c>
      <c r="R26">
        <v>5.4059999999999997E-2</v>
      </c>
      <c r="S26">
        <v>1E-3</v>
      </c>
      <c r="T26" t="s">
        <v>442</v>
      </c>
      <c r="U26">
        <v>1.09E-3</v>
      </c>
      <c r="V26">
        <v>6.0000000000000002E-5</v>
      </c>
      <c r="W26" t="s">
        <v>439</v>
      </c>
      <c r="X26">
        <v>1.2670000000000001E-2</v>
      </c>
      <c r="Y26">
        <v>2.9999999999999997E-4</v>
      </c>
      <c r="Z26" t="s">
        <v>439</v>
      </c>
      <c r="AA26">
        <v>8.5100000000000002E-3</v>
      </c>
      <c r="AB26">
        <v>4.0999999999999999E-4</v>
      </c>
      <c r="AC26" t="s">
        <v>442</v>
      </c>
      <c r="AD26">
        <v>6.6E-3</v>
      </c>
      <c r="AE26">
        <v>6.7000000000000002E-4</v>
      </c>
      <c r="AF26" t="s">
        <v>442</v>
      </c>
      <c r="AI26" t="s">
        <v>440</v>
      </c>
      <c r="AJ26">
        <v>2.8694000000000002</v>
      </c>
      <c r="AK26">
        <v>9.6009999999999998E-2</v>
      </c>
      <c r="AL26" t="s">
        <v>441</v>
      </c>
      <c r="AM26">
        <v>0.10749</v>
      </c>
      <c r="AN26">
        <v>2.1800000000000001E-3</v>
      </c>
      <c r="AO26" t="s">
        <v>442</v>
      </c>
      <c r="AP26">
        <v>-7.4099999999999999E-3</v>
      </c>
      <c r="AQ26">
        <v>2.1000000000000001E-4</v>
      </c>
      <c r="AR26" t="s">
        <v>439</v>
      </c>
      <c r="AS26">
        <v>0.18356</v>
      </c>
      <c r="AT26">
        <v>1.8799999999999999E-3</v>
      </c>
      <c r="AU26" t="s">
        <v>442</v>
      </c>
      <c r="AV26">
        <v>-1.1000000000000001E-3</v>
      </c>
      <c r="AW26">
        <v>4.0000000000000003E-5</v>
      </c>
      <c r="AX26" t="s">
        <v>439</v>
      </c>
      <c r="AY26">
        <v>-3.7499999999999999E-3</v>
      </c>
      <c r="AZ26">
        <v>5.0000000000000002E-5</v>
      </c>
      <c r="BA26" t="s">
        <v>439</v>
      </c>
      <c r="BB26">
        <v>2.3999999999999998E-3</v>
      </c>
      <c r="BC26">
        <v>3.0000000000000001E-5</v>
      </c>
      <c r="BD26" t="s">
        <v>442</v>
      </c>
      <c r="BE26">
        <v>-5.1000000000000004E-4</v>
      </c>
      <c r="BF26">
        <v>9.0000000000000006E-5</v>
      </c>
      <c r="BG26" t="s">
        <v>439</v>
      </c>
      <c r="BH26">
        <v>1.2099999999999999E-3</v>
      </c>
      <c r="BI26">
        <v>5.9999999999999995E-4</v>
      </c>
      <c r="BJ26" t="s">
        <v>439</v>
      </c>
      <c r="BK26">
        <v>1.5100000000000001E-3</v>
      </c>
      <c r="BL26">
        <v>4.0000000000000003E-5</v>
      </c>
      <c r="BM26" t="s">
        <v>439</v>
      </c>
      <c r="BN26">
        <v>-3.8999999999999999E-4</v>
      </c>
      <c r="BO26">
        <v>8.0000000000000007E-5</v>
      </c>
      <c r="BP26" t="s">
        <v>439</v>
      </c>
      <c r="BQ26">
        <v>-3.0699999999999998E-3</v>
      </c>
      <c r="BR26">
        <v>6.0000000000000002E-5</v>
      </c>
      <c r="BS26" t="s">
        <v>439</v>
      </c>
      <c r="BV26" t="s">
        <v>440</v>
      </c>
      <c r="BW26">
        <v>-2.0476700000000001</v>
      </c>
      <c r="BX26">
        <v>8.1999999999999998E-4</v>
      </c>
      <c r="BY26" t="s">
        <v>439</v>
      </c>
      <c r="BZ26">
        <v>2.81E-3</v>
      </c>
      <c r="CA26">
        <v>6.9999999999999994E-5</v>
      </c>
      <c r="CB26" t="s">
        <v>439</v>
      </c>
      <c r="CC26">
        <v>-1.3899999999999999E-2</v>
      </c>
      <c r="CD26">
        <v>8.4000000000000003E-4</v>
      </c>
      <c r="CE26" t="s">
        <v>439</v>
      </c>
      <c r="CF26">
        <v>9.75E-3</v>
      </c>
      <c r="CG26">
        <v>8.8999999999999995E-4</v>
      </c>
      <c r="CH26" t="s">
        <v>439</v>
      </c>
      <c r="CI26">
        <v>-2.214E-2</v>
      </c>
      <c r="CJ26">
        <v>6.6E-4</v>
      </c>
      <c r="CK26" t="s">
        <v>439</v>
      </c>
      <c r="CL26">
        <v>-7.5100000000000002E-3</v>
      </c>
      <c r="CM26">
        <v>8.0000000000000007E-5</v>
      </c>
      <c r="CN26" t="s">
        <v>439</v>
      </c>
      <c r="CO26">
        <v>17.25883</v>
      </c>
      <c r="CP26">
        <v>9.2969999999999997E-2</v>
      </c>
      <c r="CQ26" t="s">
        <v>442</v>
      </c>
      <c r="CR26">
        <v>2.12459</v>
      </c>
      <c r="CS26">
        <v>1.0290000000000001E-2</v>
      </c>
      <c r="CT26" t="s">
        <v>442</v>
      </c>
      <c r="CU26">
        <v>2.2329500000000002</v>
      </c>
      <c r="CV26">
        <v>5.4859999999999999E-2</v>
      </c>
      <c r="CW26" t="s">
        <v>442</v>
      </c>
      <c r="CX26">
        <v>3.97803</v>
      </c>
      <c r="CY26">
        <v>0.20294000000000001</v>
      </c>
      <c r="CZ26" t="s">
        <v>442</v>
      </c>
      <c r="DA26">
        <v>44.948009999999996</v>
      </c>
      <c r="DB26">
        <v>0.57430999999999999</v>
      </c>
      <c r="DC26" t="s">
        <v>442</v>
      </c>
      <c r="DD26">
        <v>16.01557</v>
      </c>
      <c r="DE26">
        <v>0.37630999999999998</v>
      </c>
      <c r="DF26" t="s">
        <v>442</v>
      </c>
      <c r="DG26">
        <v>11.333410000000001</v>
      </c>
      <c r="DH26">
        <v>9.5740000000000006E-2</v>
      </c>
      <c r="DI26" t="s">
        <v>442</v>
      </c>
      <c r="DJ26">
        <v>5.2769999999999997E-2</v>
      </c>
      <c r="DK26">
        <v>4.4299999999999999E-3</v>
      </c>
      <c r="DL26" t="s">
        <v>442</v>
      </c>
      <c r="DM26">
        <v>3.7699999999999999E-3</v>
      </c>
      <c r="DN26">
        <v>1.1E-4</v>
      </c>
      <c r="DO26" t="s">
        <v>442</v>
      </c>
      <c r="DP26">
        <v>0.21246000000000001</v>
      </c>
      <c r="DQ26">
        <v>1.0189999999999999E-2</v>
      </c>
      <c r="DR26" t="s">
        <v>442</v>
      </c>
      <c r="DS26">
        <v>5.2290000000000003E-2</v>
      </c>
      <c r="DT26">
        <v>2.1800000000000001E-3</v>
      </c>
      <c r="DU26" t="s">
        <v>442</v>
      </c>
      <c r="DV26">
        <v>2.9724599999999999</v>
      </c>
      <c r="DW26">
        <v>7.9640000000000002E-2</v>
      </c>
      <c r="DX26" t="s">
        <v>442</v>
      </c>
      <c r="DY26">
        <v>3.6479999999999999E-2</v>
      </c>
      <c r="DZ26">
        <v>2.4299999999999999E-3</v>
      </c>
      <c r="EA26" t="s">
        <v>442</v>
      </c>
      <c r="EB26">
        <v>0.69142999999999999</v>
      </c>
      <c r="EC26">
        <v>9.9799999999999993E-3</v>
      </c>
      <c r="ED26" t="s">
        <v>442</v>
      </c>
      <c r="EE26">
        <v>0.67688000000000004</v>
      </c>
      <c r="EF26">
        <v>2.4039999999999999E-2</v>
      </c>
      <c r="EG26" t="s">
        <v>442</v>
      </c>
      <c r="EH26">
        <v>1.33033</v>
      </c>
      <c r="EI26">
        <v>9.5259999999999997E-2</v>
      </c>
      <c r="EJ26" t="s">
        <v>442</v>
      </c>
      <c r="EM26" t="s">
        <v>440</v>
      </c>
      <c r="EN26">
        <v>2.99756</v>
      </c>
      <c r="EO26">
        <v>4.759E-2</v>
      </c>
      <c r="EP26" t="s">
        <v>442</v>
      </c>
      <c r="ES26" t="s">
        <v>440</v>
      </c>
      <c r="ET26">
        <v>14.83344</v>
      </c>
      <c r="EU26">
        <v>0.42177999999999999</v>
      </c>
      <c r="EV26" t="s">
        <v>442</v>
      </c>
      <c r="EW26">
        <v>-1.2E-4</v>
      </c>
      <c r="EX26">
        <v>2.2000000000000001E-4</v>
      </c>
      <c r="EY26" t="s">
        <v>439</v>
      </c>
      <c r="EZ26">
        <v>1.669E-2</v>
      </c>
      <c r="FA26">
        <v>5.4599999999999996E-3</v>
      </c>
      <c r="FB26" t="s">
        <v>439</v>
      </c>
      <c r="FC26">
        <v>0.1764</v>
      </c>
      <c r="FD26">
        <v>4.8869999999999997E-2</v>
      </c>
      <c r="FE26" t="s">
        <v>439</v>
      </c>
      <c r="FF26">
        <v>2.4059200000000001</v>
      </c>
      <c r="FG26">
        <v>8.4680000000000005E-2</v>
      </c>
      <c r="FH26" t="s">
        <v>441</v>
      </c>
      <c r="FK26" t="s">
        <v>440</v>
      </c>
      <c r="FN26" t="s">
        <v>440</v>
      </c>
      <c r="FO26">
        <v>3.1622400000000002</v>
      </c>
      <c r="FP26">
        <v>9.3390000000000001E-2</v>
      </c>
      <c r="FQ26" t="s">
        <v>441</v>
      </c>
      <c r="FT26" t="s">
        <v>440</v>
      </c>
      <c r="FX26">
        <v>25</v>
      </c>
    </row>
    <row r="27" spans="2:180" x14ac:dyDescent="0.2">
      <c r="B27" t="s">
        <v>93</v>
      </c>
      <c r="C27">
        <v>5.7689999999999998E-2</v>
      </c>
      <c r="D27">
        <v>2.98E-3</v>
      </c>
      <c r="E27" t="e">
        <f>IF((ABS($C$27-$C$19)/(($C$27+$C$19)/2)) &lt;#REF!, "Dp","Df")</f>
        <v>#REF!</v>
      </c>
      <c r="F27">
        <v>1.507E-2</v>
      </c>
      <c r="G27">
        <v>3.0300000000000001E-3</v>
      </c>
      <c r="H27" t="e">
        <f>IF((ABS($F$27-$F$19)/(($F$27+$F$19)/2)) &lt;#REF!, "Dp","Df")</f>
        <v>#REF!</v>
      </c>
      <c r="I27">
        <v>3.8159999999999999E-2</v>
      </c>
      <c r="J27">
        <v>1.0399999999999999E-3</v>
      </c>
      <c r="K27" t="e">
        <f>IF((ABS($I$27-$I$19)/(($I$27+$I$19)/2)) &lt;#REF!, "Dp","Df")</f>
        <v>#REF!</v>
      </c>
      <c r="L27">
        <v>5.441E-2</v>
      </c>
      <c r="M27">
        <v>2.3500000000000001E-3</v>
      </c>
      <c r="N27" t="e">
        <f>IF((ABS($L$27-$L$19)/(($L$27+$L$19)/2)) &lt;#REF!, "Dp","Df")</f>
        <v>#REF!</v>
      </c>
      <c r="O27">
        <v>5.9800000000000001E-3</v>
      </c>
      <c r="P27">
        <v>1.7000000000000001E-4</v>
      </c>
      <c r="Q27" t="e">
        <f>IF((ABS($O$27-$O$19)/(($O$27+$O$19)/2)) &lt;#REF!, "Dp","Df")</f>
        <v>#REF!</v>
      </c>
      <c r="R27">
        <v>0.33118999999999998</v>
      </c>
      <c r="S27">
        <v>5.5500000000000002E-3</v>
      </c>
      <c r="T27" t="e">
        <f>IF((ABS($R$27-$R$19)/(($R$27+$R$19)/2)) &lt;#REF!, "Dp","Df")</f>
        <v>#REF!</v>
      </c>
      <c r="U27">
        <v>1.48E-3</v>
      </c>
      <c r="V27">
        <v>1.4999999999999999E-4</v>
      </c>
      <c r="W27" t="e">
        <f>IF((ABS($U$27-$U$19)/(($U$27+$U$19)/2)) &lt;#REF!, "Dp","Df")</f>
        <v>#REF!</v>
      </c>
      <c r="X27">
        <v>1.5699999999999999E-2</v>
      </c>
      <c r="Y27">
        <v>4.2999999999999999E-4</v>
      </c>
      <c r="Z27" t="e">
        <f>IF((ABS($X$27-$X$19)/(($X$27+$X$19)/2)) &lt;#REF!, "Dp","Df")</f>
        <v>#REF!</v>
      </c>
      <c r="AA27">
        <v>8.4659999999999999E-2</v>
      </c>
      <c r="AB27">
        <v>2.9099999999999998E-3</v>
      </c>
      <c r="AC27" t="e">
        <f>IF((ABS($AA$27-$AA$19)/(($AA$27+$AA$19)/2)) &lt;#REF!, "Dp","Df")</f>
        <v>#REF!</v>
      </c>
      <c r="AD27">
        <v>5.9899999999999997E-3</v>
      </c>
      <c r="AE27">
        <v>4.0000000000000002E-4</v>
      </c>
      <c r="AF27" t="e">
        <f>IF((ABS($AD$27-$AD$19)/(($AD$27+$AD$19)/2)) &lt;#REF!, "Dp","Df")</f>
        <v>#REF!</v>
      </c>
      <c r="AI27" t="e">
        <f>IF((ABS($AG$27-$AG$19)/(($AG$27+$AG$19)/2)) &lt;#REF!, "Dp","Df")</f>
        <v>#DIV/0!</v>
      </c>
      <c r="AJ27">
        <v>0.10872</v>
      </c>
      <c r="AK27">
        <v>2.1700000000000001E-3</v>
      </c>
      <c r="AL27" t="e">
        <f>IF((ABS($AJ$27-$AJ$19)/(($AJ$27+$AJ$19)/2)) &lt;#REF!, "Dp","Df")</f>
        <v>#REF!</v>
      </c>
      <c r="AM27">
        <v>0.83535999999999999</v>
      </c>
      <c r="AN27">
        <v>1.924E-2</v>
      </c>
      <c r="AO27" t="e">
        <f>IF((ABS($AM$27-$AM$19)/(($AM$27+$AM$19)/2)) &lt;#REF!, "Dp","Df")</f>
        <v>#REF!</v>
      </c>
      <c r="AP27">
        <v>-9.1199999999999996E-3</v>
      </c>
      <c r="AQ27">
        <v>1.6000000000000001E-4</v>
      </c>
      <c r="AR27" t="e">
        <f>IF((ABS($AP$27-$AP$19)/(($AP$27+$AP$19)/2)) &lt;#REF!, "Dp","Df")</f>
        <v>#REF!</v>
      </c>
      <c r="AS27">
        <v>0.98080999999999996</v>
      </c>
      <c r="AT27">
        <v>3.0179999999999998E-2</v>
      </c>
      <c r="AU27" t="e">
        <f>IF((ABS($AS$27-$AS$19)/(($AS$27+$AS$19)/2)) &lt;#REF!, "Dp","Df")</f>
        <v>#REF!</v>
      </c>
      <c r="AV27">
        <v>1.64E-3</v>
      </c>
      <c r="AW27">
        <v>5.0000000000000002E-5</v>
      </c>
      <c r="AX27" t="e">
        <f>IF((ABS($AV$27-$AV$19)/(($AV$27+$AV$19)/2)) &lt;#REF!, "Dp","Df")</f>
        <v>#REF!</v>
      </c>
      <c r="AY27">
        <v>1.5E-3</v>
      </c>
      <c r="AZ27">
        <v>4.0000000000000003E-5</v>
      </c>
      <c r="BA27" t="e">
        <f>IF((ABS($AY$27-$AY$19)/(($AY$27+$AY$19)/2)) &lt;#REF!, "Dp","Df")</f>
        <v>#REF!</v>
      </c>
      <c r="BB27">
        <v>5.47E-3</v>
      </c>
      <c r="BC27">
        <v>1.7000000000000001E-4</v>
      </c>
      <c r="BD27" t="e">
        <f>IF((ABS($BB$27-$BB$19)/(($BB$27+$BB$19)/2)) &lt;#REF!, "Dp","Df")</f>
        <v>#REF!</v>
      </c>
      <c r="BE27">
        <v>2.7999999999999998E-4</v>
      </c>
      <c r="BF27">
        <v>1.2E-4</v>
      </c>
      <c r="BG27" t="e">
        <f>IF((ABS($BE$27-$BE$19)/(($BE$27+$BE$19)/2)) &lt;#REF!, "Dp","Df")</f>
        <v>#REF!</v>
      </c>
      <c r="BH27">
        <v>1.75E-3</v>
      </c>
      <c r="BI27">
        <v>3.5E-4</v>
      </c>
      <c r="BJ27" t="e">
        <f>IF((ABS($BH$27-$BH$19)/(($BH$27+$BH$19)/2)) &lt;#REF!, "Dp","Df")</f>
        <v>#REF!</v>
      </c>
      <c r="BK27">
        <v>1.7099999999999999E-3</v>
      </c>
      <c r="BL27">
        <v>0</v>
      </c>
      <c r="BM27" t="e">
        <f>IF((ABS($BK$27-$BK$19)/(($BK$27+$BK$19)/2)) &lt;#REF!, "Dp","Df")</f>
        <v>#REF!</v>
      </c>
      <c r="BN27">
        <v>1.6000000000000001E-4</v>
      </c>
      <c r="BO27">
        <v>1.9000000000000001E-4</v>
      </c>
      <c r="BP27" t="e">
        <f>IF((ABS($BN$27-$BN$19)/(($BN$27+$BN$19)/2)) &lt;#REF!, "Dp","Df")</f>
        <v>#REF!</v>
      </c>
      <c r="BQ27">
        <v>2.913E-2</v>
      </c>
      <c r="BR27">
        <v>1.2700000000000001E-3</v>
      </c>
      <c r="BS27" t="e">
        <f>IF((ABS($BQ$27-$BQ$19)/(($BQ$27+$BQ$19)/2)) &lt;#REF!, "Dp","Df")</f>
        <v>#REF!</v>
      </c>
      <c r="BV27" t="e">
        <f>IF((ABS($BT$27-$BT$19)/(($BT$27+$BT$19)/2)) &lt;#REF!, "Dp","Df")</f>
        <v>#DIV/0!</v>
      </c>
      <c r="BW27">
        <v>-2.04833</v>
      </c>
      <c r="BX27">
        <v>1.2E-4</v>
      </c>
      <c r="BY27" t="e">
        <f>IF((ABS($BW$27-$BW$19)/(($BW$27+$BW$19)/2)) &lt;#REF!, "Dp","Df")</f>
        <v>#REF!</v>
      </c>
      <c r="BZ27">
        <v>3.1099999999999999E-3</v>
      </c>
      <c r="CA27">
        <v>6.9999999999999994E-5</v>
      </c>
      <c r="CB27" t="e">
        <f>IF((ABS($BZ$27-$BZ$19)/(($BZ$27+$BZ$19)/2)) &lt;#REF!, "Dp","Df")</f>
        <v>#REF!</v>
      </c>
      <c r="CC27">
        <v>1.6234900000000001</v>
      </c>
      <c r="CD27">
        <v>3.4959999999999998E-2</v>
      </c>
      <c r="CE27" t="e">
        <f>IF((ABS($CC$27-$CC$19)/(($CC$27+$CC$19)/2)) &lt;#REF!, "Dp","Df")</f>
        <v>#REF!</v>
      </c>
      <c r="CF27">
        <v>1.5657300000000001</v>
      </c>
      <c r="CG27">
        <v>2.2110000000000001E-2</v>
      </c>
      <c r="CH27" t="e">
        <f>IF((ABS($CF$27-$CF$19)/(($CF$27+$CF$19)/2)) &lt;#REF!, "Dp","Df")</f>
        <v>#REF!</v>
      </c>
      <c r="CI27">
        <v>1.6209899999999999</v>
      </c>
      <c r="CJ27">
        <v>2.9270000000000001E-2</v>
      </c>
      <c r="CK27" t="e">
        <f>IF((ABS($CI$27-$CI$19)/(($CI$27+$CI$19)/2)) &lt;#REF!, "Dp","Df")</f>
        <v>#REF!</v>
      </c>
      <c r="CL27">
        <v>1.5357000000000001</v>
      </c>
      <c r="CM27">
        <v>2.3970000000000002E-2</v>
      </c>
      <c r="CN27" t="e">
        <f>IF((ABS($CL$27-$CL$19)/(($CL$27+$CL$19)/2)) &lt;#REF!, "Dp","Df")</f>
        <v>#REF!</v>
      </c>
      <c r="CO27">
        <v>46.564520000000002</v>
      </c>
      <c r="CP27">
        <v>0.79969999999999997</v>
      </c>
      <c r="CQ27" t="e">
        <f>IF((ABS($CO$27-$CO$19)/(($CO$27+$CO$19)/2)) &lt;#REF!, "Dp","Df")</f>
        <v>#REF!</v>
      </c>
      <c r="CR27">
        <v>2.5967199999999999</v>
      </c>
      <c r="CS27">
        <v>6.5860000000000002E-2</v>
      </c>
      <c r="CT27" t="e">
        <f>IF((ABS($CR$27-$CR$19)/(($CR$27+$CR$19)/2)) &lt;#REF!, "Dp","Df")</f>
        <v>#REF!</v>
      </c>
      <c r="CU27">
        <v>21.111460000000001</v>
      </c>
      <c r="CV27">
        <v>0.15135999999999999</v>
      </c>
      <c r="CW27" t="e">
        <f>IF((ABS($CU$27-$CU$19)/(($CU$27+$CU$19)/2)) &lt;#REF!, "Dp","Df")</f>
        <v>#REF!</v>
      </c>
      <c r="CX27">
        <v>7.1325599999999998</v>
      </c>
      <c r="CY27">
        <v>0.28488999999999998</v>
      </c>
      <c r="CZ27" t="e">
        <f>IF((ABS($CX$27-$CX$19)/(($CX$27+$CX$19)/2)) &lt;#REF!, "Dp","Df")</f>
        <v>#REF!</v>
      </c>
      <c r="DA27">
        <v>4.6506699999999999</v>
      </c>
      <c r="DB27">
        <v>0.10094</v>
      </c>
      <c r="DC27" t="e">
        <f>IF((ABS($DA$27-$DA$19)/(($DA$27+$DA$19)/2)) &lt;#REF!, "Dp","Df")</f>
        <v>#REF!</v>
      </c>
      <c r="DD27">
        <v>3.3498800000000002</v>
      </c>
      <c r="DE27">
        <v>0.27855000000000002</v>
      </c>
      <c r="DF27" t="e">
        <f>IF((ABS($DD$27-$DD$19)/(($DD$27+$DD$19)/2)) &lt;#REF!, "Dp","Df")</f>
        <v>#REF!</v>
      </c>
      <c r="DG27">
        <v>9.3344000000000005</v>
      </c>
      <c r="DH27">
        <v>0.19453000000000001</v>
      </c>
      <c r="DI27" t="e">
        <f>IF((ABS($DG$27-$DG$19)/(($DG$27+$DG$19)/2)) &lt;#REF!, "Dp","Df")</f>
        <v>#REF!</v>
      </c>
      <c r="DJ27">
        <v>5.1520000000000003E-2</v>
      </c>
      <c r="DK27">
        <v>1.189E-2</v>
      </c>
      <c r="DL27" t="e">
        <f>IF((ABS($DJ$27-$DJ$19)/(($DJ$27+$DJ$19)/2)) &lt;#REF!, "Dp","Df")</f>
        <v>#REF!</v>
      </c>
      <c r="DM27">
        <v>3.3210000000000003E-2</v>
      </c>
      <c r="DN27">
        <v>4.6000000000000001E-4</v>
      </c>
      <c r="DO27" t="e">
        <f>IF((ABS($DM$27-$DM$19)/(($DM$27+$DM$19)/2)) &lt;#REF!, "Dp","Df")</f>
        <v>#REF!</v>
      </c>
      <c r="DP27">
        <v>14.22518</v>
      </c>
      <c r="DQ27">
        <v>0.25953999999999999</v>
      </c>
      <c r="DR27" t="e">
        <f>IF((ABS($DP$27-$DP$19)/(($DP$27+$DP$19)/2)) &lt;#REF!, "Dp","Df")</f>
        <v>#REF!</v>
      </c>
      <c r="DS27">
        <v>4.15557</v>
      </c>
      <c r="DT27">
        <v>6.8640000000000007E-2</v>
      </c>
      <c r="DU27" t="e">
        <f>IF((ABS($DS$27-$DS$19)/(($DS$27+$DS$19)/2)) &lt;#REF!, "Dp","Df")</f>
        <v>#REF!</v>
      </c>
      <c r="DV27">
        <v>44.151780000000002</v>
      </c>
      <c r="DW27">
        <v>0.57957999999999998</v>
      </c>
      <c r="DX27" t="e">
        <f>IF((ABS($DV$27-$DV$19)/(($DV$27+$DV$19)/2)) &lt;#REF!, "Dp","Df")</f>
        <v>#REF!</v>
      </c>
      <c r="DY27">
        <v>0.12383</v>
      </c>
      <c r="DZ27">
        <v>2.82E-3</v>
      </c>
      <c r="EA27" t="e">
        <f>IF((ABS($DY$27-$DY$19)/(($DY$27+$DY$19)/2)) &lt;#REF!, "Dp","Df")</f>
        <v>#REF!</v>
      </c>
      <c r="EB27">
        <v>8.6383299999999998</v>
      </c>
      <c r="EC27">
        <v>0.17186000000000001</v>
      </c>
      <c r="ED27" t="e">
        <f>IF((ABS($EB$27-$EB$19)/(($EB$27+$EB$19)/2)) &lt;#REF!, "Dp","Df")</f>
        <v>#REF!</v>
      </c>
      <c r="EE27">
        <v>15.012040000000001</v>
      </c>
      <c r="EF27">
        <v>0.57047000000000003</v>
      </c>
      <c r="EG27" t="e">
        <f>IF((ABS($EE$27-$EE$19)/(($EE$27+$EE$19)/2)) &lt;#REF!, "Dp","Df")</f>
        <v>#REF!</v>
      </c>
      <c r="EH27">
        <v>4.2577299999999996</v>
      </c>
      <c r="EI27">
        <v>0.14480000000000001</v>
      </c>
      <c r="EJ27" t="e">
        <f>IF((ABS($EH$27-$EH$19)/(($EH$27+$EH$19)/2)) &lt;#REF!, "Dp","Df")</f>
        <v>#REF!</v>
      </c>
      <c r="EM27" t="e">
        <f>IF((ABS($EK$27-$EK$19)/(($EK$27+$EK$19)/2)) &lt;#REF!, "Dp","Df")</f>
        <v>#DIV/0!</v>
      </c>
      <c r="EN27">
        <v>5.4109999999999998E-2</v>
      </c>
      <c r="EO27">
        <v>1.8400000000000001E-3</v>
      </c>
      <c r="EP27" t="e">
        <f>IF((ABS($EN$27-$EN$19)/(($EN$27+$EN$19)/2)) &lt;#REF!, "Dp","Df")</f>
        <v>#REF!</v>
      </c>
      <c r="ES27" t="e">
        <f>IF((ABS($EQ$27-$EQ$19)/(($EQ$27+$EQ$19)/2)) &lt;#REF!, "Dp","Df")</f>
        <v>#DIV/0!</v>
      </c>
      <c r="ET27">
        <v>7.9427000000000003</v>
      </c>
      <c r="EU27">
        <v>0.33657999999999999</v>
      </c>
      <c r="EV27" t="e">
        <f>IF((ABS($ET$27-$ET$19)/(($ET$27+$ET$19)/2)) &lt;#REF!, "Dp","Df")</f>
        <v>#REF!</v>
      </c>
      <c r="EW27">
        <v>1.6199999999999999E-3</v>
      </c>
      <c r="EX27">
        <v>1.2899999999999999E-3</v>
      </c>
      <c r="EY27" t="e">
        <f>IF((ABS($EW$27-$EW$19)/(($EW$27+$EW$19)/2)) &lt;#REF!, "Dp","Df")</f>
        <v>#REF!</v>
      </c>
      <c r="EZ27">
        <v>-1.187E-2</v>
      </c>
      <c r="FA27">
        <v>3.3400000000000001E-3</v>
      </c>
      <c r="FB27" t="e">
        <f>IF((ABS($EZ$27-$EZ$19)/(($EZ$27+$EZ$19)/2)) &lt;#REF!, "Dp","Df")</f>
        <v>#REF!</v>
      </c>
      <c r="FC27">
        <v>8.4239999999999995E-2</v>
      </c>
      <c r="FD27">
        <v>9.5490000000000005E-2</v>
      </c>
      <c r="FE27" t="e">
        <f>IF((ABS($FC$27-$FC$19)/(($FC$27+$FC$19)/2)) &lt;#REF!, "Dp","Df")</f>
        <v>#REF!</v>
      </c>
      <c r="FF27">
        <v>1.5086299999999999</v>
      </c>
      <c r="FG27">
        <v>0.26247999999999999</v>
      </c>
      <c r="FH27" t="e">
        <f>IF((ABS($FF$27-$FF$19)/(($FF$27+$FF$19)/2)) &lt;#REF!, "Dp","Df")</f>
        <v>#REF!</v>
      </c>
      <c r="FK27" t="e">
        <f>IF((ABS($FI$27-$FI$19)/(($FI$27+$FI$19)/2)) &lt;#REF!, "Dp","Df")</f>
        <v>#DIV/0!</v>
      </c>
      <c r="FN27" t="e">
        <f>IF((ABS($FL$27-$FL$19)/(($FL$27+$FL$19)/2)) &lt;#REF!, "Dp","Df")</f>
        <v>#DIV/0!</v>
      </c>
      <c r="FO27">
        <v>7.1910000000000002E-2</v>
      </c>
      <c r="FP27">
        <v>1.1100000000000001E-3</v>
      </c>
      <c r="FQ27" t="e">
        <f>IF((ABS($FO$27-$FO$19)/(($FO$27+$FO$19)/2)) &lt;#REF!, "Dp","Df")</f>
        <v>#REF!</v>
      </c>
      <c r="FT27" t="e">
        <f>IF((ABS($FR$27-$FR$19)/(($FR$27+$FR$19)/2)) &lt;#REF!, "Dp","Df")</f>
        <v>#DIV/0!</v>
      </c>
      <c r="FU27">
        <v>2</v>
      </c>
      <c r="FX27">
        <v>26</v>
      </c>
    </row>
    <row r="28" spans="2:180" x14ac:dyDescent="0.2">
      <c r="B28" t="s">
        <v>94</v>
      </c>
      <c r="C28">
        <v>5.4679999999999999E-2</v>
      </c>
      <c r="D28">
        <v>2.2699999999999999E-3</v>
      </c>
      <c r="E28" t="s">
        <v>439</v>
      </c>
      <c r="F28">
        <v>1.379E-2</v>
      </c>
      <c r="G28">
        <v>4.0299999999999997E-3</v>
      </c>
      <c r="H28" t="s">
        <v>439</v>
      </c>
      <c r="I28">
        <v>8.6199999999999992E-3</v>
      </c>
      <c r="J28">
        <v>4.6000000000000001E-4</v>
      </c>
      <c r="K28" t="s">
        <v>439</v>
      </c>
      <c r="L28">
        <v>2.4230000000000002E-2</v>
      </c>
      <c r="M28">
        <v>1.9000000000000001E-4</v>
      </c>
      <c r="N28" t="s">
        <v>439</v>
      </c>
      <c r="O28">
        <v>3.3800000000000002E-3</v>
      </c>
      <c r="P28">
        <v>5.0000000000000002E-5</v>
      </c>
      <c r="Q28" t="s">
        <v>439</v>
      </c>
      <c r="R28">
        <v>3.0499999999999999E-2</v>
      </c>
      <c r="S28">
        <v>8.0000000000000004E-4</v>
      </c>
      <c r="T28" t="s">
        <v>442</v>
      </c>
      <c r="U28">
        <v>1.08E-3</v>
      </c>
      <c r="V28">
        <v>6.0000000000000002E-5</v>
      </c>
      <c r="W28" t="s">
        <v>439</v>
      </c>
      <c r="X28">
        <v>1.277E-2</v>
      </c>
      <c r="Y28">
        <v>1.3999999999999999E-4</v>
      </c>
      <c r="Z28" t="s">
        <v>439</v>
      </c>
      <c r="AA28">
        <v>3.9579999999999997E-2</v>
      </c>
      <c r="AB28">
        <v>2.1000000000000001E-4</v>
      </c>
      <c r="AC28" t="s">
        <v>442</v>
      </c>
      <c r="AD28">
        <v>4.28E-3</v>
      </c>
      <c r="AE28">
        <v>4.4999999999999999E-4</v>
      </c>
      <c r="AF28" t="s">
        <v>442</v>
      </c>
      <c r="AI28" t="s">
        <v>440</v>
      </c>
      <c r="AJ28">
        <v>1.5944400000000001</v>
      </c>
      <c r="AK28">
        <v>3.737E-2</v>
      </c>
      <c r="AL28" t="s">
        <v>441</v>
      </c>
      <c r="AM28">
        <v>0.11736000000000001</v>
      </c>
      <c r="AN28">
        <v>1.83E-3</v>
      </c>
      <c r="AO28" t="s">
        <v>442</v>
      </c>
      <c r="AP28">
        <v>-7.7299999999999999E-3</v>
      </c>
      <c r="AQ28">
        <v>1.4999999999999999E-4</v>
      </c>
      <c r="AR28" t="s">
        <v>439</v>
      </c>
      <c r="AS28">
        <v>0.10585</v>
      </c>
      <c r="AT28">
        <v>1.8799999999999999E-3</v>
      </c>
      <c r="AU28" t="s">
        <v>442</v>
      </c>
      <c r="AV28">
        <v>-1.5299999999999999E-3</v>
      </c>
      <c r="AW28">
        <v>8.0000000000000007E-5</v>
      </c>
      <c r="AX28" t="s">
        <v>439</v>
      </c>
      <c r="AY28">
        <v>-4.6800000000000001E-3</v>
      </c>
      <c r="AZ28">
        <v>8.0000000000000007E-5</v>
      </c>
      <c r="BA28" t="s">
        <v>439</v>
      </c>
      <c r="BB28">
        <v>2.1199999999999999E-3</v>
      </c>
      <c r="BC28">
        <v>1.6000000000000001E-4</v>
      </c>
      <c r="BD28" t="s">
        <v>442</v>
      </c>
      <c r="BE28">
        <v>-4.6000000000000001E-4</v>
      </c>
      <c r="BF28">
        <v>6.9999999999999994E-5</v>
      </c>
      <c r="BG28" t="s">
        <v>439</v>
      </c>
      <c r="BH28">
        <v>9.1E-4</v>
      </c>
      <c r="BI28">
        <v>1.1E-4</v>
      </c>
      <c r="BJ28" t="s">
        <v>439</v>
      </c>
      <c r="BK28">
        <v>1.48E-3</v>
      </c>
      <c r="BL28">
        <v>1.0000000000000001E-5</v>
      </c>
      <c r="BM28" t="s">
        <v>439</v>
      </c>
      <c r="BN28">
        <v>-4.4999999999999999E-4</v>
      </c>
      <c r="BO28">
        <v>2.0000000000000002E-5</v>
      </c>
      <c r="BP28" t="s">
        <v>439</v>
      </c>
      <c r="BQ28">
        <v>-9.1E-4</v>
      </c>
      <c r="BR28">
        <v>2.7E-4</v>
      </c>
      <c r="BS28" t="s">
        <v>439</v>
      </c>
      <c r="BV28" t="s">
        <v>440</v>
      </c>
      <c r="BW28">
        <v>-2.04697</v>
      </c>
      <c r="BX28">
        <v>4.4000000000000002E-4</v>
      </c>
      <c r="BY28" t="s">
        <v>439</v>
      </c>
      <c r="BZ28">
        <v>2.8300000000000001E-3</v>
      </c>
      <c r="CA28">
        <v>5.0000000000000002E-5</v>
      </c>
      <c r="CB28" t="s">
        <v>439</v>
      </c>
      <c r="CC28">
        <v>-2.3500000000000001E-3</v>
      </c>
      <c r="CD28">
        <v>1.06E-3</v>
      </c>
      <c r="CE28" t="s">
        <v>439</v>
      </c>
      <c r="CF28">
        <v>2.0920000000000001E-2</v>
      </c>
      <c r="CG28">
        <v>7.6999999999999996E-4</v>
      </c>
      <c r="CH28" t="s">
        <v>439</v>
      </c>
      <c r="CI28">
        <v>-1.091E-2</v>
      </c>
      <c r="CJ28">
        <v>7.2000000000000005E-4</v>
      </c>
      <c r="CK28" t="s">
        <v>439</v>
      </c>
      <c r="CL28">
        <v>-7.3600000000000002E-3</v>
      </c>
      <c r="CM28">
        <v>5.0000000000000002E-5</v>
      </c>
      <c r="CN28" t="s">
        <v>439</v>
      </c>
      <c r="CO28">
        <v>3.18838</v>
      </c>
      <c r="CP28">
        <v>0.16591</v>
      </c>
      <c r="CQ28" t="s">
        <v>442</v>
      </c>
      <c r="CR28">
        <v>0.89288999999999996</v>
      </c>
      <c r="CS28">
        <v>4.6620000000000002E-2</v>
      </c>
      <c r="CT28" t="s">
        <v>442</v>
      </c>
      <c r="CU28">
        <v>9.9801900000000003</v>
      </c>
      <c r="CV28">
        <v>0.46683999999999998</v>
      </c>
      <c r="CW28" t="s">
        <v>442</v>
      </c>
      <c r="CX28">
        <v>2.8572299999999999</v>
      </c>
      <c r="CY28">
        <v>0.57379999999999998</v>
      </c>
      <c r="CZ28" t="s">
        <v>442</v>
      </c>
      <c r="DA28">
        <v>4.35921</v>
      </c>
      <c r="DB28">
        <v>0.31928000000000001</v>
      </c>
      <c r="DC28" t="s">
        <v>442</v>
      </c>
      <c r="DD28">
        <v>5.5231700000000004</v>
      </c>
      <c r="DE28">
        <v>0.67869999999999997</v>
      </c>
      <c r="DF28" t="s">
        <v>442</v>
      </c>
      <c r="DG28">
        <v>11.889110000000001</v>
      </c>
      <c r="DH28">
        <v>0.33090000000000003</v>
      </c>
      <c r="DI28" t="s">
        <v>442</v>
      </c>
      <c r="DJ28">
        <v>1.137E-2</v>
      </c>
      <c r="DK28">
        <v>5.6600000000000001E-3</v>
      </c>
      <c r="DL28" t="s">
        <v>439</v>
      </c>
      <c r="DM28">
        <v>4.0499999999999998E-3</v>
      </c>
      <c r="DN28">
        <v>4.0999999999999999E-4</v>
      </c>
      <c r="DO28" t="s">
        <v>442</v>
      </c>
      <c r="DP28">
        <v>0.15695000000000001</v>
      </c>
      <c r="DQ28">
        <v>4.7699999999999999E-3</v>
      </c>
      <c r="DR28" t="s">
        <v>442</v>
      </c>
      <c r="DS28">
        <v>5.0849999999999999E-2</v>
      </c>
      <c r="DT28">
        <v>2.3600000000000001E-3</v>
      </c>
      <c r="DU28" t="s">
        <v>442</v>
      </c>
      <c r="DV28">
        <v>4.5886199999999997</v>
      </c>
      <c r="DW28">
        <v>0.18809999999999999</v>
      </c>
      <c r="DX28" t="s">
        <v>442</v>
      </c>
      <c r="DY28">
        <v>1.9959999999999999E-2</v>
      </c>
      <c r="DZ28">
        <v>2.2200000000000002E-3</v>
      </c>
      <c r="EA28" t="s">
        <v>439</v>
      </c>
      <c r="EB28">
        <v>0.29386000000000001</v>
      </c>
      <c r="EC28">
        <v>8.8199999999999997E-3</v>
      </c>
      <c r="ED28" t="s">
        <v>442</v>
      </c>
      <c r="EE28">
        <v>0.28510999999999997</v>
      </c>
      <c r="EF28">
        <v>7.1999999999999998E-3</v>
      </c>
      <c r="EG28" t="s">
        <v>442</v>
      </c>
      <c r="EH28">
        <v>3.34178</v>
      </c>
      <c r="EI28">
        <v>0.13652</v>
      </c>
      <c r="EJ28" t="s">
        <v>442</v>
      </c>
      <c r="EM28" t="s">
        <v>440</v>
      </c>
      <c r="EN28">
        <v>1.6554199999999999</v>
      </c>
      <c r="EO28">
        <v>8.1299999999999997E-2</v>
      </c>
      <c r="EP28" t="s">
        <v>442</v>
      </c>
      <c r="ES28" t="s">
        <v>440</v>
      </c>
      <c r="ET28">
        <v>2.9938500000000001</v>
      </c>
      <c r="EU28">
        <v>1.916E-2</v>
      </c>
      <c r="EV28" t="s">
        <v>442</v>
      </c>
      <c r="EW28">
        <v>-8.4000000000000003E-4</v>
      </c>
      <c r="EX28">
        <v>3.8999999999999999E-4</v>
      </c>
      <c r="EY28" t="s">
        <v>439</v>
      </c>
      <c r="EZ28">
        <v>1.257E-2</v>
      </c>
      <c r="FA28">
        <v>7.8499999999999993E-3</v>
      </c>
      <c r="FB28" t="s">
        <v>439</v>
      </c>
      <c r="FC28">
        <v>1.498E-2</v>
      </c>
      <c r="FD28">
        <v>3.4079999999999999E-2</v>
      </c>
      <c r="FE28" t="s">
        <v>439</v>
      </c>
      <c r="FF28">
        <v>0.53968000000000005</v>
      </c>
      <c r="FG28">
        <v>8.5029999999999994E-2</v>
      </c>
      <c r="FH28" t="s">
        <v>441</v>
      </c>
      <c r="FK28" t="s">
        <v>440</v>
      </c>
      <c r="FN28" t="s">
        <v>440</v>
      </c>
      <c r="FO28">
        <v>1.7070700000000001</v>
      </c>
      <c r="FP28">
        <v>5.253E-2</v>
      </c>
      <c r="FQ28" t="s">
        <v>441</v>
      </c>
      <c r="FT28" t="s">
        <v>440</v>
      </c>
      <c r="FX28">
        <v>27</v>
      </c>
    </row>
    <row r="29" spans="2:180" x14ac:dyDescent="0.2">
      <c r="B29" t="s">
        <v>95</v>
      </c>
      <c r="C29">
        <v>0.28419</v>
      </c>
      <c r="D29">
        <v>2.3500000000000001E-3</v>
      </c>
      <c r="E29" t="s">
        <v>442</v>
      </c>
      <c r="F29">
        <v>1.227E-2</v>
      </c>
      <c r="G29">
        <v>6.2E-4</v>
      </c>
      <c r="H29" t="s">
        <v>439</v>
      </c>
      <c r="I29">
        <v>2.8218999999999999</v>
      </c>
      <c r="J29">
        <v>8.5900000000000004E-3</v>
      </c>
      <c r="K29" t="s">
        <v>442</v>
      </c>
      <c r="L29">
        <v>0.13594000000000001</v>
      </c>
      <c r="M29">
        <v>7.1000000000000002E-4</v>
      </c>
      <c r="N29" t="s">
        <v>442</v>
      </c>
      <c r="O29">
        <v>9.0100000000000006E-3</v>
      </c>
      <c r="P29">
        <v>1.2E-4</v>
      </c>
      <c r="Q29" t="s">
        <v>442</v>
      </c>
      <c r="R29">
        <v>0.31017</v>
      </c>
      <c r="S29">
        <v>3.3700000000000002E-3</v>
      </c>
      <c r="T29" t="s">
        <v>442</v>
      </c>
      <c r="U29">
        <v>2.2200000000000002E-3</v>
      </c>
      <c r="V29">
        <v>6.9999999999999994E-5</v>
      </c>
      <c r="W29" t="s">
        <v>439</v>
      </c>
      <c r="X29">
        <v>1.7100000000000001E-2</v>
      </c>
      <c r="Y29">
        <v>6.8999999999999997E-4</v>
      </c>
      <c r="Z29" t="s">
        <v>442</v>
      </c>
      <c r="AA29">
        <v>0.71335999999999999</v>
      </c>
      <c r="AB29">
        <v>1.1999999999999999E-3</v>
      </c>
      <c r="AC29" t="s">
        <v>442</v>
      </c>
      <c r="AD29">
        <v>0.87494000000000005</v>
      </c>
      <c r="AE29">
        <v>3.0999999999999999E-3</v>
      </c>
      <c r="AF29" t="s">
        <v>442</v>
      </c>
      <c r="AI29" t="s">
        <v>440</v>
      </c>
      <c r="AJ29">
        <v>45.57199</v>
      </c>
      <c r="AK29">
        <v>0.25913999999999998</v>
      </c>
      <c r="AL29" t="s">
        <v>441</v>
      </c>
      <c r="AM29">
        <v>185.74779000000001</v>
      </c>
      <c r="AN29">
        <v>1.25665</v>
      </c>
      <c r="AO29" t="s">
        <v>442</v>
      </c>
      <c r="AP29">
        <v>0.11212</v>
      </c>
      <c r="AQ29">
        <v>5.1999999999999995E-4</v>
      </c>
      <c r="AR29" t="s">
        <v>442</v>
      </c>
      <c r="AS29">
        <v>1.4758899999999999</v>
      </c>
      <c r="AT29">
        <v>2.6190000000000001E-2</v>
      </c>
      <c r="AU29" t="s">
        <v>442</v>
      </c>
      <c r="AV29">
        <v>1.924E-2</v>
      </c>
      <c r="AW29">
        <v>4.2999999999999999E-4</v>
      </c>
      <c r="AX29" t="s">
        <v>442</v>
      </c>
      <c r="AY29">
        <v>3.9100000000000003E-3</v>
      </c>
      <c r="AZ29">
        <v>1.1E-4</v>
      </c>
      <c r="BA29" t="s">
        <v>442</v>
      </c>
      <c r="BB29">
        <v>5.9100000000000003E-3</v>
      </c>
      <c r="BC29">
        <v>4.0999999999999999E-4</v>
      </c>
      <c r="BD29" t="s">
        <v>442</v>
      </c>
      <c r="BE29">
        <v>6.0999999999999997E-4</v>
      </c>
      <c r="BF29">
        <v>6.9999999999999994E-5</v>
      </c>
      <c r="BG29" t="s">
        <v>439</v>
      </c>
      <c r="BH29">
        <v>1.81E-3</v>
      </c>
      <c r="BI29">
        <v>2.4000000000000001E-4</v>
      </c>
      <c r="BJ29" t="s">
        <v>442</v>
      </c>
      <c r="BK29">
        <v>1.65E-3</v>
      </c>
      <c r="BL29">
        <v>2.0000000000000002E-5</v>
      </c>
      <c r="BM29" t="s">
        <v>439</v>
      </c>
      <c r="BN29">
        <v>3.6999999999999999E-4</v>
      </c>
      <c r="BO29">
        <v>1.2999999999999999E-4</v>
      </c>
      <c r="BP29" t="s">
        <v>439</v>
      </c>
      <c r="BQ29">
        <v>9.11E-3</v>
      </c>
      <c r="BR29">
        <v>5.9999999999999995E-4</v>
      </c>
      <c r="BS29" t="s">
        <v>442</v>
      </c>
      <c r="BV29" t="s">
        <v>440</v>
      </c>
      <c r="BW29">
        <v>-2.04867</v>
      </c>
      <c r="BX29">
        <v>4.4999999999999999E-4</v>
      </c>
      <c r="BY29" t="s">
        <v>439</v>
      </c>
      <c r="BZ29">
        <v>7.8079999999999997E-2</v>
      </c>
      <c r="CA29">
        <v>7.3999999999999999E-4</v>
      </c>
      <c r="CB29" t="s">
        <v>442</v>
      </c>
      <c r="CC29">
        <v>10.71466</v>
      </c>
      <c r="CD29">
        <v>8.7970000000000007E-2</v>
      </c>
      <c r="CE29" t="s">
        <v>442</v>
      </c>
      <c r="CF29">
        <v>11.69303</v>
      </c>
      <c r="CG29">
        <v>9.1869999999999993E-2</v>
      </c>
      <c r="CH29" t="s">
        <v>442</v>
      </c>
      <c r="CI29">
        <v>10.891109999999999</v>
      </c>
      <c r="CJ29">
        <v>4.5580000000000002E-2</v>
      </c>
      <c r="CK29" t="s">
        <v>442</v>
      </c>
      <c r="CL29">
        <v>1.62283</v>
      </c>
      <c r="CM29">
        <v>6.2599999999999999E-3</v>
      </c>
      <c r="CN29" t="s">
        <v>442</v>
      </c>
      <c r="CO29">
        <v>533.51449000000002</v>
      </c>
      <c r="CP29">
        <v>8.8195899999999998</v>
      </c>
      <c r="CQ29" t="s">
        <v>442</v>
      </c>
      <c r="CR29">
        <v>3.4883099999999998</v>
      </c>
      <c r="CS29">
        <v>0.10065</v>
      </c>
      <c r="CT29" t="s">
        <v>442</v>
      </c>
      <c r="CU29">
        <v>34.746980000000001</v>
      </c>
      <c r="CV29">
        <v>0.43765999999999999</v>
      </c>
      <c r="CW29" t="s">
        <v>442</v>
      </c>
      <c r="CX29">
        <v>200.75317999999999</v>
      </c>
      <c r="CY29">
        <v>2.59721</v>
      </c>
      <c r="CZ29" t="s">
        <v>442</v>
      </c>
      <c r="DA29">
        <v>62.12623</v>
      </c>
      <c r="DB29">
        <v>1.5829200000000001</v>
      </c>
      <c r="DC29" t="s">
        <v>442</v>
      </c>
      <c r="DD29">
        <v>386.44391999999999</v>
      </c>
      <c r="DE29">
        <v>6.6821599999999997</v>
      </c>
      <c r="DF29" t="s">
        <v>442</v>
      </c>
      <c r="DG29">
        <v>27.571570000000001</v>
      </c>
      <c r="DH29">
        <v>0.76041999999999998</v>
      </c>
      <c r="DI29" t="s">
        <v>442</v>
      </c>
      <c r="DJ29">
        <v>0.17049</v>
      </c>
      <c r="DK29">
        <v>1.2840000000000001E-2</v>
      </c>
      <c r="DL29" t="s">
        <v>442</v>
      </c>
      <c r="DM29">
        <v>1.9730000000000001E-2</v>
      </c>
      <c r="DN29">
        <v>6.2E-4</v>
      </c>
      <c r="DO29" t="s">
        <v>442</v>
      </c>
      <c r="DP29">
        <v>4.4135499999999999</v>
      </c>
      <c r="DQ29">
        <v>6.6930000000000003E-2</v>
      </c>
      <c r="DR29" t="s">
        <v>442</v>
      </c>
      <c r="DS29">
        <v>1.81121</v>
      </c>
      <c r="DT29">
        <v>2.8680000000000001E-2</v>
      </c>
      <c r="DU29" t="s">
        <v>442</v>
      </c>
      <c r="DV29">
        <v>22.09055</v>
      </c>
      <c r="DW29">
        <v>0.38197999999999999</v>
      </c>
      <c r="DX29" t="s">
        <v>442</v>
      </c>
      <c r="DY29">
        <v>0.41317999999999999</v>
      </c>
      <c r="DZ29">
        <v>7.3200000000000001E-3</v>
      </c>
      <c r="EA29" t="s">
        <v>442</v>
      </c>
      <c r="EB29">
        <v>2.41642</v>
      </c>
      <c r="EC29">
        <v>6.7169999999999994E-2</v>
      </c>
      <c r="ED29" t="s">
        <v>442</v>
      </c>
      <c r="EE29">
        <v>29.075980000000001</v>
      </c>
      <c r="EF29">
        <v>0.53224000000000005</v>
      </c>
      <c r="EG29" t="s">
        <v>442</v>
      </c>
      <c r="EH29">
        <v>2182.4995699999999</v>
      </c>
      <c r="EI29">
        <v>54.045819999999999</v>
      </c>
      <c r="EJ29" t="s">
        <v>442</v>
      </c>
      <c r="EM29" t="s">
        <v>440</v>
      </c>
      <c r="EN29">
        <v>53.991810000000001</v>
      </c>
      <c r="EO29">
        <v>0.96020000000000005</v>
      </c>
      <c r="EP29" t="s">
        <v>442</v>
      </c>
      <c r="ES29" t="s">
        <v>440</v>
      </c>
      <c r="ET29">
        <v>635.17556999999999</v>
      </c>
      <c r="EU29">
        <v>19.396229999999999</v>
      </c>
      <c r="EV29" t="s">
        <v>442</v>
      </c>
      <c r="EW29">
        <v>0.22536999999999999</v>
      </c>
      <c r="EX29">
        <v>7.2199999999999999E-3</v>
      </c>
      <c r="EY29" t="s">
        <v>442</v>
      </c>
      <c r="EZ29">
        <v>124.47266</v>
      </c>
      <c r="FA29">
        <v>3.8614700000000002</v>
      </c>
      <c r="FB29" t="s">
        <v>442</v>
      </c>
      <c r="FC29">
        <v>6.6204099999999997</v>
      </c>
      <c r="FD29">
        <v>0.21299999999999999</v>
      </c>
      <c r="FE29" t="s">
        <v>442</v>
      </c>
      <c r="FF29">
        <v>6.8989000000000003</v>
      </c>
      <c r="FG29">
        <v>0.33867999999999998</v>
      </c>
      <c r="FH29" t="s">
        <v>441</v>
      </c>
      <c r="FK29" t="s">
        <v>440</v>
      </c>
      <c r="FN29" t="s">
        <v>440</v>
      </c>
      <c r="FO29">
        <v>51.974939999999997</v>
      </c>
      <c r="FP29">
        <v>1.1643699999999999</v>
      </c>
      <c r="FQ29" t="s">
        <v>441</v>
      </c>
      <c r="FT29" t="s">
        <v>440</v>
      </c>
      <c r="FX29">
        <v>28</v>
      </c>
    </row>
    <row r="30" spans="2:180" x14ac:dyDescent="0.2">
      <c r="B30" t="s">
        <v>96</v>
      </c>
      <c r="C30">
        <v>6.2530000000000002E-2</v>
      </c>
      <c r="D30">
        <v>4.2500000000000003E-3</v>
      </c>
      <c r="E30" t="s">
        <v>442</v>
      </c>
      <c r="F30">
        <v>1.8079999999999999E-2</v>
      </c>
      <c r="G30">
        <v>3.3600000000000001E-3</v>
      </c>
      <c r="H30" t="s">
        <v>439</v>
      </c>
      <c r="I30">
        <v>0.3548</v>
      </c>
      <c r="J30">
        <v>3.49E-3</v>
      </c>
      <c r="K30" t="s">
        <v>442</v>
      </c>
      <c r="L30">
        <v>5.595E-2</v>
      </c>
      <c r="M30">
        <v>7.6000000000000004E-4</v>
      </c>
      <c r="N30" t="s">
        <v>442</v>
      </c>
      <c r="O30">
        <v>5.6899999999999997E-3</v>
      </c>
      <c r="P30">
        <v>5.0000000000000002E-5</v>
      </c>
      <c r="Q30" t="s">
        <v>442</v>
      </c>
      <c r="R30">
        <v>0.17036999999999999</v>
      </c>
      <c r="S30">
        <v>3.2200000000000002E-3</v>
      </c>
      <c r="T30" t="s">
        <v>442</v>
      </c>
      <c r="U30">
        <v>8.7000000000000001E-4</v>
      </c>
      <c r="V30">
        <v>1.2E-4</v>
      </c>
      <c r="W30" t="s">
        <v>439</v>
      </c>
      <c r="X30">
        <v>1.4080000000000001E-2</v>
      </c>
      <c r="Y30">
        <v>1.2999999999999999E-4</v>
      </c>
      <c r="Z30" t="s">
        <v>439</v>
      </c>
      <c r="AA30">
        <v>0.32773999999999998</v>
      </c>
      <c r="AB30">
        <v>1.5299999999999999E-3</v>
      </c>
      <c r="AC30" t="s">
        <v>442</v>
      </c>
      <c r="AD30">
        <v>3.9570000000000001E-2</v>
      </c>
      <c r="AE30">
        <v>4.4999999999999999E-4</v>
      </c>
      <c r="AF30" t="s">
        <v>442</v>
      </c>
      <c r="AI30" t="s">
        <v>440</v>
      </c>
      <c r="AJ30">
        <v>1.6555299999999999</v>
      </c>
      <c r="AK30">
        <v>2.8420000000000001E-2</v>
      </c>
      <c r="AL30" t="s">
        <v>441</v>
      </c>
      <c r="AM30">
        <v>8.6087399999999992</v>
      </c>
      <c r="AN30">
        <v>0.12332</v>
      </c>
      <c r="AO30" t="s">
        <v>442</v>
      </c>
      <c r="AP30">
        <v>8.4899999999999993E-3</v>
      </c>
      <c r="AQ30">
        <v>6.9999999999999999E-4</v>
      </c>
      <c r="AR30" t="s">
        <v>442</v>
      </c>
      <c r="AS30">
        <v>0.21775</v>
      </c>
      <c r="AT30">
        <v>2.63E-3</v>
      </c>
      <c r="AU30" t="s">
        <v>442</v>
      </c>
      <c r="AV30">
        <v>1.0300000000000001E-3</v>
      </c>
      <c r="AW30">
        <v>1.8000000000000001E-4</v>
      </c>
      <c r="AX30" t="s">
        <v>439</v>
      </c>
      <c r="AY30">
        <v>6.6E-4</v>
      </c>
      <c r="AZ30">
        <v>3.6000000000000002E-4</v>
      </c>
      <c r="BA30" t="s">
        <v>439</v>
      </c>
      <c r="BB30">
        <v>4.7600000000000003E-3</v>
      </c>
      <c r="BC30">
        <v>2.1000000000000001E-4</v>
      </c>
      <c r="BD30" t="s">
        <v>442</v>
      </c>
      <c r="BE30">
        <v>2.7999999999999998E-4</v>
      </c>
      <c r="BF30">
        <v>1.8000000000000001E-4</v>
      </c>
      <c r="BG30" t="s">
        <v>439</v>
      </c>
      <c r="BH30">
        <v>1.73E-3</v>
      </c>
      <c r="BI30">
        <v>2.5999999999999998E-4</v>
      </c>
      <c r="BJ30" t="s">
        <v>439</v>
      </c>
      <c r="BK30">
        <v>1.57E-3</v>
      </c>
      <c r="BL30">
        <v>4.0000000000000003E-5</v>
      </c>
      <c r="BM30" t="s">
        <v>439</v>
      </c>
      <c r="BN30">
        <v>2.0000000000000001E-4</v>
      </c>
      <c r="BO30">
        <v>2.7999999999999998E-4</v>
      </c>
      <c r="BP30" t="s">
        <v>439</v>
      </c>
      <c r="BQ30">
        <v>1.9220000000000001E-2</v>
      </c>
      <c r="BR30">
        <v>1.1000000000000001E-3</v>
      </c>
      <c r="BS30" t="s">
        <v>442</v>
      </c>
      <c r="BV30" t="s">
        <v>440</v>
      </c>
      <c r="BW30">
        <v>-2.0482900000000002</v>
      </c>
      <c r="BX30">
        <v>6.0999999999999997E-4</v>
      </c>
      <c r="BY30" t="s">
        <v>439</v>
      </c>
      <c r="BZ30">
        <v>9.2599999999999991E-3</v>
      </c>
      <c r="CA30">
        <v>1.6000000000000001E-4</v>
      </c>
      <c r="CB30" t="s">
        <v>442</v>
      </c>
      <c r="CC30">
        <v>0.61538999999999999</v>
      </c>
      <c r="CD30">
        <v>1.153E-2</v>
      </c>
      <c r="CE30" t="s">
        <v>442</v>
      </c>
      <c r="CF30">
        <v>0.61633000000000004</v>
      </c>
      <c r="CG30">
        <v>9.7000000000000003E-3</v>
      </c>
      <c r="CH30" t="s">
        <v>442</v>
      </c>
      <c r="CI30">
        <v>0.61011000000000004</v>
      </c>
      <c r="CJ30">
        <v>1.4829999999999999E-2</v>
      </c>
      <c r="CK30" t="s">
        <v>442</v>
      </c>
      <c r="CL30">
        <v>0.11251</v>
      </c>
      <c r="CM30">
        <v>2.6900000000000001E-3</v>
      </c>
      <c r="CN30" t="s">
        <v>442</v>
      </c>
      <c r="CO30">
        <v>92.926749999999998</v>
      </c>
      <c r="CP30">
        <v>1.08046</v>
      </c>
      <c r="CQ30" t="s">
        <v>442</v>
      </c>
      <c r="CR30">
        <v>2.6974999999999998</v>
      </c>
      <c r="CS30">
        <v>5.4640000000000001E-2</v>
      </c>
      <c r="CT30" t="s">
        <v>442</v>
      </c>
      <c r="CU30">
        <v>11.858449999999999</v>
      </c>
      <c r="CV30">
        <v>0.19863</v>
      </c>
      <c r="CW30" t="s">
        <v>442</v>
      </c>
      <c r="CX30">
        <v>19.72523</v>
      </c>
      <c r="CY30">
        <v>0.83848999999999996</v>
      </c>
      <c r="CZ30" t="s">
        <v>442</v>
      </c>
      <c r="DA30">
        <v>7.6949500000000004</v>
      </c>
      <c r="DB30">
        <v>0.18811</v>
      </c>
      <c r="DC30" t="s">
        <v>442</v>
      </c>
      <c r="DD30">
        <v>48.675260000000002</v>
      </c>
      <c r="DE30">
        <v>1.08534</v>
      </c>
      <c r="DF30" t="s">
        <v>442</v>
      </c>
      <c r="DG30">
        <v>15.258419999999999</v>
      </c>
      <c r="DH30">
        <v>0.84538000000000002</v>
      </c>
      <c r="DI30" t="s">
        <v>442</v>
      </c>
      <c r="DJ30">
        <v>5.305E-2</v>
      </c>
      <c r="DK30">
        <v>6.5300000000000002E-3</v>
      </c>
      <c r="DL30" t="s">
        <v>442</v>
      </c>
      <c r="DM30">
        <v>4.095E-2</v>
      </c>
      <c r="DN30">
        <v>1.8699999999999999E-3</v>
      </c>
      <c r="DO30" t="s">
        <v>442</v>
      </c>
      <c r="DP30">
        <v>8.5123999999999995</v>
      </c>
      <c r="DQ30">
        <v>0.22398999999999999</v>
      </c>
      <c r="DR30" t="s">
        <v>442</v>
      </c>
      <c r="DS30">
        <v>1.4924500000000001</v>
      </c>
      <c r="DT30">
        <v>2.3009999999999999E-2</v>
      </c>
      <c r="DU30" t="s">
        <v>442</v>
      </c>
      <c r="DV30">
        <v>43.454599999999999</v>
      </c>
      <c r="DW30">
        <v>0.61816000000000004</v>
      </c>
      <c r="DX30" t="s">
        <v>442</v>
      </c>
      <c r="DY30">
        <v>4.2930000000000003E-2</v>
      </c>
      <c r="DZ30">
        <v>1.83E-3</v>
      </c>
      <c r="EA30" t="s">
        <v>442</v>
      </c>
      <c r="EB30">
        <v>3.1089899999999999</v>
      </c>
      <c r="EC30">
        <v>6.6500000000000004E-2</v>
      </c>
      <c r="ED30" t="s">
        <v>442</v>
      </c>
      <c r="EE30">
        <v>3.6921599999999999</v>
      </c>
      <c r="EF30">
        <v>5.4010000000000002E-2</v>
      </c>
      <c r="EG30" t="s">
        <v>442</v>
      </c>
      <c r="EH30">
        <v>85.747889999999998</v>
      </c>
      <c r="EI30">
        <v>0.92593000000000003</v>
      </c>
      <c r="EJ30" t="s">
        <v>442</v>
      </c>
      <c r="EM30" t="s">
        <v>440</v>
      </c>
      <c r="EN30">
        <v>1.7728200000000001</v>
      </c>
      <c r="EO30">
        <v>2.1499999999999998E-2</v>
      </c>
      <c r="EP30" t="s">
        <v>442</v>
      </c>
      <c r="ES30" t="s">
        <v>440</v>
      </c>
      <c r="ET30">
        <v>126.23908</v>
      </c>
      <c r="EU30">
        <v>3.5328900000000001</v>
      </c>
      <c r="EV30" t="s">
        <v>442</v>
      </c>
      <c r="EW30">
        <v>6.1999999999999998E-3</v>
      </c>
      <c r="EX30">
        <v>2.0500000000000002E-3</v>
      </c>
      <c r="EY30" t="s">
        <v>439</v>
      </c>
      <c r="EZ30">
        <v>6.5716299999999999</v>
      </c>
      <c r="FA30">
        <v>0.17330000000000001</v>
      </c>
      <c r="FB30" t="s">
        <v>442</v>
      </c>
      <c r="FC30">
        <v>0.28625</v>
      </c>
      <c r="FD30">
        <v>8.6800000000000002E-2</v>
      </c>
      <c r="FE30" t="s">
        <v>439</v>
      </c>
      <c r="FF30">
        <v>2.0878899999999998</v>
      </c>
      <c r="FG30">
        <v>0.4113</v>
      </c>
      <c r="FH30" t="s">
        <v>441</v>
      </c>
      <c r="FK30" t="s">
        <v>440</v>
      </c>
      <c r="FN30" t="s">
        <v>440</v>
      </c>
      <c r="FO30">
        <v>1.7898499999999999</v>
      </c>
      <c r="FP30">
        <v>4.7460000000000002E-2</v>
      </c>
      <c r="FQ30" t="s">
        <v>441</v>
      </c>
      <c r="FT30" t="s">
        <v>440</v>
      </c>
      <c r="FX30">
        <v>29</v>
      </c>
    </row>
    <row r="31" spans="2:180" x14ac:dyDescent="0.2">
      <c r="B31" t="s">
        <v>97</v>
      </c>
      <c r="C31">
        <v>0.47987999999999997</v>
      </c>
      <c r="D31">
        <v>1E-3</v>
      </c>
      <c r="E31" t="s">
        <v>442</v>
      </c>
      <c r="F31">
        <v>1.4670000000000001E-2</v>
      </c>
      <c r="G31">
        <v>1.4E-3</v>
      </c>
      <c r="H31" t="s">
        <v>439</v>
      </c>
      <c r="I31">
        <v>5.54901</v>
      </c>
      <c r="J31">
        <v>1.5679999999999999E-2</v>
      </c>
      <c r="K31" t="s">
        <v>442</v>
      </c>
      <c r="L31">
        <v>0.25152000000000002</v>
      </c>
      <c r="M31">
        <v>5.1999999999999995E-4</v>
      </c>
      <c r="N31" t="s">
        <v>442</v>
      </c>
      <c r="O31">
        <v>5.8300000000000001E-3</v>
      </c>
      <c r="P31">
        <v>8.0000000000000007E-5</v>
      </c>
      <c r="Q31" t="s">
        <v>442</v>
      </c>
      <c r="R31">
        <v>0.57906999999999997</v>
      </c>
      <c r="S31">
        <v>8.3400000000000002E-3</v>
      </c>
      <c r="T31" t="s">
        <v>442</v>
      </c>
      <c r="U31">
        <v>2.82E-3</v>
      </c>
      <c r="V31">
        <v>6.0000000000000002E-5</v>
      </c>
      <c r="W31" t="s">
        <v>439</v>
      </c>
      <c r="X31">
        <v>1.7729999999999999E-2</v>
      </c>
      <c r="Y31">
        <v>1.1E-4</v>
      </c>
      <c r="Z31" t="s">
        <v>442</v>
      </c>
      <c r="AA31">
        <v>10.269019999999999</v>
      </c>
      <c r="AB31">
        <v>6.3130000000000006E-2</v>
      </c>
      <c r="AC31" t="s">
        <v>442</v>
      </c>
      <c r="AD31">
        <v>3.4956700000000001</v>
      </c>
      <c r="AE31">
        <v>1.8550000000000001E-2</v>
      </c>
      <c r="AF31" t="s">
        <v>442</v>
      </c>
      <c r="AI31" t="s">
        <v>440</v>
      </c>
      <c r="AJ31">
        <v>60.5886</v>
      </c>
      <c r="AK31">
        <v>0.33087</v>
      </c>
      <c r="AL31" t="s">
        <v>441</v>
      </c>
      <c r="AM31">
        <v>235.86897999999999</v>
      </c>
      <c r="AN31">
        <v>0.86653000000000002</v>
      </c>
      <c r="AO31" t="s">
        <v>442</v>
      </c>
      <c r="AP31">
        <v>0.20349</v>
      </c>
      <c r="AQ31">
        <v>1.1000000000000001E-3</v>
      </c>
      <c r="AR31" t="s">
        <v>442</v>
      </c>
      <c r="AS31">
        <v>2.8582900000000002</v>
      </c>
      <c r="AT31">
        <v>2.3089999999999999E-2</v>
      </c>
      <c r="AU31" t="s">
        <v>442</v>
      </c>
      <c r="AV31">
        <v>2.1760000000000002E-2</v>
      </c>
      <c r="AW31">
        <v>4.0000000000000002E-4</v>
      </c>
      <c r="AX31" t="s">
        <v>442</v>
      </c>
      <c r="AY31">
        <v>1.24E-3</v>
      </c>
      <c r="AZ31">
        <v>1.2999999999999999E-4</v>
      </c>
      <c r="BA31" t="s">
        <v>442</v>
      </c>
      <c r="BB31">
        <v>4.4000000000000003E-3</v>
      </c>
      <c r="BC31">
        <v>1.2E-4</v>
      </c>
      <c r="BD31" t="s">
        <v>442</v>
      </c>
      <c r="BE31">
        <v>1.3699999999999999E-3</v>
      </c>
      <c r="BF31">
        <v>3.0000000000000001E-5</v>
      </c>
      <c r="BG31" t="s">
        <v>442</v>
      </c>
      <c r="BH31">
        <v>1.5499999999999999E-3</v>
      </c>
      <c r="BI31">
        <v>1.2E-4</v>
      </c>
      <c r="BJ31" t="s">
        <v>439</v>
      </c>
      <c r="BK31">
        <v>1.56E-3</v>
      </c>
      <c r="BL31">
        <v>2.0000000000000002E-5</v>
      </c>
      <c r="BM31" t="s">
        <v>439</v>
      </c>
      <c r="BN31">
        <v>1.2E-4</v>
      </c>
      <c r="BO31">
        <v>6.9999999999999994E-5</v>
      </c>
      <c r="BP31" t="s">
        <v>439</v>
      </c>
      <c r="BQ31">
        <v>0.12366000000000001</v>
      </c>
      <c r="BR31">
        <v>1.09E-3</v>
      </c>
      <c r="BS31" t="s">
        <v>442</v>
      </c>
      <c r="BV31" t="s">
        <v>440</v>
      </c>
      <c r="BW31">
        <v>-2.04867</v>
      </c>
      <c r="BX31">
        <v>2.3000000000000001E-4</v>
      </c>
      <c r="BY31" t="s">
        <v>439</v>
      </c>
      <c r="BZ31">
        <v>0.12973000000000001</v>
      </c>
      <c r="CA31">
        <v>7.2999999999999996E-4</v>
      </c>
      <c r="CB31" t="s">
        <v>442</v>
      </c>
      <c r="CC31">
        <v>20.099920000000001</v>
      </c>
      <c r="CD31">
        <v>0.11713999999999999</v>
      </c>
      <c r="CE31" t="s">
        <v>442</v>
      </c>
      <c r="CF31">
        <v>19.552689999999998</v>
      </c>
      <c r="CG31">
        <v>0.12598999999999999</v>
      </c>
      <c r="CH31" t="s">
        <v>442</v>
      </c>
      <c r="CI31">
        <v>20.13871</v>
      </c>
      <c r="CJ31">
        <v>8.1710000000000005E-2</v>
      </c>
      <c r="CK31" t="s">
        <v>442</v>
      </c>
      <c r="CL31">
        <v>1.9528000000000001</v>
      </c>
      <c r="CM31">
        <v>1.3169999999999999E-2</v>
      </c>
      <c r="CN31" t="s">
        <v>442</v>
      </c>
      <c r="CO31">
        <v>1425.2412099999999</v>
      </c>
      <c r="CP31">
        <v>27.22963</v>
      </c>
      <c r="CQ31" t="s">
        <v>442</v>
      </c>
      <c r="CR31">
        <v>5.7168299999999999</v>
      </c>
      <c r="CS31">
        <v>7.1209999999999996E-2</v>
      </c>
      <c r="CT31" t="s">
        <v>442</v>
      </c>
      <c r="CU31">
        <v>19.79448</v>
      </c>
      <c r="CV31">
        <v>0.31081999999999999</v>
      </c>
      <c r="CW31" t="s">
        <v>442</v>
      </c>
      <c r="CX31">
        <v>690.18687</v>
      </c>
      <c r="CY31">
        <v>13.09686</v>
      </c>
      <c r="CZ31" t="s">
        <v>442</v>
      </c>
      <c r="DA31">
        <v>225.59236000000001</v>
      </c>
      <c r="DB31">
        <v>4.9186100000000001</v>
      </c>
      <c r="DC31" t="s">
        <v>442</v>
      </c>
      <c r="DD31">
        <v>188.73316</v>
      </c>
      <c r="DE31">
        <v>4.6766199999999998</v>
      </c>
      <c r="DF31" t="s">
        <v>442</v>
      </c>
      <c r="DG31">
        <v>51.013039999999997</v>
      </c>
      <c r="DH31">
        <v>1.4069799999999999</v>
      </c>
      <c r="DI31" t="s">
        <v>442</v>
      </c>
      <c r="DJ31">
        <v>0.20787</v>
      </c>
      <c r="DK31">
        <v>2.189E-2</v>
      </c>
      <c r="DL31" t="s">
        <v>442</v>
      </c>
      <c r="DM31">
        <v>7.2849999999999998E-2</v>
      </c>
      <c r="DN31">
        <v>4.5100000000000001E-3</v>
      </c>
      <c r="DO31" t="s">
        <v>442</v>
      </c>
      <c r="DP31">
        <v>13.6264</v>
      </c>
      <c r="DQ31">
        <v>0.36163000000000001</v>
      </c>
      <c r="DR31" t="s">
        <v>442</v>
      </c>
      <c r="DS31">
        <v>6.1896199999999997</v>
      </c>
      <c r="DT31">
        <v>8.1670000000000006E-2</v>
      </c>
      <c r="DU31" t="s">
        <v>442</v>
      </c>
      <c r="DV31">
        <v>57.91104</v>
      </c>
      <c r="DW31">
        <v>1.8652899999999999</v>
      </c>
      <c r="DX31" t="s">
        <v>442</v>
      </c>
      <c r="DY31">
        <v>0.66283000000000003</v>
      </c>
      <c r="DZ31">
        <v>2.2040000000000001E-2</v>
      </c>
      <c r="EA31" t="s">
        <v>442</v>
      </c>
      <c r="EB31">
        <v>7.97905</v>
      </c>
      <c r="EC31">
        <v>0.25211</v>
      </c>
      <c r="ED31" t="s">
        <v>442</v>
      </c>
      <c r="EE31">
        <v>45.681780000000003</v>
      </c>
      <c r="EF31">
        <v>1.78101</v>
      </c>
      <c r="EG31" t="s">
        <v>442</v>
      </c>
      <c r="EH31">
        <v>5716.3083500000002</v>
      </c>
      <c r="EI31">
        <v>196.48881</v>
      </c>
      <c r="EJ31" t="s">
        <v>442</v>
      </c>
      <c r="EM31" t="s">
        <v>440</v>
      </c>
      <c r="EN31">
        <v>78.562970000000007</v>
      </c>
      <c r="EO31">
        <v>4.5018000000000002</v>
      </c>
      <c r="EP31" t="s">
        <v>442</v>
      </c>
      <c r="ES31" t="s">
        <v>440</v>
      </c>
      <c r="ET31">
        <v>1817.9044100000001</v>
      </c>
      <c r="EU31">
        <v>26.22823</v>
      </c>
      <c r="EV31" t="s">
        <v>442</v>
      </c>
      <c r="EW31">
        <v>0.1072</v>
      </c>
      <c r="EX31">
        <v>4.2300000000000003E-3</v>
      </c>
      <c r="EY31" t="s">
        <v>442</v>
      </c>
      <c r="EZ31">
        <v>46.658439999999999</v>
      </c>
      <c r="FA31">
        <v>0.80212000000000006</v>
      </c>
      <c r="FB31" t="s">
        <v>442</v>
      </c>
      <c r="FC31">
        <v>1.2895700000000001</v>
      </c>
      <c r="FD31">
        <v>7.3800000000000004E-2</v>
      </c>
      <c r="FE31" t="s">
        <v>439</v>
      </c>
      <c r="FF31">
        <v>2.0050300000000001</v>
      </c>
      <c r="FG31">
        <v>0.27091999999999999</v>
      </c>
      <c r="FH31" t="s">
        <v>441</v>
      </c>
      <c r="FK31" t="s">
        <v>440</v>
      </c>
      <c r="FN31" t="s">
        <v>440</v>
      </c>
      <c r="FO31">
        <v>70.180899999999994</v>
      </c>
      <c r="FP31">
        <v>0.88346999999999998</v>
      </c>
      <c r="FQ31" t="s">
        <v>441</v>
      </c>
      <c r="FT31" t="s">
        <v>440</v>
      </c>
      <c r="FX31">
        <v>30</v>
      </c>
    </row>
    <row r="32" spans="2:180" x14ac:dyDescent="0.2">
      <c r="B32" t="s">
        <v>98</v>
      </c>
      <c r="C32">
        <v>8.2299999999999998E-2</v>
      </c>
      <c r="D32">
        <v>7.2100000000000003E-3</v>
      </c>
      <c r="E32" t="s">
        <v>442</v>
      </c>
      <c r="F32">
        <v>1.661E-2</v>
      </c>
      <c r="G32">
        <v>1.2999999999999999E-3</v>
      </c>
      <c r="H32" t="s">
        <v>439</v>
      </c>
      <c r="I32">
        <v>0.91747999999999996</v>
      </c>
      <c r="J32">
        <v>2.452E-2</v>
      </c>
      <c r="K32" t="s">
        <v>442</v>
      </c>
      <c r="L32">
        <v>7.8299999999999995E-2</v>
      </c>
      <c r="M32">
        <v>4.8399999999999997E-3</v>
      </c>
      <c r="N32" t="s">
        <v>442</v>
      </c>
      <c r="O32">
        <v>4.1200000000000004E-3</v>
      </c>
      <c r="P32">
        <v>6.9999999999999994E-5</v>
      </c>
      <c r="Q32" t="s">
        <v>442</v>
      </c>
      <c r="R32">
        <v>0.17530999999999999</v>
      </c>
      <c r="S32">
        <v>7.0800000000000004E-3</v>
      </c>
      <c r="T32" t="s">
        <v>442</v>
      </c>
      <c r="U32">
        <v>7.1000000000000002E-4</v>
      </c>
      <c r="V32">
        <v>5.0000000000000002E-5</v>
      </c>
      <c r="W32" t="s">
        <v>439</v>
      </c>
      <c r="X32">
        <v>1.3690000000000001E-2</v>
      </c>
      <c r="Y32">
        <v>2.0000000000000001E-4</v>
      </c>
      <c r="Z32" t="s">
        <v>439</v>
      </c>
      <c r="AA32">
        <v>0.62602999999999998</v>
      </c>
      <c r="AB32">
        <v>2.0760000000000001E-2</v>
      </c>
      <c r="AC32" t="s">
        <v>442</v>
      </c>
      <c r="AD32">
        <v>0.34737000000000001</v>
      </c>
      <c r="AE32">
        <v>1.051E-2</v>
      </c>
      <c r="AF32" t="s">
        <v>442</v>
      </c>
      <c r="AI32" t="s">
        <v>440</v>
      </c>
      <c r="AJ32">
        <v>5.1881399999999998</v>
      </c>
      <c r="AK32">
        <v>0.63851999999999998</v>
      </c>
      <c r="AL32" t="s">
        <v>441</v>
      </c>
      <c r="AM32">
        <v>6.6924200000000003</v>
      </c>
      <c r="AN32">
        <v>1.39446</v>
      </c>
      <c r="AO32" t="s">
        <v>442</v>
      </c>
      <c r="AP32">
        <v>1.8950000000000002E-2</v>
      </c>
      <c r="AQ32">
        <v>5.8599999999999998E-3</v>
      </c>
      <c r="AR32" t="s">
        <v>442</v>
      </c>
      <c r="AS32">
        <v>0.75478000000000001</v>
      </c>
      <c r="AT32">
        <v>6.7369999999999999E-2</v>
      </c>
      <c r="AU32" t="s">
        <v>442</v>
      </c>
      <c r="AV32">
        <v>-3.6000000000000002E-4</v>
      </c>
      <c r="AW32">
        <v>2.0000000000000001E-4</v>
      </c>
      <c r="AX32" t="s">
        <v>439</v>
      </c>
      <c r="AY32">
        <v>-3.0300000000000001E-3</v>
      </c>
      <c r="AZ32">
        <v>3.1E-4</v>
      </c>
      <c r="BA32" t="s">
        <v>439</v>
      </c>
      <c r="BB32">
        <v>3.16E-3</v>
      </c>
      <c r="BC32">
        <v>1.6000000000000001E-4</v>
      </c>
      <c r="BD32" t="s">
        <v>442</v>
      </c>
      <c r="BE32">
        <v>-1.1E-4</v>
      </c>
      <c r="BF32">
        <v>1.3999999999999999E-4</v>
      </c>
      <c r="BG32" t="s">
        <v>439</v>
      </c>
      <c r="BH32">
        <v>1.1999999999999999E-3</v>
      </c>
      <c r="BI32">
        <v>1.2999999999999999E-4</v>
      </c>
      <c r="BJ32" t="s">
        <v>439</v>
      </c>
      <c r="BK32">
        <v>1.5399999999999999E-3</v>
      </c>
      <c r="BL32">
        <v>3.0000000000000001E-5</v>
      </c>
      <c r="BM32" t="s">
        <v>439</v>
      </c>
      <c r="BN32">
        <v>-1.6000000000000001E-4</v>
      </c>
      <c r="BO32">
        <v>2.2000000000000001E-4</v>
      </c>
      <c r="BP32" t="s">
        <v>439</v>
      </c>
      <c r="BQ32">
        <v>2.7799999999999998E-2</v>
      </c>
      <c r="BR32">
        <v>1.9499999999999999E-3</v>
      </c>
      <c r="BS32" t="s">
        <v>442</v>
      </c>
      <c r="BV32" t="s">
        <v>440</v>
      </c>
      <c r="BW32">
        <v>-2.0485199999999999</v>
      </c>
      <c r="BX32">
        <v>2.3000000000000001E-4</v>
      </c>
      <c r="BY32" t="s">
        <v>439</v>
      </c>
      <c r="BZ32">
        <v>2.9780000000000001E-2</v>
      </c>
      <c r="CA32">
        <v>2.5200000000000001E-3</v>
      </c>
      <c r="CB32" t="s">
        <v>442</v>
      </c>
      <c r="CC32">
        <v>3.3584200000000002</v>
      </c>
      <c r="CD32">
        <v>0.30824000000000001</v>
      </c>
      <c r="CE32" t="s">
        <v>442</v>
      </c>
      <c r="CF32">
        <v>3.2840400000000001</v>
      </c>
      <c r="CG32">
        <v>0.24174000000000001</v>
      </c>
      <c r="CH32" t="s">
        <v>442</v>
      </c>
      <c r="CI32">
        <v>3.4748899999999998</v>
      </c>
      <c r="CJ32">
        <v>0.31534000000000001</v>
      </c>
      <c r="CK32" t="s">
        <v>442</v>
      </c>
      <c r="CL32">
        <v>0.49458000000000002</v>
      </c>
      <c r="CM32">
        <v>4.5830000000000003E-2</v>
      </c>
      <c r="CN32" t="s">
        <v>442</v>
      </c>
      <c r="CO32">
        <v>125.33043000000001</v>
      </c>
      <c r="CP32">
        <v>1.74997</v>
      </c>
      <c r="CQ32" t="s">
        <v>442</v>
      </c>
      <c r="CR32">
        <v>1.6495200000000001</v>
      </c>
      <c r="CS32">
        <v>2.044E-2</v>
      </c>
      <c r="CT32" t="s">
        <v>442</v>
      </c>
      <c r="CU32">
        <v>6.00326</v>
      </c>
      <c r="CV32">
        <v>0.10983999999999999</v>
      </c>
      <c r="CW32" t="s">
        <v>442</v>
      </c>
      <c r="CX32">
        <v>40.256689999999999</v>
      </c>
      <c r="CY32">
        <v>0.38899</v>
      </c>
      <c r="CZ32" t="s">
        <v>442</v>
      </c>
      <c r="DA32">
        <v>15.00512</v>
      </c>
      <c r="DB32">
        <v>0.14982000000000001</v>
      </c>
      <c r="DC32" t="s">
        <v>442</v>
      </c>
      <c r="DD32">
        <v>51.426000000000002</v>
      </c>
      <c r="DE32">
        <v>0.24529999999999999</v>
      </c>
      <c r="DF32" t="s">
        <v>442</v>
      </c>
      <c r="DG32">
        <v>11.89983</v>
      </c>
      <c r="DH32">
        <v>0.38913999999999999</v>
      </c>
      <c r="DI32" t="s">
        <v>442</v>
      </c>
      <c r="DJ32">
        <v>2.341E-2</v>
      </c>
      <c r="DK32">
        <v>5.9699999999999996E-3</v>
      </c>
      <c r="DL32" t="s">
        <v>439</v>
      </c>
      <c r="DM32">
        <v>1.005E-2</v>
      </c>
      <c r="DN32">
        <v>2.3000000000000001E-4</v>
      </c>
      <c r="DO32" t="s">
        <v>442</v>
      </c>
      <c r="DP32">
        <v>3.1842299999999999</v>
      </c>
      <c r="DQ32">
        <v>3.8150000000000003E-2</v>
      </c>
      <c r="DR32" t="s">
        <v>442</v>
      </c>
      <c r="DS32">
        <v>1.19309</v>
      </c>
      <c r="DT32">
        <v>1.7350000000000001E-2</v>
      </c>
      <c r="DU32" t="s">
        <v>442</v>
      </c>
      <c r="DV32">
        <v>7.14588</v>
      </c>
      <c r="DW32">
        <v>0.15612000000000001</v>
      </c>
      <c r="DX32" t="s">
        <v>442</v>
      </c>
      <c r="DY32">
        <v>5.4030000000000002E-2</v>
      </c>
      <c r="DZ32">
        <v>1.65E-3</v>
      </c>
      <c r="EA32" t="s">
        <v>442</v>
      </c>
      <c r="EB32">
        <v>0.65169999999999995</v>
      </c>
      <c r="EC32">
        <v>8.6499999999999997E-3</v>
      </c>
      <c r="ED32" t="s">
        <v>442</v>
      </c>
      <c r="EE32">
        <v>3.7575699999999999</v>
      </c>
      <c r="EF32">
        <v>4.0219999999999999E-2</v>
      </c>
      <c r="EG32" t="s">
        <v>442</v>
      </c>
      <c r="EH32">
        <v>655.35036000000002</v>
      </c>
      <c r="EI32">
        <v>10.28961</v>
      </c>
      <c r="EJ32" t="s">
        <v>442</v>
      </c>
      <c r="EM32" t="s">
        <v>440</v>
      </c>
      <c r="EN32">
        <v>5.5281200000000004</v>
      </c>
      <c r="EO32">
        <v>9.1179999999999997E-2</v>
      </c>
      <c r="EP32" t="s">
        <v>442</v>
      </c>
      <c r="ES32" t="s">
        <v>440</v>
      </c>
      <c r="ET32">
        <v>308.39940000000001</v>
      </c>
      <c r="EU32">
        <v>7.8527300000000002</v>
      </c>
      <c r="EV32" t="s">
        <v>442</v>
      </c>
      <c r="EW32">
        <v>5.2540000000000003E-2</v>
      </c>
      <c r="EX32">
        <v>1.47E-3</v>
      </c>
      <c r="EY32" t="s">
        <v>442</v>
      </c>
      <c r="EZ32">
        <v>1.91394</v>
      </c>
      <c r="FA32">
        <v>5.3760000000000002E-2</v>
      </c>
      <c r="FB32" t="s">
        <v>442</v>
      </c>
      <c r="FC32">
        <v>0.22484999999999999</v>
      </c>
      <c r="FD32">
        <v>4.6440000000000002E-2</v>
      </c>
      <c r="FE32" t="s">
        <v>439</v>
      </c>
      <c r="FF32">
        <v>2.0026999999999999</v>
      </c>
      <c r="FG32">
        <v>0.15651999999999999</v>
      </c>
      <c r="FH32" t="s">
        <v>441</v>
      </c>
      <c r="FK32" t="s">
        <v>440</v>
      </c>
      <c r="FN32" t="s">
        <v>440</v>
      </c>
      <c r="FO32">
        <v>5.8158700000000003</v>
      </c>
      <c r="FP32">
        <v>0.18528</v>
      </c>
      <c r="FQ32" t="s">
        <v>441</v>
      </c>
      <c r="FT32" t="s">
        <v>440</v>
      </c>
      <c r="FU32">
        <v>2</v>
      </c>
      <c r="FX32">
        <v>31</v>
      </c>
    </row>
    <row r="33" spans="2:180" x14ac:dyDescent="0.2">
      <c r="B33" t="s">
        <v>99</v>
      </c>
      <c r="C33">
        <v>1.2318899999999999</v>
      </c>
      <c r="D33">
        <v>2.3600000000000001E-3</v>
      </c>
      <c r="E33" t="s">
        <v>443</v>
      </c>
      <c r="F33">
        <v>1.2584299999999999</v>
      </c>
      <c r="G33">
        <v>1.8159999999999999E-2</v>
      </c>
      <c r="H33" t="s">
        <v>443</v>
      </c>
      <c r="I33">
        <v>1.20699</v>
      </c>
      <c r="J33">
        <v>1.2829999999999999E-2</v>
      </c>
      <c r="K33" t="s">
        <v>443</v>
      </c>
      <c r="L33">
        <v>1.25562</v>
      </c>
      <c r="M33">
        <v>1.6539999999999999E-2</v>
      </c>
      <c r="N33" t="s">
        <v>443</v>
      </c>
      <c r="O33">
        <v>1.2180200000000001</v>
      </c>
      <c r="P33">
        <v>2.3859999999999999E-2</v>
      </c>
      <c r="Q33" t="s">
        <v>443</v>
      </c>
      <c r="R33">
        <v>1.1901900000000001</v>
      </c>
      <c r="S33">
        <v>8.09E-3</v>
      </c>
      <c r="T33" t="s">
        <v>443</v>
      </c>
      <c r="U33">
        <v>1.2252099999999999</v>
      </c>
      <c r="V33">
        <v>2.0559999999999998E-2</v>
      </c>
      <c r="W33" t="s">
        <v>443</v>
      </c>
      <c r="X33">
        <v>1.17692</v>
      </c>
      <c r="Y33">
        <v>2.2540000000000001E-2</v>
      </c>
      <c r="Z33" t="s">
        <v>443</v>
      </c>
      <c r="AA33">
        <v>1.2031000000000001</v>
      </c>
      <c r="AB33">
        <v>1.9730000000000001E-2</v>
      </c>
      <c r="AC33" t="s">
        <v>443</v>
      </c>
      <c r="AD33">
        <v>1.1980200000000001</v>
      </c>
      <c r="AE33">
        <v>2.2249999999999999E-2</v>
      </c>
      <c r="AF33" t="s">
        <v>443</v>
      </c>
      <c r="AI33" t="s">
        <v>440</v>
      </c>
      <c r="AJ33">
        <v>1.17441</v>
      </c>
      <c r="AK33">
        <v>2.4989999999999998E-2</v>
      </c>
      <c r="AL33" t="s">
        <v>444</v>
      </c>
      <c r="AM33">
        <v>1.18885</v>
      </c>
      <c r="AN33">
        <v>2.4140000000000002E-2</v>
      </c>
      <c r="AO33" t="s">
        <v>443</v>
      </c>
      <c r="AP33">
        <v>1.24251</v>
      </c>
      <c r="AQ33">
        <v>1.12E-2</v>
      </c>
      <c r="AR33" t="s">
        <v>443</v>
      </c>
      <c r="AS33">
        <v>4.2551800000000002</v>
      </c>
      <c r="AT33">
        <v>1.8440000000000002E-2</v>
      </c>
      <c r="AU33" t="s">
        <v>443</v>
      </c>
      <c r="AV33">
        <v>1.2222599999999999</v>
      </c>
      <c r="AW33">
        <v>1.038E-2</v>
      </c>
      <c r="AX33" t="s">
        <v>443</v>
      </c>
      <c r="AY33">
        <v>1.2344599999999999</v>
      </c>
      <c r="AZ33">
        <v>1.4019999999999999E-2</v>
      </c>
      <c r="BA33" t="s">
        <v>443</v>
      </c>
      <c r="BB33">
        <v>1.2261299999999999</v>
      </c>
      <c r="BC33">
        <v>1.7819999999999999E-2</v>
      </c>
      <c r="BD33" t="s">
        <v>443</v>
      </c>
      <c r="BE33">
        <v>1.2390099999999999</v>
      </c>
      <c r="BF33">
        <v>1.273E-2</v>
      </c>
      <c r="BG33" t="s">
        <v>443</v>
      </c>
      <c r="BH33">
        <v>1.2354400000000001</v>
      </c>
      <c r="BI33">
        <v>1.183E-2</v>
      </c>
      <c r="BJ33" t="s">
        <v>443</v>
      </c>
      <c r="BK33">
        <v>1.28277</v>
      </c>
      <c r="BL33">
        <v>3.2120000000000003E-2</v>
      </c>
      <c r="BM33" t="s">
        <v>443</v>
      </c>
      <c r="BN33">
        <v>1.2583599999999999</v>
      </c>
      <c r="BO33">
        <v>4.9390000000000003E-2</v>
      </c>
      <c r="BP33" t="s">
        <v>443</v>
      </c>
      <c r="BQ33">
        <v>1.2675000000000001</v>
      </c>
      <c r="BR33">
        <v>2.0410000000000001E-2</v>
      </c>
      <c r="BS33" t="s">
        <v>443</v>
      </c>
      <c r="BV33" t="s">
        <v>440</v>
      </c>
      <c r="BW33">
        <v>-1.12876</v>
      </c>
      <c r="BX33">
        <v>1.592E-2</v>
      </c>
      <c r="BY33" t="s">
        <v>445</v>
      </c>
      <c r="BZ33">
        <v>1.2358800000000001</v>
      </c>
      <c r="CA33">
        <v>8.7399999999999995E-3</v>
      </c>
      <c r="CB33" t="s">
        <v>443</v>
      </c>
      <c r="CC33">
        <v>1.1876500000000001</v>
      </c>
      <c r="CD33">
        <v>3.3739999999999999E-2</v>
      </c>
      <c r="CE33" t="s">
        <v>443</v>
      </c>
      <c r="CF33">
        <v>1.19103</v>
      </c>
      <c r="CG33">
        <v>1.7850000000000001E-2</v>
      </c>
      <c r="CH33" t="s">
        <v>443</v>
      </c>
      <c r="CI33">
        <v>1.1987300000000001</v>
      </c>
      <c r="CJ33">
        <v>1.83E-2</v>
      </c>
      <c r="CK33" t="s">
        <v>443</v>
      </c>
      <c r="CL33">
        <v>1.3057399999999999</v>
      </c>
      <c r="CM33">
        <v>2.4150000000000001E-2</v>
      </c>
      <c r="CN33" t="s">
        <v>443</v>
      </c>
      <c r="CO33">
        <v>8.0009399999999999</v>
      </c>
      <c r="CP33">
        <v>0.19134000000000001</v>
      </c>
      <c r="CQ33" t="s">
        <v>443</v>
      </c>
      <c r="CR33">
        <v>8.6718499999999992</v>
      </c>
      <c r="CS33">
        <v>0.2908</v>
      </c>
      <c r="CT33" t="s">
        <v>443</v>
      </c>
      <c r="CU33">
        <v>4.2017300000000004</v>
      </c>
      <c r="CV33">
        <v>0.20657</v>
      </c>
      <c r="CW33" t="s">
        <v>443</v>
      </c>
      <c r="CX33">
        <v>11.20567</v>
      </c>
      <c r="CY33">
        <v>0.37869999999999998</v>
      </c>
      <c r="CZ33" t="s">
        <v>443</v>
      </c>
      <c r="DA33">
        <v>1.2602199999999999</v>
      </c>
      <c r="DB33">
        <v>7.8789999999999999E-2</v>
      </c>
      <c r="DC33" t="s">
        <v>443</v>
      </c>
      <c r="DD33">
        <v>24.134440000000001</v>
      </c>
      <c r="DE33">
        <v>0.18720000000000001</v>
      </c>
      <c r="DF33" t="s">
        <v>443</v>
      </c>
      <c r="DG33">
        <v>9.3454899999999999</v>
      </c>
      <c r="DH33">
        <v>0.24257999999999999</v>
      </c>
      <c r="DI33" t="s">
        <v>443</v>
      </c>
      <c r="DJ33">
        <v>1.2135199999999999</v>
      </c>
      <c r="DK33">
        <v>6.0909999999999999E-2</v>
      </c>
      <c r="DL33" t="s">
        <v>443</v>
      </c>
      <c r="DM33">
        <v>1.2108699999999999</v>
      </c>
      <c r="DN33">
        <v>2.1309999999999999E-2</v>
      </c>
      <c r="DO33" t="s">
        <v>443</v>
      </c>
      <c r="DP33">
        <v>1.2198199999999999</v>
      </c>
      <c r="DQ33">
        <v>4.5199999999999997E-3</v>
      </c>
      <c r="DR33" t="s">
        <v>443</v>
      </c>
      <c r="DS33">
        <v>1.1807399999999999</v>
      </c>
      <c r="DT33">
        <v>1.7680000000000001E-2</v>
      </c>
      <c r="DU33" t="s">
        <v>443</v>
      </c>
      <c r="DV33">
        <v>3.8532000000000002</v>
      </c>
      <c r="DW33">
        <v>0.13106999999999999</v>
      </c>
      <c r="DX33" t="s">
        <v>443</v>
      </c>
      <c r="DY33">
        <v>1.19109</v>
      </c>
      <c r="DZ33">
        <v>3.3140000000000003E-2</v>
      </c>
      <c r="EA33" t="s">
        <v>443</v>
      </c>
      <c r="EB33">
        <v>1.1179699999999999</v>
      </c>
      <c r="EC33">
        <v>3.7609999999999998E-2</v>
      </c>
      <c r="ED33" t="s">
        <v>443</v>
      </c>
      <c r="EE33">
        <v>1.1890000000000001</v>
      </c>
      <c r="EF33">
        <v>4.0509999999999997E-2</v>
      </c>
      <c r="EG33" t="s">
        <v>443</v>
      </c>
      <c r="EH33">
        <v>5.1833299999999998</v>
      </c>
      <c r="EI33">
        <v>0.18229000000000001</v>
      </c>
      <c r="EJ33" t="s">
        <v>443</v>
      </c>
      <c r="EM33" t="s">
        <v>440</v>
      </c>
      <c r="EN33">
        <v>1.22342</v>
      </c>
      <c r="EO33">
        <v>8.7399999999999995E-3</v>
      </c>
      <c r="EP33" t="s">
        <v>443</v>
      </c>
      <c r="ES33" t="s">
        <v>440</v>
      </c>
      <c r="ET33">
        <v>10.87377</v>
      </c>
      <c r="EU33">
        <v>0.44079000000000002</v>
      </c>
      <c r="EV33" t="s">
        <v>443</v>
      </c>
      <c r="EW33">
        <v>1.4008799999999999</v>
      </c>
      <c r="EX33">
        <v>2.7529999999999999E-2</v>
      </c>
      <c r="EY33" t="s">
        <v>443</v>
      </c>
      <c r="EZ33">
        <v>1.2063600000000001</v>
      </c>
      <c r="FA33">
        <v>9.7489999999999993E-2</v>
      </c>
      <c r="FB33" t="s">
        <v>443</v>
      </c>
      <c r="FC33">
        <v>1.21193</v>
      </c>
      <c r="FD33">
        <v>0.10298</v>
      </c>
      <c r="FE33" t="s">
        <v>445</v>
      </c>
      <c r="FF33">
        <v>2.2099799999999998</v>
      </c>
      <c r="FG33">
        <v>0.56647000000000003</v>
      </c>
      <c r="FH33" t="s">
        <v>444</v>
      </c>
      <c r="FK33" t="s">
        <v>440</v>
      </c>
      <c r="FN33" t="s">
        <v>440</v>
      </c>
      <c r="FO33">
        <v>1.2480800000000001</v>
      </c>
      <c r="FP33">
        <v>6.479E-2</v>
      </c>
      <c r="FQ33" t="s">
        <v>444</v>
      </c>
      <c r="FT33" t="s">
        <v>440</v>
      </c>
      <c r="FU33">
        <v>1</v>
      </c>
      <c r="FX33">
        <v>32</v>
      </c>
    </row>
    <row r="34" spans="2:180" x14ac:dyDescent="0.2">
      <c r="B34" t="s">
        <v>100</v>
      </c>
      <c r="C34">
        <v>5.3490000000000003E-2</v>
      </c>
      <c r="D34">
        <v>1.3799999999999999E-3</v>
      </c>
      <c r="E34" t="s">
        <v>439</v>
      </c>
      <c r="F34">
        <v>1.627E-2</v>
      </c>
      <c r="G34">
        <v>8.1999999999999998E-4</v>
      </c>
      <c r="H34" t="s">
        <v>439</v>
      </c>
      <c r="I34">
        <v>9.1800000000000007E-3</v>
      </c>
      <c r="J34">
        <v>2.4000000000000001E-4</v>
      </c>
      <c r="K34" t="s">
        <v>439</v>
      </c>
      <c r="L34">
        <v>1.5389999999999999E-2</v>
      </c>
      <c r="M34">
        <v>7.7999999999999999E-4</v>
      </c>
      <c r="N34" t="s">
        <v>439</v>
      </c>
      <c r="O34">
        <v>3.0799999999999998E-3</v>
      </c>
      <c r="P34">
        <v>0</v>
      </c>
      <c r="Q34" t="s">
        <v>439</v>
      </c>
      <c r="R34">
        <v>2.521E-2</v>
      </c>
      <c r="S34">
        <v>6.0999999999999997E-4</v>
      </c>
      <c r="T34" t="s">
        <v>439</v>
      </c>
      <c r="U34">
        <v>1.0399999999999999E-3</v>
      </c>
      <c r="V34">
        <v>6.0000000000000002E-5</v>
      </c>
      <c r="W34" t="s">
        <v>439</v>
      </c>
      <c r="X34">
        <v>1.3169999999999999E-2</v>
      </c>
      <c r="Y34">
        <v>2.3000000000000001E-4</v>
      </c>
      <c r="Z34" t="s">
        <v>439</v>
      </c>
      <c r="AA34">
        <v>6.6499999999999997E-3</v>
      </c>
      <c r="AB34">
        <v>2.4000000000000001E-4</v>
      </c>
      <c r="AC34" t="s">
        <v>439</v>
      </c>
      <c r="AD34">
        <v>6.0999999999999997E-4</v>
      </c>
      <c r="AE34">
        <v>2.7999999999999998E-4</v>
      </c>
      <c r="AF34" t="s">
        <v>439</v>
      </c>
      <c r="AI34" t="s">
        <v>440</v>
      </c>
      <c r="AJ34">
        <v>4.7750000000000001E-2</v>
      </c>
      <c r="AK34">
        <v>3.8999999999999999E-4</v>
      </c>
      <c r="AL34" t="s">
        <v>441</v>
      </c>
      <c r="AM34">
        <v>4.7820000000000001E-2</v>
      </c>
      <c r="AN34">
        <v>4.6999999999999999E-4</v>
      </c>
      <c r="AO34" t="s">
        <v>439</v>
      </c>
      <c r="AP34">
        <v>-1.355E-2</v>
      </c>
      <c r="AQ34">
        <v>8.0000000000000007E-5</v>
      </c>
      <c r="AR34" t="s">
        <v>439</v>
      </c>
      <c r="AS34">
        <v>5.441E-2</v>
      </c>
      <c r="AT34">
        <v>1.92E-3</v>
      </c>
      <c r="AU34" t="s">
        <v>439</v>
      </c>
      <c r="AV34">
        <v>-1.9499999999999999E-3</v>
      </c>
      <c r="AW34">
        <v>1.0000000000000001E-5</v>
      </c>
      <c r="AX34" t="s">
        <v>439</v>
      </c>
      <c r="AY34">
        <v>-5.5700000000000003E-3</v>
      </c>
      <c r="AZ34">
        <v>2.0000000000000002E-5</v>
      </c>
      <c r="BA34" t="s">
        <v>439</v>
      </c>
      <c r="BB34">
        <v>1.9599999999999999E-3</v>
      </c>
      <c r="BC34">
        <v>2.0000000000000002E-5</v>
      </c>
      <c r="BD34" t="s">
        <v>439</v>
      </c>
      <c r="BE34">
        <v>-4.0999999999999999E-4</v>
      </c>
      <c r="BF34">
        <v>6.9999999999999994E-5</v>
      </c>
      <c r="BG34" t="s">
        <v>439</v>
      </c>
      <c r="BH34">
        <v>1.07E-3</v>
      </c>
      <c r="BI34">
        <v>1.6000000000000001E-4</v>
      </c>
      <c r="BJ34" t="s">
        <v>439</v>
      </c>
      <c r="BK34">
        <v>1.5499999999999999E-3</v>
      </c>
      <c r="BL34">
        <v>1.0000000000000001E-5</v>
      </c>
      <c r="BM34" t="s">
        <v>439</v>
      </c>
      <c r="BN34">
        <v>-3.6000000000000002E-4</v>
      </c>
      <c r="BO34">
        <v>1E-4</v>
      </c>
      <c r="BP34" t="s">
        <v>439</v>
      </c>
      <c r="BQ34">
        <v>-3.5699999999999998E-3</v>
      </c>
      <c r="BR34">
        <v>5.5000000000000003E-4</v>
      </c>
      <c r="BS34" t="s">
        <v>439</v>
      </c>
      <c r="BV34" t="s">
        <v>440</v>
      </c>
      <c r="BW34">
        <v>-2.04738</v>
      </c>
      <c r="BX34">
        <v>9.1E-4</v>
      </c>
      <c r="BY34" t="s">
        <v>439</v>
      </c>
      <c r="BZ34">
        <v>2.99E-3</v>
      </c>
      <c r="CA34">
        <v>5.0000000000000002E-5</v>
      </c>
      <c r="CB34" t="s">
        <v>439</v>
      </c>
      <c r="CC34">
        <v>-3.7580000000000002E-2</v>
      </c>
      <c r="CD34">
        <v>1.3999999999999999E-4</v>
      </c>
      <c r="CE34" t="s">
        <v>439</v>
      </c>
      <c r="CF34">
        <v>-1.431E-2</v>
      </c>
      <c r="CG34">
        <v>1.1E-4</v>
      </c>
      <c r="CH34" t="s">
        <v>439</v>
      </c>
      <c r="CI34">
        <v>-4.632E-2</v>
      </c>
      <c r="CJ34">
        <v>1.1E-4</v>
      </c>
      <c r="CK34" t="s">
        <v>439</v>
      </c>
      <c r="CL34">
        <v>-9.0200000000000002E-3</v>
      </c>
      <c r="CM34">
        <v>6.9999999999999994E-5</v>
      </c>
      <c r="CN34" t="s">
        <v>439</v>
      </c>
      <c r="CO34">
        <v>-0.52946000000000004</v>
      </c>
      <c r="CP34">
        <v>1.917E-2</v>
      </c>
      <c r="CQ34" t="s">
        <v>439</v>
      </c>
      <c r="CR34">
        <v>1.687E-2</v>
      </c>
      <c r="CS34">
        <v>1.491E-2</v>
      </c>
      <c r="CT34" t="s">
        <v>439</v>
      </c>
      <c r="CU34">
        <v>-0.11681999999999999</v>
      </c>
      <c r="CV34">
        <v>1.1220000000000001E-2</v>
      </c>
      <c r="CW34" t="s">
        <v>439</v>
      </c>
      <c r="CX34">
        <v>1.8634299999999999</v>
      </c>
      <c r="CY34">
        <v>0.69930000000000003</v>
      </c>
      <c r="CZ34" t="s">
        <v>442</v>
      </c>
      <c r="DA34">
        <v>-1.4829999999999999E-2</v>
      </c>
      <c r="DB34">
        <v>8.3099999999999997E-3</v>
      </c>
      <c r="DC34" t="s">
        <v>439</v>
      </c>
      <c r="DD34">
        <v>-0.45299</v>
      </c>
      <c r="DE34">
        <v>8.8349999999999998E-2</v>
      </c>
      <c r="DF34" t="s">
        <v>439</v>
      </c>
      <c r="DG34">
        <v>1.23556</v>
      </c>
      <c r="DH34">
        <v>5.2209999999999999E-2</v>
      </c>
      <c r="DI34" t="s">
        <v>439</v>
      </c>
      <c r="DJ34">
        <v>-1.098E-2</v>
      </c>
      <c r="DK34">
        <v>6.9999999999999999E-4</v>
      </c>
      <c r="DL34" t="s">
        <v>439</v>
      </c>
      <c r="DM34">
        <v>1.4400000000000001E-3</v>
      </c>
      <c r="DN34">
        <v>1.1000000000000001E-3</v>
      </c>
      <c r="DO34" t="s">
        <v>439</v>
      </c>
      <c r="DP34">
        <v>-7.79E-3</v>
      </c>
      <c r="DQ34">
        <v>3.4000000000000002E-4</v>
      </c>
      <c r="DR34" t="s">
        <v>439</v>
      </c>
      <c r="DS34">
        <v>-2.6800000000000001E-2</v>
      </c>
      <c r="DT34">
        <v>2.3000000000000001E-4</v>
      </c>
      <c r="DU34" t="s">
        <v>439</v>
      </c>
      <c r="DV34">
        <v>-0.29176999999999997</v>
      </c>
      <c r="DW34">
        <v>1.2600000000000001E-3</v>
      </c>
      <c r="DX34" t="s">
        <v>439</v>
      </c>
      <c r="DY34">
        <v>-5.9199999999999999E-3</v>
      </c>
      <c r="DZ34">
        <v>3.0000000000000001E-5</v>
      </c>
      <c r="EA34" t="s">
        <v>439</v>
      </c>
      <c r="EB34">
        <v>1.9949999999999999E-2</v>
      </c>
      <c r="EC34">
        <v>1.08E-3</v>
      </c>
      <c r="ED34" t="s">
        <v>439</v>
      </c>
      <c r="EE34">
        <v>-1.8669999999999999E-2</v>
      </c>
      <c r="EF34">
        <v>1.09E-3</v>
      </c>
      <c r="EG34" t="s">
        <v>439</v>
      </c>
      <c r="EH34">
        <v>-4.5830000000000003E-2</v>
      </c>
      <c r="EI34">
        <v>9.4199999999999996E-3</v>
      </c>
      <c r="EJ34" t="s">
        <v>439</v>
      </c>
      <c r="EM34" t="s">
        <v>440</v>
      </c>
      <c r="EN34">
        <v>-1.9480000000000001E-2</v>
      </c>
      <c r="EO34">
        <v>8.8000000000000003E-4</v>
      </c>
      <c r="EP34" t="s">
        <v>439</v>
      </c>
      <c r="ES34" t="s">
        <v>440</v>
      </c>
      <c r="ET34">
        <v>1.15252</v>
      </c>
      <c r="EU34">
        <v>4.7359999999999999E-2</v>
      </c>
      <c r="EV34" t="s">
        <v>439</v>
      </c>
      <c r="EW34">
        <v>-3.6999999999999999E-4</v>
      </c>
      <c r="EX34">
        <v>1.2099999999999999E-3</v>
      </c>
      <c r="EY34" t="s">
        <v>439</v>
      </c>
      <c r="EZ34">
        <v>-1.095E-2</v>
      </c>
      <c r="FA34">
        <v>1.7799999999999999E-3</v>
      </c>
      <c r="FB34" t="s">
        <v>439</v>
      </c>
      <c r="FC34">
        <v>0.16392000000000001</v>
      </c>
      <c r="FD34">
        <v>6.6309999999999994E-2</v>
      </c>
      <c r="FE34" t="s">
        <v>439</v>
      </c>
      <c r="FF34">
        <v>1.74472</v>
      </c>
      <c r="FG34">
        <v>9.7839999999999996E-2</v>
      </c>
      <c r="FH34" t="s">
        <v>441</v>
      </c>
      <c r="FK34" t="s">
        <v>440</v>
      </c>
      <c r="FN34" t="s">
        <v>440</v>
      </c>
      <c r="FO34">
        <v>-1.6199999999999999E-3</v>
      </c>
      <c r="FP34">
        <v>1.73E-3</v>
      </c>
      <c r="FQ34" t="s">
        <v>441</v>
      </c>
      <c r="FT34" t="s">
        <v>440</v>
      </c>
      <c r="FX34">
        <v>33</v>
      </c>
    </row>
    <row r="35" spans="2:180" x14ac:dyDescent="0.2">
      <c r="B35" t="s">
        <v>101</v>
      </c>
      <c r="C35">
        <v>0.53069999999999995</v>
      </c>
      <c r="D35">
        <v>1.719E-2</v>
      </c>
      <c r="E35" t="s">
        <v>442</v>
      </c>
      <c r="F35">
        <v>1.383E-2</v>
      </c>
      <c r="G35">
        <v>1.1100000000000001E-3</v>
      </c>
      <c r="H35" t="s">
        <v>439</v>
      </c>
      <c r="I35">
        <v>7.8618399999999999</v>
      </c>
      <c r="J35">
        <v>0.24301</v>
      </c>
      <c r="K35" t="s">
        <v>442</v>
      </c>
      <c r="L35">
        <v>0.21515999999999999</v>
      </c>
      <c r="M35">
        <v>5.4299999999999999E-3</v>
      </c>
      <c r="N35" t="s">
        <v>442</v>
      </c>
      <c r="O35">
        <v>8.1600000000000006E-3</v>
      </c>
      <c r="P35">
        <v>2.7999999999999998E-4</v>
      </c>
      <c r="Q35" t="s">
        <v>442</v>
      </c>
      <c r="R35">
        <v>0.68284</v>
      </c>
      <c r="S35">
        <v>7.9900000000000006E-3</v>
      </c>
      <c r="T35" t="s">
        <v>442</v>
      </c>
      <c r="U35">
        <v>1.89E-3</v>
      </c>
      <c r="V35">
        <v>8.0000000000000007E-5</v>
      </c>
      <c r="W35" t="s">
        <v>439</v>
      </c>
      <c r="X35">
        <v>1.5779999999999999E-2</v>
      </c>
      <c r="Y35">
        <v>5.9999999999999995E-4</v>
      </c>
      <c r="Z35" t="s">
        <v>439</v>
      </c>
      <c r="AA35">
        <v>1.12866</v>
      </c>
      <c r="AB35">
        <v>2.4250000000000001E-2</v>
      </c>
      <c r="AC35" t="s">
        <v>442</v>
      </c>
      <c r="AD35">
        <v>3.0687899999999999</v>
      </c>
      <c r="AE35">
        <v>6.9180000000000005E-2</v>
      </c>
      <c r="AF35" t="s">
        <v>442</v>
      </c>
      <c r="AI35" t="s">
        <v>440</v>
      </c>
      <c r="AJ35">
        <v>78.070899999999995</v>
      </c>
      <c r="AK35">
        <v>1.0162899999999999</v>
      </c>
      <c r="AL35" t="s">
        <v>441</v>
      </c>
      <c r="AM35">
        <v>317.10377</v>
      </c>
      <c r="AN35">
        <v>5.27752</v>
      </c>
      <c r="AO35" t="s">
        <v>442</v>
      </c>
      <c r="AP35">
        <v>0.33428999999999998</v>
      </c>
      <c r="AQ35">
        <v>5.4299999999999999E-3</v>
      </c>
      <c r="AR35" t="s">
        <v>442</v>
      </c>
      <c r="AS35">
        <v>3.4022999999999999</v>
      </c>
      <c r="AT35">
        <v>6.8169999999999994E-2</v>
      </c>
      <c r="AU35" t="s">
        <v>442</v>
      </c>
      <c r="AV35">
        <v>2.647E-2</v>
      </c>
      <c r="AW35">
        <v>8.8999999999999995E-4</v>
      </c>
      <c r="AX35" t="s">
        <v>442</v>
      </c>
      <c r="AY35">
        <v>1E-3</v>
      </c>
      <c r="AZ35">
        <v>2.9999999999999997E-4</v>
      </c>
      <c r="BA35" t="s">
        <v>439</v>
      </c>
      <c r="BB35">
        <v>4.62E-3</v>
      </c>
      <c r="BC35">
        <v>6.0000000000000002E-5</v>
      </c>
      <c r="BD35" t="s">
        <v>442</v>
      </c>
      <c r="BE35">
        <v>2.3000000000000001E-4</v>
      </c>
      <c r="BF35">
        <v>2.1000000000000001E-4</v>
      </c>
      <c r="BG35" t="s">
        <v>439</v>
      </c>
      <c r="BH35">
        <v>1.5E-3</v>
      </c>
      <c r="BI35">
        <v>1.3999999999999999E-4</v>
      </c>
      <c r="BJ35" t="s">
        <v>439</v>
      </c>
      <c r="BK35">
        <v>1.65E-3</v>
      </c>
      <c r="BL35">
        <v>4.0000000000000003E-5</v>
      </c>
      <c r="BM35" t="s">
        <v>439</v>
      </c>
      <c r="BN35">
        <v>2.0000000000000001E-4</v>
      </c>
      <c r="BO35">
        <v>1.2999999999999999E-4</v>
      </c>
      <c r="BP35" t="s">
        <v>439</v>
      </c>
      <c r="BQ35">
        <v>0.17860999999999999</v>
      </c>
      <c r="BR35">
        <v>2.8700000000000002E-3</v>
      </c>
      <c r="BS35" t="s">
        <v>442</v>
      </c>
      <c r="BV35" t="s">
        <v>440</v>
      </c>
      <c r="BW35">
        <v>-2.0483899999999999</v>
      </c>
      <c r="BX35">
        <v>2.5000000000000001E-4</v>
      </c>
      <c r="BY35" t="s">
        <v>439</v>
      </c>
      <c r="BZ35">
        <v>0.11104</v>
      </c>
      <c r="CA35">
        <v>6.3000000000000003E-4</v>
      </c>
      <c r="CB35" t="s">
        <v>442</v>
      </c>
      <c r="CC35">
        <v>22.369119999999999</v>
      </c>
      <c r="CD35">
        <v>0.42754999999999999</v>
      </c>
      <c r="CE35" t="s">
        <v>442</v>
      </c>
      <c r="CF35">
        <v>21.407419999999998</v>
      </c>
      <c r="CG35">
        <v>0.38596999999999998</v>
      </c>
      <c r="CH35" t="s">
        <v>442</v>
      </c>
      <c r="CI35">
        <v>22.118279999999999</v>
      </c>
      <c r="CJ35">
        <v>0.27424999999999999</v>
      </c>
      <c r="CK35" t="s">
        <v>442</v>
      </c>
      <c r="CL35">
        <v>2.4418000000000002</v>
      </c>
      <c r="CM35">
        <v>4.267E-2</v>
      </c>
      <c r="CN35" t="s">
        <v>442</v>
      </c>
      <c r="CO35">
        <v>1279.5415499999999</v>
      </c>
      <c r="CP35">
        <v>20.570229999999999</v>
      </c>
      <c r="CQ35" t="s">
        <v>442</v>
      </c>
      <c r="CR35">
        <v>4.1834499999999997</v>
      </c>
      <c r="CS35">
        <v>1.771E-2</v>
      </c>
      <c r="CT35" t="s">
        <v>442</v>
      </c>
      <c r="CU35">
        <v>14.63036</v>
      </c>
      <c r="CV35">
        <v>7.5069999999999998E-2</v>
      </c>
      <c r="CW35" t="s">
        <v>442</v>
      </c>
      <c r="CX35">
        <v>649.35666000000003</v>
      </c>
      <c r="CY35">
        <v>10.80677</v>
      </c>
      <c r="CZ35" t="s">
        <v>442</v>
      </c>
      <c r="DA35">
        <v>223.01975999999999</v>
      </c>
      <c r="DB35">
        <v>2.63944</v>
      </c>
      <c r="DC35" t="s">
        <v>442</v>
      </c>
      <c r="DD35">
        <v>776.38203999999996</v>
      </c>
      <c r="DE35">
        <v>10.52575</v>
      </c>
      <c r="DF35" t="s">
        <v>442</v>
      </c>
      <c r="DG35">
        <v>35.24888</v>
      </c>
      <c r="DH35">
        <v>0.64473999999999998</v>
      </c>
      <c r="DI35" t="s">
        <v>442</v>
      </c>
      <c r="DJ35">
        <v>0.13278999999999999</v>
      </c>
      <c r="DK35">
        <v>5.2100000000000002E-3</v>
      </c>
      <c r="DL35" t="s">
        <v>442</v>
      </c>
      <c r="DM35">
        <v>6.4409999999999995E-2</v>
      </c>
      <c r="DN35">
        <v>3.6600000000000001E-3</v>
      </c>
      <c r="DO35" t="s">
        <v>442</v>
      </c>
      <c r="DP35">
        <v>8.17225</v>
      </c>
      <c r="DQ35">
        <v>0.11647</v>
      </c>
      <c r="DR35" t="s">
        <v>442</v>
      </c>
      <c r="DS35">
        <v>4.5076799999999997</v>
      </c>
      <c r="DT35">
        <v>0.13880999999999999</v>
      </c>
      <c r="DU35" t="s">
        <v>442</v>
      </c>
      <c r="DV35">
        <v>48.115479999999998</v>
      </c>
      <c r="DW35">
        <v>0.48300999999999999</v>
      </c>
      <c r="DX35" t="s">
        <v>442</v>
      </c>
      <c r="DY35">
        <v>0.67052999999999996</v>
      </c>
      <c r="DZ35">
        <v>9.3399999999999993E-3</v>
      </c>
      <c r="EA35" t="s">
        <v>442</v>
      </c>
      <c r="EB35">
        <v>6.1116799999999998</v>
      </c>
      <c r="EC35">
        <v>0.1167</v>
      </c>
      <c r="ED35" t="s">
        <v>442</v>
      </c>
      <c r="EE35">
        <v>20.96471</v>
      </c>
      <c r="EF35">
        <v>0.48682999999999998</v>
      </c>
      <c r="EG35" t="s">
        <v>442</v>
      </c>
      <c r="EH35">
        <v>6222.0540700000001</v>
      </c>
      <c r="EI35">
        <v>160.22660999999999</v>
      </c>
      <c r="EJ35" t="s">
        <v>442</v>
      </c>
      <c r="EM35" t="s">
        <v>440</v>
      </c>
      <c r="EN35">
        <v>96.916669999999996</v>
      </c>
      <c r="EO35">
        <v>1.4898199999999999</v>
      </c>
      <c r="EP35" t="s">
        <v>442</v>
      </c>
      <c r="ES35" t="s">
        <v>440</v>
      </c>
      <c r="ET35">
        <v>2076.1960600000002</v>
      </c>
      <c r="EU35">
        <v>90.608639999999994</v>
      </c>
      <c r="EV35" t="s">
        <v>442</v>
      </c>
      <c r="EW35">
        <v>0.46472000000000002</v>
      </c>
      <c r="EX35">
        <v>2.6429999999999999E-2</v>
      </c>
      <c r="EY35" t="s">
        <v>442</v>
      </c>
      <c r="EZ35">
        <v>177.78639999999999</v>
      </c>
      <c r="FA35">
        <v>2.2028599999999998</v>
      </c>
      <c r="FB35" t="s">
        <v>442</v>
      </c>
      <c r="FC35">
        <v>6.2169699999999999</v>
      </c>
      <c r="FD35">
        <v>0.26706999999999997</v>
      </c>
      <c r="FE35" t="s">
        <v>442</v>
      </c>
      <c r="FF35">
        <v>6.3644299999999996</v>
      </c>
      <c r="FG35">
        <v>4.9360000000000001E-2</v>
      </c>
      <c r="FH35" t="s">
        <v>441</v>
      </c>
      <c r="FK35" t="s">
        <v>440</v>
      </c>
      <c r="FN35" t="s">
        <v>440</v>
      </c>
      <c r="FO35">
        <v>93.001630000000006</v>
      </c>
      <c r="FP35">
        <v>2.5422099999999999</v>
      </c>
      <c r="FQ35" t="s">
        <v>441</v>
      </c>
      <c r="FT35" t="s">
        <v>440</v>
      </c>
      <c r="FX35">
        <v>34</v>
      </c>
    </row>
    <row r="36" spans="2:180" x14ac:dyDescent="0.2">
      <c r="B36" t="s">
        <v>102</v>
      </c>
      <c r="C36">
        <v>0.11447</v>
      </c>
      <c r="D36">
        <v>3.13E-3</v>
      </c>
      <c r="E36" t="s">
        <v>442</v>
      </c>
      <c r="F36">
        <v>1.6969999999999999E-2</v>
      </c>
      <c r="G36">
        <v>1.6800000000000001E-3</v>
      </c>
      <c r="H36" t="s">
        <v>439</v>
      </c>
      <c r="I36">
        <v>1.9825999999999999</v>
      </c>
      <c r="J36">
        <v>2.784E-2</v>
      </c>
      <c r="K36" t="s">
        <v>442</v>
      </c>
      <c r="L36">
        <v>0.11158999999999999</v>
      </c>
      <c r="M36">
        <v>2.1800000000000001E-3</v>
      </c>
      <c r="N36" t="s">
        <v>442</v>
      </c>
      <c r="O36">
        <v>5.1999999999999998E-3</v>
      </c>
      <c r="P36">
        <v>1.4999999999999999E-4</v>
      </c>
      <c r="Q36" t="s">
        <v>442</v>
      </c>
      <c r="R36">
        <v>0.14238999999999999</v>
      </c>
      <c r="S36">
        <v>4.0000000000000001E-3</v>
      </c>
      <c r="T36" t="s">
        <v>442</v>
      </c>
      <c r="U36">
        <v>2.0699999999999998E-3</v>
      </c>
      <c r="V36">
        <v>2.9999999999999997E-4</v>
      </c>
      <c r="W36" t="s">
        <v>439</v>
      </c>
      <c r="X36">
        <v>1.388E-2</v>
      </c>
      <c r="Y36">
        <v>5.5000000000000003E-4</v>
      </c>
      <c r="Z36" t="s">
        <v>439</v>
      </c>
      <c r="AA36">
        <v>0.4461</v>
      </c>
      <c r="AB36">
        <v>8.6400000000000001E-3</v>
      </c>
      <c r="AC36" t="s">
        <v>442</v>
      </c>
      <c r="AD36">
        <v>0.59341999999999995</v>
      </c>
      <c r="AE36">
        <v>4.5700000000000003E-3</v>
      </c>
      <c r="AF36" t="s">
        <v>442</v>
      </c>
      <c r="AI36" t="s">
        <v>440</v>
      </c>
      <c r="AJ36">
        <v>8.5994700000000002</v>
      </c>
      <c r="AK36">
        <v>0.14441999999999999</v>
      </c>
      <c r="AL36" t="s">
        <v>441</v>
      </c>
      <c r="AM36">
        <v>5.6009399999999996</v>
      </c>
      <c r="AN36">
        <v>0.11283</v>
      </c>
      <c r="AO36" t="s">
        <v>442</v>
      </c>
      <c r="AP36">
        <v>6.7830000000000001E-2</v>
      </c>
      <c r="AQ36">
        <v>9.7000000000000005E-4</v>
      </c>
      <c r="AR36" t="s">
        <v>442</v>
      </c>
      <c r="AS36">
        <v>1.1109</v>
      </c>
      <c r="AT36">
        <v>1.864E-2</v>
      </c>
      <c r="AU36" t="s">
        <v>442</v>
      </c>
      <c r="AV36">
        <v>1.0499999999999999E-3</v>
      </c>
      <c r="AW36">
        <v>8.0000000000000007E-5</v>
      </c>
      <c r="AX36" t="s">
        <v>439</v>
      </c>
      <c r="AY36">
        <v>1.4999999999999999E-4</v>
      </c>
      <c r="AZ36">
        <v>2.4000000000000001E-4</v>
      </c>
      <c r="BA36" t="s">
        <v>439</v>
      </c>
      <c r="BB36">
        <v>4.7099999999999998E-3</v>
      </c>
      <c r="BC36">
        <v>4.6999999999999999E-4</v>
      </c>
      <c r="BD36" t="s">
        <v>442</v>
      </c>
      <c r="BE36">
        <v>2.7E-4</v>
      </c>
      <c r="BF36">
        <v>3.1E-4</v>
      </c>
      <c r="BG36" t="s">
        <v>439</v>
      </c>
      <c r="BH36">
        <v>1.6900000000000001E-3</v>
      </c>
      <c r="BI36">
        <v>9.0000000000000006E-5</v>
      </c>
      <c r="BJ36" t="s">
        <v>439</v>
      </c>
      <c r="BK36">
        <v>1.56E-3</v>
      </c>
      <c r="BL36">
        <v>3.0000000000000001E-5</v>
      </c>
      <c r="BM36" t="s">
        <v>439</v>
      </c>
      <c r="BN36">
        <v>-3.0000000000000001E-5</v>
      </c>
      <c r="BO36">
        <v>1.2E-4</v>
      </c>
      <c r="BP36" t="s">
        <v>439</v>
      </c>
      <c r="BQ36">
        <v>2.164E-2</v>
      </c>
      <c r="BR36">
        <v>1.6900000000000001E-3</v>
      </c>
      <c r="BS36" t="s">
        <v>442</v>
      </c>
      <c r="BV36" t="s">
        <v>440</v>
      </c>
      <c r="BW36">
        <v>-2.0485199999999999</v>
      </c>
      <c r="BX36">
        <v>3.4000000000000002E-4</v>
      </c>
      <c r="BY36" t="s">
        <v>439</v>
      </c>
      <c r="BZ36">
        <v>7.6560000000000003E-2</v>
      </c>
      <c r="CA36">
        <v>2.4099999999999998E-3</v>
      </c>
      <c r="CB36" t="s">
        <v>442</v>
      </c>
      <c r="CC36">
        <v>4.9308300000000003</v>
      </c>
      <c r="CD36">
        <v>0.12875</v>
      </c>
      <c r="CE36" t="s">
        <v>442</v>
      </c>
      <c r="CF36">
        <v>4.6789300000000003</v>
      </c>
      <c r="CG36">
        <v>0.16292999999999999</v>
      </c>
      <c r="CH36" t="s">
        <v>442</v>
      </c>
      <c r="CI36">
        <v>5.0041599999999997</v>
      </c>
      <c r="CJ36">
        <v>0.13124</v>
      </c>
      <c r="CK36" t="s">
        <v>442</v>
      </c>
      <c r="CL36">
        <v>1.53491</v>
      </c>
      <c r="CM36">
        <v>4.2250000000000003E-2</v>
      </c>
      <c r="CN36" t="s">
        <v>442</v>
      </c>
      <c r="CO36">
        <v>189.85814999999999</v>
      </c>
      <c r="CP36">
        <v>7.9868300000000003</v>
      </c>
      <c r="CQ36" t="s">
        <v>442</v>
      </c>
      <c r="CR36">
        <v>2.2269100000000002</v>
      </c>
      <c r="CS36">
        <v>0.10188999999999999</v>
      </c>
      <c r="CT36" t="s">
        <v>442</v>
      </c>
      <c r="CU36">
        <v>13.43365</v>
      </c>
      <c r="CV36">
        <v>0.50258999999999998</v>
      </c>
      <c r="CW36" t="s">
        <v>442</v>
      </c>
      <c r="CX36">
        <v>48.514499999999998</v>
      </c>
      <c r="CY36">
        <v>2.0325899999999999</v>
      </c>
      <c r="CZ36" t="s">
        <v>442</v>
      </c>
      <c r="DA36">
        <v>46.194769999999998</v>
      </c>
      <c r="DB36">
        <v>1.64408</v>
      </c>
      <c r="DC36" t="s">
        <v>442</v>
      </c>
      <c r="DD36">
        <v>250.43595999999999</v>
      </c>
      <c r="DE36">
        <v>4.13687</v>
      </c>
      <c r="DF36" t="s">
        <v>442</v>
      </c>
      <c r="DG36">
        <v>18.34938</v>
      </c>
      <c r="DH36">
        <v>0.41381000000000001</v>
      </c>
      <c r="DI36" t="s">
        <v>442</v>
      </c>
      <c r="DJ36">
        <v>3.7170000000000002E-2</v>
      </c>
      <c r="DK36">
        <v>6.11E-3</v>
      </c>
      <c r="DL36" t="s">
        <v>442</v>
      </c>
      <c r="DM36">
        <v>8.1399999999999997E-3</v>
      </c>
      <c r="DN36">
        <v>6.8000000000000005E-4</v>
      </c>
      <c r="DO36" t="s">
        <v>442</v>
      </c>
      <c r="DP36">
        <v>3.0757400000000001</v>
      </c>
      <c r="DQ36">
        <v>5.91E-2</v>
      </c>
      <c r="DR36" t="s">
        <v>442</v>
      </c>
      <c r="DS36">
        <v>1.0422899999999999</v>
      </c>
      <c r="DT36">
        <v>1.444E-2</v>
      </c>
      <c r="DU36" t="s">
        <v>442</v>
      </c>
      <c r="DV36">
        <v>7.2238199999999999</v>
      </c>
      <c r="DW36">
        <v>0.14982000000000001</v>
      </c>
      <c r="DX36" t="s">
        <v>442</v>
      </c>
      <c r="DY36">
        <v>4.0059999999999998E-2</v>
      </c>
      <c r="DZ36">
        <v>1.98E-3</v>
      </c>
      <c r="EA36" t="s">
        <v>442</v>
      </c>
      <c r="EB36">
        <v>0.74187999999999998</v>
      </c>
      <c r="EC36">
        <v>2.989E-2</v>
      </c>
      <c r="ED36" t="s">
        <v>442</v>
      </c>
      <c r="EE36">
        <v>4.2859299999999996</v>
      </c>
      <c r="EF36">
        <v>8.3269999999999997E-2</v>
      </c>
      <c r="EG36" t="s">
        <v>442</v>
      </c>
      <c r="EH36">
        <v>613.77791999999999</v>
      </c>
      <c r="EI36">
        <v>11.752829999999999</v>
      </c>
      <c r="EJ36" t="s">
        <v>442</v>
      </c>
      <c r="EM36" t="s">
        <v>440</v>
      </c>
      <c r="EN36">
        <v>8.6167200000000008</v>
      </c>
      <c r="EO36">
        <v>0.30865999999999999</v>
      </c>
      <c r="EP36" t="s">
        <v>442</v>
      </c>
      <c r="ES36" t="s">
        <v>440</v>
      </c>
      <c r="ET36">
        <v>562.43984</v>
      </c>
      <c r="EU36">
        <v>14.653420000000001</v>
      </c>
      <c r="EV36" t="s">
        <v>442</v>
      </c>
      <c r="EW36">
        <v>6.2609999999999999E-2</v>
      </c>
      <c r="EX36">
        <v>9.2000000000000003E-4</v>
      </c>
      <c r="EY36" t="s">
        <v>442</v>
      </c>
      <c r="EZ36">
        <v>3.2217199999999999</v>
      </c>
      <c r="FA36">
        <v>7.7990000000000004E-2</v>
      </c>
      <c r="FB36" t="s">
        <v>442</v>
      </c>
      <c r="FC36">
        <v>0.62058999999999997</v>
      </c>
      <c r="FD36">
        <v>7.4950000000000003E-2</v>
      </c>
      <c r="FE36" t="s">
        <v>439</v>
      </c>
      <c r="FF36">
        <v>1.9478500000000001</v>
      </c>
      <c r="FG36">
        <v>0.35924</v>
      </c>
      <c r="FH36" t="s">
        <v>441</v>
      </c>
      <c r="FK36" t="s">
        <v>440</v>
      </c>
      <c r="FN36" t="s">
        <v>440</v>
      </c>
      <c r="FO36">
        <v>8.8262099999999997</v>
      </c>
      <c r="FP36">
        <v>0.15687999999999999</v>
      </c>
      <c r="FQ36" t="s">
        <v>441</v>
      </c>
      <c r="FT36" t="s">
        <v>440</v>
      </c>
      <c r="FX36">
        <v>35</v>
      </c>
    </row>
    <row r="37" spans="2:180" x14ac:dyDescent="0.2">
      <c r="B37" t="s">
        <v>103</v>
      </c>
      <c r="C37">
        <v>6.0339999999999998E-2</v>
      </c>
      <c r="D37">
        <v>1.8699999999999999E-3</v>
      </c>
      <c r="E37" t="s">
        <v>442</v>
      </c>
      <c r="F37">
        <v>1.9539999999999998E-2</v>
      </c>
      <c r="G37">
        <v>4.1999999999999997E-3</v>
      </c>
      <c r="H37" t="s">
        <v>439</v>
      </c>
      <c r="I37">
        <v>0.18978</v>
      </c>
      <c r="J37">
        <v>1.9499999999999999E-3</v>
      </c>
      <c r="K37" t="s">
        <v>442</v>
      </c>
      <c r="L37">
        <v>8.1769999999999995E-2</v>
      </c>
      <c r="M37">
        <v>5.4000000000000001E-4</v>
      </c>
      <c r="N37" t="s">
        <v>442</v>
      </c>
      <c r="O37">
        <v>1.7739999999999999E-2</v>
      </c>
      <c r="P37">
        <v>5.1000000000000004E-4</v>
      </c>
      <c r="Q37" t="s">
        <v>442</v>
      </c>
      <c r="R37">
        <v>9.1950000000000004E-2</v>
      </c>
      <c r="S37">
        <v>2.3400000000000001E-3</v>
      </c>
      <c r="T37" t="s">
        <v>442</v>
      </c>
      <c r="U37">
        <v>1.08E-3</v>
      </c>
      <c r="V37">
        <v>5.0000000000000002E-5</v>
      </c>
      <c r="W37" t="s">
        <v>439</v>
      </c>
      <c r="X37">
        <v>1.3899999999999999E-2</v>
      </c>
      <c r="Y37">
        <v>1.3999999999999999E-4</v>
      </c>
      <c r="Z37" t="s">
        <v>439</v>
      </c>
      <c r="AA37">
        <v>0.15037</v>
      </c>
      <c r="AB37">
        <v>2.7499999999999998E-3</v>
      </c>
      <c r="AC37" t="s">
        <v>442</v>
      </c>
      <c r="AD37">
        <v>7.6469999999999996E-2</v>
      </c>
      <c r="AE37">
        <v>1.9599999999999999E-3</v>
      </c>
      <c r="AF37" t="s">
        <v>442</v>
      </c>
      <c r="AI37" t="s">
        <v>440</v>
      </c>
      <c r="AJ37">
        <v>3.9003899999999998</v>
      </c>
      <c r="AK37">
        <v>2.1489999999999999E-2</v>
      </c>
      <c r="AL37" t="s">
        <v>441</v>
      </c>
      <c r="AM37">
        <v>1.8964700000000001</v>
      </c>
      <c r="AN37">
        <v>2.6210000000000001E-2</v>
      </c>
      <c r="AO37" t="s">
        <v>442</v>
      </c>
      <c r="AP37">
        <v>-3.29E-3</v>
      </c>
      <c r="AQ37">
        <v>2.2000000000000001E-4</v>
      </c>
      <c r="AR37" t="s">
        <v>439</v>
      </c>
      <c r="AS37">
        <v>0.35721999999999998</v>
      </c>
      <c r="AT37">
        <v>1.2999999999999999E-3</v>
      </c>
      <c r="AU37" t="s">
        <v>442</v>
      </c>
      <c r="AV37">
        <v>-2.0000000000000001E-4</v>
      </c>
      <c r="AW37">
        <v>2.0000000000000002E-5</v>
      </c>
      <c r="AX37" t="s">
        <v>439</v>
      </c>
      <c r="AY37">
        <v>-1.66E-3</v>
      </c>
      <c r="AZ37">
        <v>1.2999999999999999E-4</v>
      </c>
      <c r="BA37" t="s">
        <v>439</v>
      </c>
      <c r="BB37">
        <v>3.63E-3</v>
      </c>
      <c r="BC37">
        <v>2.4000000000000001E-4</v>
      </c>
      <c r="BD37" t="s">
        <v>442</v>
      </c>
      <c r="BE37">
        <v>6.9999999999999994E-5</v>
      </c>
      <c r="BF37">
        <v>1.6000000000000001E-4</v>
      </c>
      <c r="BG37" t="s">
        <v>439</v>
      </c>
      <c r="BH37">
        <v>1.4499999999999999E-3</v>
      </c>
      <c r="BI37">
        <v>4.6000000000000001E-4</v>
      </c>
      <c r="BJ37" t="s">
        <v>439</v>
      </c>
      <c r="BK37">
        <v>1.5399999999999999E-3</v>
      </c>
      <c r="BL37">
        <v>2.0000000000000002E-5</v>
      </c>
      <c r="BM37" t="s">
        <v>439</v>
      </c>
      <c r="BN37">
        <v>-2.0000000000000001E-4</v>
      </c>
      <c r="BO37">
        <v>3.0000000000000001E-5</v>
      </c>
      <c r="BP37" t="s">
        <v>439</v>
      </c>
      <c r="BQ37">
        <v>2.7499999999999998E-3</v>
      </c>
      <c r="BR37">
        <v>3.1E-4</v>
      </c>
      <c r="BS37" t="s">
        <v>442</v>
      </c>
      <c r="BV37" t="s">
        <v>440</v>
      </c>
      <c r="BW37">
        <v>-2.0485199999999999</v>
      </c>
      <c r="BX37">
        <v>7.7999999999999999E-4</v>
      </c>
      <c r="BY37" t="s">
        <v>439</v>
      </c>
      <c r="BZ37">
        <v>1.468E-2</v>
      </c>
      <c r="CA37">
        <v>2.5000000000000001E-4</v>
      </c>
      <c r="CB37" t="s">
        <v>442</v>
      </c>
      <c r="CC37">
        <v>0.70682999999999996</v>
      </c>
      <c r="CD37">
        <v>8.4999999999999995E-4</v>
      </c>
      <c r="CE37" t="s">
        <v>442</v>
      </c>
      <c r="CF37">
        <v>0.70860000000000001</v>
      </c>
      <c r="CG37">
        <v>4.5199999999999997E-3</v>
      </c>
      <c r="CH37" t="s">
        <v>442</v>
      </c>
      <c r="CI37">
        <v>0.69784000000000002</v>
      </c>
      <c r="CJ37">
        <v>6.1199999999999996E-3</v>
      </c>
      <c r="CK37" t="s">
        <v>442</v>
      </c>
      <c r="CL37">
        <v>2.3259999999999999E-2</v>
      </c>
      <c r="CM37">
        <v>1.08E-3</v>
      </c>
      <c r="CN37" t="s">
        <v>442</v>
      </c>
      <c r="CO37">
        <v>32.826369999999997</v>
      </c>
      <c r="CP37">
        <v>0.72845000000000004</v>
      </c>
      <c r="CQ37" t="s">
        <v>442</v>
      </c>
      <c r="CR37">
        <v>31.782599999999999</v>
      </c>
      <c r="CS37">
        <v>0.68340999999999996</v>
      </c>
      <c r="CT37" t="s">
        <v>442</v>
      </c>
      <c r="CU37">
        <v>17.435849999999999</v>
      </c>
      <c r="CV37">
        <v>0.24349000000000001</v>
      </c>
      <c r="CW37" t="s">
        <v>442</v>
      </c>
      <c r="CX37">
        <v>20.298749999999998</v>
      </c>
      <c r="CY37">
        <v>0.63461000000000001</v>
      </c>
      <c r="CZ37" t="s">
        <v>442</v>
      </c>
      <c r="DA37">
        <v>5.9258300000000004</v>
      </c>
      <c r="DB37">
        <v>0.12457</v>
      </c>
      <c r="DC37" t="s">
        <v>442</v>
      </c>
      <c r="DD37">
        <v>47.697839999999999</v>
      </c>
      <c r="DE37">
        <v>0.21623000000000001</v>
      </c>
      <c r="DF37" t="s">
        <v>442</v>
      </c>
      <c r="DG37">
        <v>15.052390000000001</v>
      </c>
      <c r="DH37">
        <v>0.23712</v>
      </c>
      <c r="DI37" t="s">
        <v>442</v>
      </c>
      <c r="DJ37">
        <v>4.5569999999999999E-2</v>
      </c>
      <c r="DK37">
        <v>3.5200000000000001E-3</v>
      </c>
      <c r="DL37" t="s">
        <v>442</v>
      </c>
      <c r="DM37">
        <v>1.465E-2</v>
      </c>
      <c r="DN37">
        <v>1.48E-3</v>
      </c>
      <c r="DO37" t="s">
        <v>442</v>
      </c>
      <c r="DP37">
        <v>4.2038599999999997</v>
      </c>
      <c r="DQ37">
        <v>4.487E-2</v>
      </c>
      <c r="DR37" t="s">
        <v>442</v>
      </c>
      <c r="DS37">
        <v>0.91185000000000005</v>
      </c>
      <c r="DT37">
        <v>5.7099999999999998E-3</v>
      </c>
      <c r="DU37" t="s">
        <v>442</v>
      </c>
      <c r="DV37">
        <v>10.66188</v>
      </c>
      <c r="DW37">
        <v>0.21142</v>
      </c>
      <c r="DX37" t="s">
        <v>442</v>
      </c>
      <c r="DY37">
        <v>1.5939999999999999E-2</v>
      </c>
      <c r="DZ37">
        <v>1.8E-3</v>
      </c>
      <c r="EA37" t="s">
        <v>439</v>
      </c>
      <c r="EB37">
        <v>1.0848199999999999</v>
      </c>
      <c r="EC37">
        <v>5.96E-3</v>
      </c>
      <c r="ED37" t="s">
        <v>442</v>
      </c>
      <c r="EE37">
        <v>1.2150399999999999</v>
      </c>
      <c r="EF37">
        <v>3.2480000000000002E-2</v>
      </c>
      <c r="EG37" t="s">
        <v>442</v>
      </c>
      <c r="EH37">
        <v>34.950040000000001</v>
      </c>
      <c r="EI37">
        <v>0.52280000000000004</v>
      </c>
      <c r="EJ37" t="s">
        <v>442</v>
      </c>
      <c r="EM37" t="s">
        <v>440</v>
      </c>
      <c r="EN37">
        <v>3.9666399999999999</v>
      </c>
      <c r="EO37">
        <v>6.794E-2</v>
      </c>
      <c r="EP37" t="s">
        <v>442</v>
      </c>
      <c r="ES37" t="s">
        <v>440</v>
      </c>
      <c r="ET37">
        <v>64.859870000000001</v>
      </c>
      <c r="EU37">
        <v>1.0399</v>
      </c>
      <c r="EV37" t="s">
        <v>442</v>
      </c>
      <c r="EW37">
        <v>1.2899999999999999E-3</v>
      </c>
      <c r="EX37">
        <v>1.6299999999999999E-3</v>
      </c>
      <c r="EY37" t="s">
        <v>439</v>
      </c>
      <c r="EZ37">
        <v>4.0171700000000001</v>
      </c>
      <c r="FA37">
        <v>0.15087999999999999</v>
      </c>
      <c r="FB37" t="s">
        <v>442</v>
      </c>
      <c r="FC37">
        <v>0.48692999999999997</v>
      </c>
      <c r="FD37">
        <v>5.9409999999999998E-2</v>
      </c>
      <c r="FE37" t="s">
        <v>439</v>
      </c>
      <c r="FF37">
        <v>2.1247699999999998</v>
      </c>
      <c r="FG37">
        <v>6.4360000000000001E-2</v>
      </c>
      <c r="FH37" t="s">
        <v>441</v>
      </c>
      <c r="FK37" t="s">
        <v>440</v>
      </c>
      <c r="FN37" t="s">
        <v>440</v>
      </c>
      <c r="FO37">
        <v>4.0347299999999997</v>
      </c>
      <c r="FP37">
        <v>5.738E-2</v>
      </c>
      <c r="FQ37" t="s">
        <v>441</v>
      </c>
      <c r="FT37" t="s">
        <v>440</v>
      </c>
      <c r="FX37">
        <v>36</v>
      </c>
    </row>
    <row r="38" spans="2:180" x14ac:dyDescent="0.2">
      <c r="B38" t="s">
        <v>104</v>
      </c>
      <c r="C38">
        <v>5.7290000000000001E-2</v>
      </c>
      <c r="D38">
        <v>4.2199999999999998E-3</v>
      </c>
      <c r="E38" t="s">
        <v>439</v>
      </c>
      <c r="F38">
        <v>1.6969999999999999E-2</v>
      </c>
      <c r="G38">
        <v>2.2799999999999999E-3</v>
      </c>
      <c r="H38" t="s">
        <v>439</v>
      </c>
      <c r="I38">
        <v>3.6880000000000003E-2</v>
      </c>
      <c r="J38">
        <v>3.5E-4</v>
      </c>
      <c r="K38" t="s">
        <v>442</v>
      </c>
      <c r="L38">
        <v>5.3069999999999999E-2</v>
      </c>
      <c r="M38">
        <v>5.6999999999999998E-4</v>
      </c>
      <c r="N38" t="s">
        <v>442</v>
      </c>
      <c r="O38">
        <v>5.0299999999999997E-3</v>
      </c>
      <c r="P38">
        <v>1.2999999999999999E-4</v>
      </c>
      <c r="Q38" t="s">
        <v>442</v>
      </c>
      <c r="R38">
        <v>9.0980000000000005E-2</v>
      </c>
      <c r="S38">
        <v>1.98E-3</v>
      </c>
      <c r="T38" t="s">
        <v>442</v>
      </c>
      <c r="U38">
        <v>7.5000000000000002E-4</v>
      </c>
      <c r="V38">
        <v>1.4999999999999999E-4</v>
      </c>
      <c r="W38" t="s">
        <v>439</v>
      </c>
      <c r="X38">
        <v>1.346E-2</v>
      </c>
      <c r="Y38">
        <v>4.0000000000000002E-4</v>
      </c>
      <c r="Z38" t="s">
        <v>439</v>
      </c>
      <c r="AA38">
        <v>0.19742000000000001</v>
      </c>
      <c r="AB38">
        <v>3.5100000000000001E-3</v>
      </c>
      <c r="AC38" t="s">
        <v>442</v>
      </c>
      <c r="AD38">
        <v>1.0710000000000001E-2</v>
      </c>
      <c r="AE38">
        <v>5.9999999999999995E-4</v>
      </c>
      <c r="AF38" t="s">
        <v>442</v>
      </c>
      <c r="AI38" t="s">
        <v>440</v>
      </c>
      <c r="AJ38">
        <v>0.22103999999999999</v>
      </c>
      <c r="AK38">
        <v>1.1999999999999999E-3</v>
      </c>
      <c r="AL38" t="s">
        <v>441</v>
      </c>
      <c r="AM38">
        <v>0.58991000000000005</v>
      </c>
      <c r="AN38">
        <v>2.8700000000000002E-3</v>
      </c>
      <c r="AO38" t="s">
        <v>442</v>
      </c>
      <c r="AP38">
        <v>-8.2400000000000008E-3</v>
      </c>
      <c r="AQ38">
        <v>2.3000000000000001E-4</v>
      </c>
      <c r="AR38" t="s">
        <v>439</v>
      </c>
      <c r="AS38">
        <v>0.19228999999999999</v>
      </c>
      <c r="AT38">
        <v>2.6199999999999999E-3</v>
      </c>
      <c r="AU38" t="s">
        <v>442</v>
      </c>
      <c r="AV38">
        <v>-3.5E-4</v>
      </c>
      <c r="AW38">
        <v>1.2999999999999999E-4</v>
      </c>
      <c r="AX38" t="s">
        <v>439</v>
      </c>
      <c r="AY38">
        <v>-1.6999999999999999E-3</v>
      </c>
      <c r="AZ38">
        <v>4.0000000000000003E-5</v>
      </c>
      <c r="BA38" t="s">
        <v>439</v>
      </c>
      <c r="BB38">
        <v>3.6700000000000001E-3</v>
      </c>
      <c r="BC38">
        <v>3.5E-4</v>
      </c>
      <c r="BD38" t="s">
        <v>442</v>
      </c>
      <c r="BE38">
        <v>1.4999999999999999E-4</v>
      </c>
      <c r="BF38">
        <v>1E-4</v>
      </c>
      <c r="BG38" t="s">
        <v>439</v>
      </c>
      <c r="BH38">
        <v>1.39E-3</v>
      </c>
      <c r="BI38">
        <v>3.0000000000000001E-5</v>
      </c>
      <c r="BJ38" t="s">
        <v>439</v>
      </c>
      <c r="BK38">
        <v>1.5299999999999999E-3</v>
      </c>
      <c r="BL38">
        <v>1.0000000000000001E-5</v>
      </c>
      <c r="BM38" t="s">
        <v>439</v>
      </c>
      <c r="BN38">
        <v>-2.2000000000000001E-4</v>
      </c>
      <c r="BO38">
        <v>1.8000000000000001E-4</v>
      </c>
      <c r="BP38" t="s">
        <v>439</v>
      </c>
      <c r="BQ38">
        <v>2.8400000000000001E-3</v>
      </c>
      <c r="BR38">
        <v>2.3000000000000001E-4</v>
      </c>
      <c r="BS38" t="s">
        <v>442</v>
      </c>
      <c r="BV38" t="s">
        <v>440</v>
      </c>
      <c r="BW38">
        <v>-2.0480700000000001</v>
      </c>
      <c r="BX38">
        <v>5.9000000000000003E-4</v>
      </c>
      <c r="BY38" t="s">
        <v>439</v>
      </c>
      <c r="BZ38">
        <v>3.2499999999999999E-3</v>
      </c>
      <c r="CA38">
        <v>2.0000000000000002E-5</v>
      </c>
      <c r="CB38" t="s">
        <v>439</v>
      </c>
      <c r="CC38">
        <v>8.4000000000000005E-2</v>
      </c>
      <c r="CD38">
        <v>5.0000000000000001E-4</v>
      </c>
      <c r="CE38" t="s">
        <v>442</v>
      </c>
      <c r="CF38">
        <v>0.10272000000000001</v>
      </c>
      <c r="CG38">
        <v>1.48E-3</v>
      </c>
      <c r="CH38" t="s">
        <v>442</v>
      </c>
      <c r="CI38">
        <v>7.5789999999999996E-2</v>
      </c>
      <c r="CJ38">
        <v>1.66E-3</v>
      </c>
      <c r="CK38" t="s">
        <v>442</v>
      </c>
      <c r="CL38">
        <v>-3.2100000000000002E-3</v>
      </c>
      <c r="CM38">
        <v>1.9000000000000001E-4</v>
      </c>
      <c r="CN38" t="s">
        <v>439</v>
      </c>
      <c r="CO38">
        <v>21.40934</v>
      </c>
      <c r="CP38">
        <v>0.3463</v>
      </c>
      <c r="CQ38" t="s">
        <v>442</v>
      </c>
      <c r="CR38">
        <v>1.4881200000000001</v>
      </c>
      <c r="CS38">
        <v>5.3899999999999998E-3</v>
      </c>
      <c r="CT38" t="s">
        <v>442</v>
      </c>
      <c r="CU38">
        <v>7.2050299999999998</v>
      </c>
      <c r="CV38">
        <v>0.14482999999999999</v>
      </c>
      <c r="CW38" t="s">
        <v>442</v>
      </c>
      <c r="CX38">
        <v>8.2132199999999997</v>
      </c>
      <c r="CY38">
        <v>0.48965999999999998</v>
      </c>
      <c r="CZ38" t="s">
        <v>442</v>
      </c>
      <c r="DA38">
        <v>4.5619699999999996</v>
      </c>
      <c r="DB38">
        <v>0.20097000000000001</v>
      </c>
      <c r="DC38" t="s">
        <v>442</v>
      </c>
      <c r="DD38">
        <v>5.9965200000000003</v>
      </c>
      <c r="DE38">
        <v>0.26950000000000002</v>
      </c>
      <c r="DF38" t="s">
        <v>442</v>
      </c>
      <c r="DG38">
        <v>10.73344</v>
      </c>
      <c r="DH38">
        <v>0.83787</v>
      </c>
      <c r="DI38" t="s">
        <v>442</v>
      </c>
      <c r="DJ38">
        <v>2.298E-2</v>
      </c>
      <c r="DK38">
        <v>3.5699999999999998E-3</v>
      </c>
      <c r="DL38" t="s">
        <v>439</v>
      </c>
      <c r="DM38">
        <v>1.532E-2</v>
      </c>
      <c r="DN38">
        <v>1.1900000000000001E-3</v>
      </c>
      <c r="DO38" t="s">
        <v>442</v>
      </c>
      <c r="DP38">
        <v>4.2896099999999997</v>
      </c>
      <c r="DQ38">
        <v>0.16075</v>
      </c>
      <c r="DR38" t="s">
        <v>442</v>
      </c>
      <c r="DS38">
        <v>0.70574999999999999</v>
      </c>
      <c r="DT38">
        <v>1.8749999999999999E-2</v>
      </c>
      <c r="DU38" t="s">
        <v>442</v>
      </c>
      <c r="DV38">
        <v>12.001340000000001</v>
      </c>
      <c r="DW38">
        <v>0.43230000000000002</v>
      </c>
      <c r="DX38" t="s">
        <v>442</v>
      </c>
      <c r="DY38">
        <v>1.5910000000000001E-2</v>
      </c>
      <c r="DZ38">
        <v>8.8000000000000003E-4</v>
      </c>
      <c r="EA38" t="s">
        <v>439</v>
      </c>
      <c r="EB38">
        <v>1.15228</v>
      </c>
      <c r="EC38">
        <v>2.554E-2</v>
      </c>
      <c r="ED38" t="s">
        <v>442</v>
      </c>
      <c r="EE38">
        <v>1.14591</v>
      </c>
      <c r="EF38">
        <v>3.8850000000000003E-2</v>
      </c>
      <c r="EG38" t="s">
        <v>442</v>
      </c>
      <c r="EH38">
        <v>11.2729</v>
      </c>
      <c r="EI38">
        <v>0.13177</v>
      </c>
      <c r="EJ38" t="s">
        <v>442</v>
      </c>
      <c r="EM38" t="s">
        <v>440</v>
      </c>
      <c r="EN38">
        <v>0.17277999999999999</v>
      </c>
      <c r="EO38">
        <v>3.3300000000000001E-3</v>
      </c>
      <c r="EP38" t="s">
        <v>442</v>
      </c>
      <c r="ES38" t="s">
        <v>440</v>
      </c>
      <c r="ET38">
        <v>10.559279999999999</v>
      </c>
      <c r="EU38">
        <v>0.10607999999999999</v>
      </c>
      <c r="EV38" t="s">
        <v>442</v>
      </c>
      <c r="EW38">
        <v>3.6000000000000002E-4</v>
      </c>
      <c r="EX38">
        <v>1.9E-3</v>
      </c>
      <c r="EY38" t="s">
        <v>439</v>
      </c>
      <c r="EZ38">
        <v>0.26091999999999999</v>
      </c>
      <c r="FA38">
        <v>4.5650000000000003E-2</v>
      </c>
      <c r="FB38" t="s">
        <v>442</v>
      </c>
      <c r="FC38">
        <v>0.32284000000000002</v>
      </c>
      <c r="FD38">
        <v>9.9129999999999996E-2</v>
      </c>
      <c r="FE38" t="s">
        <v>439</v>
      </c>
      <c r="FF38">
        <v>3.0634600000000001</v>
      </c>
      <c r="FG38">
        <v>0.27699000000000001</v>
      </c>
      <c r="FH38" t="s">
        <v>441</v>
      </c>
      <c r="FK38" t="s">
        <v>440</v>
      </c>
      <c r="FN38" t="s">
        <v>440</v>
      </c>
      <c r="FO38">
        <v>0.20221</v>
      </c>
      <c r="FP38">
        <v>6.2599999999999999E-3</v>
      </c>
      <c r="FQ38" t="s">
        <v>441</v>
      </c>
      <c r="FT38" t="s">
        <v>440</v>
      </c>
      <c r="FX38">
        <v>37</v>
      </c>
    </row>
    <row r="39" spans="2:180" x14ac:dyDescent="0.2">
      <c r="B39" t="s">
        <v>105</v>
      </c>
      <c r="C39">
        <v>0.13396</v>
      </c>
      <c r="D39">
        <v>3.3E-3</v>
      </c>
      <c r="E39" t="s">
        <v>442</v>
      </c>
      <c r="F39">
        <v>1.593E-2</v>
      </c>
      <c r="G39">
        <v>2.0600000000000002E-3</v>
      </c>
      <c r="H39" t="s">
        <v>439</v>
      </c>
      <c r="I39">
        <v>1.1691100000000001</v>
      </c>
      <c r="J39">
        <v>7.6499999999999997E-3</v>
      </c>
      <c r="K39" t="s">
        <v>442</v>
      </c>
      <c r="L39">
        <v>8.7279999999999996E-2</v>
      </c>
      <c r="M39">
        <v>1.3600000000000001E-3</v>
      </c>
      <c r="N39" t="s">
        <v>442</v>
      </c>
      <c r="O39">
        <v>6.6800000000000002E-3</v>
      </c>
      <c r="P39">
        <v>4.0000000000000003E-5</v>
      </c>
      <c r="Q39" t="s">
        <v>442</v>
      </c>
      <c r="R39">
        <v>0.38815</v>
      </c>
      <c r="S39">
        <v>3.6099999999999999E-3</v>
      </c>
      <c r="T39" t="s">
        <v>442</v>
      </c>
      <c r="U39">
        <v>1.32E-3</v>
      </c>
      <c r="V39">
        <v>4.0000000000000003E-5</v>
      </c>
      <c r="W39" t="s">
        <v>439</v>
      </c>
      <c r="X39">
        <v>1.4239999999999999E-2</v>
      </c>
      <c r="Y39">
        <v>3.6999999999999999E-4</v>
      </c>
      <c r="Z39" t="s">
        <v>439</v>
      </c>
      <c r="AA39">
        <v>7.3870000000000005E-2</v>
      </c>
      <c r="AB39">
        <v>6.4999999999999997E-4</v>
      </c>
      <c r="AC39" t="s">
        <v>442</v>
      </c>
      <c r="AD39">
        <v>0.34871999999999997</v>
      </c>
      <c r="AE39">
        <v>6.7299999999999999E-3</v>
      </c>
      <c r="AF39" t="s">
        <v>442</v>
      </c>
      <c r="AI39" t="s">
        <v>440</v>
      </c>
      <c r="AJ39">
        <v>20.056480000000001</v>
      </c>
      <c r="AK39">
        <v>0.25663999999999998</v>
      </c>
      <c r="AL39" t="s">
        <v>441</v>
      </c>
      <c r="AM39">
        <v>80.530469999999994</v>
      </c>
      <c r="AN39">
        <v>1.2715099999999999</v>
      </c>
      <c r="AO39" t="s">
        <v>442</v>
      </c>
      <c r="AP39">
        <v>3.5659999999999997E-2</v>
      </c>
      <c r="AQ39">
        <v>1E-3</v>
      </c>
      <c r="AR39" t="s">
        <v>442</v>
      </c>
      <c r="AS39">
        <v>1.1747700000000001</v>
      </c>
      <c r="AT39">
        <v>8.4100000000000008E-3</v>
      </c>
      <c r="AU39" t="s">
        <v>442</v>
      </c>
      <c r="AV39">
        <v>7.9399999999999991E-3</v>
      </c>
      <c r="AW39">
        <v>1.4999999999999999E-4</v>
      </c>
      <c r="AX39" t="s">
        <v>442</v>
      </c>
      <c r="AY39">
        <v>2.7599999999999999E-3</v>
      </c>
      <c r="AZ39">
        <v>3.3E-4</v>
      </c>
      <c r="BA39" t="s">
        <v>442</v>
      </c>
      <c r="BB39">
        <v>6.0600000000000003E-3</v>
      </c>
      <c r="BC39">
        <v>5.1000000000000004E-4</v>
      </c>
      <c r="BD39" t="s">
        <v>442</v>
      </c>
      <c r="BE39">
        <v>7.6000000000000004E-4</v>
      </c>
      <c r="BF39">
        <v>1.9000000000000001E-4</v>
      </c>
      <c r="BG39" t="s">
        <v>439</v>
      </c>
      <c r="BH39">
        <v>2.0699999999999998E-3</v>
      </c>
      <c r="BI39">
        <v>1.2999999999999999E-4</v>
      </c>
      <c r="BJ39" t="s">
        <v>442</v>
      </c>
      <c r="BK39">
        <v>1.6299999999999999E-3</v>
      </c>
      <c r="BL39">
        <v>6.0000000000000002E-5</v>
      </c>
      <c r="BM39" t="s">
        <v>439</v>
      </c>
      <c r="BN39">
        <v>2.7999999999999998E-4</v>
      </c>
      <c r="BO39">
        <v>1.1E-4</v>
      </c>
      <c r="BP39" t="s">
        <v>439</v>
      </c>
      <c r="BQ39">
        <v>2.725E-2</v>
      </c>
      <c r="BR39">
        <v>7.5000000000000002E-4</v>
      </c>
      <c r="BS39" t="s">
        <v>442</v>
      </c>
      <c r="BV39" t="s">
        <v>440</v>
      </c>
      <c r="BW39">
        <v>-2.0483799999999999</v>
      </c>
      <c r="BX39">
        <v>4.8999999999999998E-4</v>
      </c>
      <c r="BY39" t="s">
        <v>439</v>
      </c>
      <c r="BZ39">
        <v>3.2669999999999998E-2</v>
      </c>
      <c r="CA39">
        <v>7.5000000000000002E-4</v>
      </c>
      <c r="CB39" t="s">
        <v>442</v>
      </c>
      <c r="CC39">
        <v>5.5113500000000002</v>
      </c>
      <c r="CD39">
        <v>1.9640000000000001E-2</v>
      </c>
      <c r="CE39" t="s">
        <v>442</v>
      </c>
      <c r="CF39">
        <v>5.3356500000000002</v>
      </c>
      <c r="CG39">
        <v>0.10135</v>
      </c>
      <c r="CH39" t="s">
        <v>442</v>
      </c>
      <c r="CI39">
        <v>5.2972200000000003</v>
      </c>
      <c r="CJ39">
        <v>1.6979999999999999E-2</v>
      </c>
      <c r="CK39" t="s">
        <v>442</v>
      </c>
      <c r="CL39">
        <v>1.7723599999999999</v>
      </c>
      <c r="CM39">
        <v>1.0449999999999999E-2</v>
      </c>
      <c r="CN39" t="s">
        <v>442</v>
      </c>
      <c r="CO39">
        <v>246.65451999999999</v>
      </c>
      <c r="CP39">
        <v>3.4240200000000001</v>
      </c>
      <c r="CQ39" t="s">
        <v>442</v>
      </c>
      <c r="CR39">
        <v>1.91781</v>
      </c>
      <c r="CS39">
        <v>4.4260000000000001E-2</v>
      </c>
      <c r="CT39" t="s">
        <v>442</v>
      </c>
      <c r="CU39">
        <v>15.405290000000001</v>
      </c>
      <c r="CV39">
        <v>0.38162000000000001</v>
      </c>
      <c r="CW39" t="s">
        <v>442</v>
      </c>
      <c r="CX39">
        <v>87.175359999999998</v>
      </c>
      <c r="CY39">
        <v>1.67719</v>
      </c>
      <c r="CZ39" t="s">
        <v>442</v>
      </c>
      <c r="DA39">
        <v>27.983730000000001</v>
      </c>
      <c r="DB39">
        <v>0.54210999999999998</v>
      </c>
      <c r="DC39" t="s">
        <v>442</v>
      </c>
      <c r="DD39">
        <v>158.30906999999999</v>
      </c>
      <c r="DE39">
        <v>1.6519699999999999</v>
      </c>
      <c r="DF39" t="s">
        <v>442</v>
      </c>
      <c r="DG39">
        <v>15.854139999999999</v>
      </c>
      <c r="DH39">
        <v>0.35410000000000003</v>
      </c>
      <c r="DI39" t="s">
        <v>442</v>
      </c>
      <c r="DJ39">
        <v>5.688E-2</v>
      </c>
      <c r="DK39">
        <v>1.0290000000000001E-2</v>
      </c>
      <c r="DL39" t="s">
        <v>442</v>
      </c>
      <c r="DM39">
        <v>2.5090000000000001E-2</v>
      </c>
      <c r="DN39">
        <v>1.1000000000000001E-3</v>
      </c>
      <c r="DO39" t="s">
        <v>442</v>
      </c>
      <c r="DP39">
        <v>12.65925</v>
      </c>
      <c r="DQ39">
        <v>0.55517000000000005</v>
      </c>
      <c r="DR39" t="s">
        <v>442</v>
      </c>
      <c r="DS39">
        <v>6.6582400000000002</v>
      </c>
      <c r="DT39">
        <v>0.23129</v>
      </c>
      <c r="DU39" t="s">
        <v>442</v>
      </c>
      <c r="DV39">
        <v>44.131019999999999</v>
      </c>
      <c r="DW39">
        <v>1.5412699999999999</v>
      </c>
      <c r="DX39" t="s">
        <v>442</v>
      </c>
      <c r="DY39">
        <v>0.28349999999999997</v>
      </c>
      <c r="DZ39">
        <v>1.345E-2</v>
      </c>
      <c r="EA39" t="s">
        <v>442</v>
      </c>
      <c r="EB39">
        <v>8.1009200000000003</v>
      </c>
      <c r="EC39">
        <v>0.20982999999999999</v>
      </c>
      <c r="ED39" t="s">
        <v>442</v>
      </c>
      <c r="EE39">
        <v>12.65193</v>
      </c>
      <c r="EF39">
        <v>0.27981</v>
      </c>
      <c r="EG39" t="s">
        <v>442</v>
      </c>
      <c r="EH39">
        <v>962.01188000000002</v>
      </c>
      <c r="EI39">
        <v>13.543279999999999</v>
      </c>
      <c r="EJ39" t="s">
        <v>442</v>
      </c>
      <c r="EM39" t="s">
        <v>440</v>
      </c>
      <c r="EN39">
        <v>22.114439999999998</v>
      </c>
      <c r="EO39">
        <v>0.42031000000000002</v>
      </c>
      <c r="EP39" t="s">
        <v>442</v>
      </c>
      <c r="ES39" t="s">
        <v>440</v>
      </c>
      <c r="ET39">
        <v>287.19740000000002</v>
      </c>
      <c r="EU39">
        <v>13.77848</v>
      </c>
      <c r="EV39" t="s">
        <v>442</v>
      </c>
      <c r="EW39">
        <v>0.11666</v>
      </c>
      <c r="EX39">
        <v>5.3800000000000002E-3</v>
      </c>
      <c r="EY39" t="s">
        <v>442</v>
      </c>
      <c r="EZ39">
        <v>56.1462</v>
      </c>
      <c r="FA39">
        <v>1.6555899999999999</v>
      </c>
      <c r="FB39" t="s">
        <v>442</v>
      </c>
      <c r="FC39">
        <v>2.91046</v>
      </c>
      <c r="FD39">
        <v>0.22061</v>
      </c>
      <c r="FE39" t="s">
        <v>442</v>
      </c>
      <c r="FF39">
        <v>4.1087199999999999</v>
      </c>
      <c r="FG39">
        <v>0.35226000000000002</v>
      </c>
      <c r="FH39" t="s">
        <v>441</v>
      </c>
      <c r="FK39" t="s">
        <v>440</v>
      </c>
      <c r="FN39" t="s">
        <v>440</v>
      </c>
      <c r="FO39">
        <v>22.535589999999999</v>
      </c>
      <c r="FP39">
        <v>0.53498999999999997</v>
      </c>
      <c r="FQ39" t="s">
        <v>441</v>
      </c>
      <c r="FT39" t="s">
        <v>440</v>
      </c>
      <c r="FX39">
        <v>38</v>
      </c>
    </row>
    <row r="40" spans="2:180" x14ac:dyDescent="0.2">
      <c r="B40" t="s">
        <v>106</v>
      </c>
      <c r="C40">
        <v>7.8659999999999994E-2</v>
      </c>
      <c r="D40">
        <v>1.67E-3</v>
      </c>
      <c r="E40" t="e">
        <f>IF((ABS($C$40-$C$32)/(($C$40+$C$32)/2)) &lt;#REF!, "Dp","Df")</f>
        <v>#REF!</v>
      </c>
      <c r="F40">
        <v>1.6060000000000001E-2</v>
      </c>
      <c r="G40">
        <v>9.3000000000000005E-4</v>
      </c>
      <c r="H40" t="e">
        <f>IF((ABS($F$40-$F$32)/(($F$40+$F$32)/2)) &lt;#REF!, "Dp","Df")</f>
        <v>#REF!</v>
      </c>
      <c r="I40">
        <v>0.89844999999999997</v>
      </c>
      <c r="J40">
        <v>7.9799999999999992E-3</v>
      </c>
      <c r="K40" t="e">
        <f>IF((ABS($I$40-$I$32)/(($I$40+$I$32)/2)) &lt;#REF!, "Dp","Df")</f>
        <v>#REF!</v>
      </c>
      <c r="L40">
        <v>6.8919999999999995E-2</v>
      </c>
      <c r="M40">
        <v>1.49E-3</v>
      </c>
      <c r="N40" t="e">
        <f>IF((ABS($L$40-$L$32)/(($L$40+$L$32)/2)) &lt;#REF!, "Dp","Df")</f>
        <v>#REF!</v>
      </c>
      <c r="O40">
        <v>3.9699999999999996E-3</v>
      </c>
      <c r="P40">
        <v>1.0000000000000001E-5</v>
      </c>
      <c r="Q40" t="e">
        <f>IF((ABS($O$40-$O$32)/(($O$40+$O$32)/2)) &lt;#REF!, "Dp","Df")</f>
        <v>#REF!</v>
      </c>
      <c r="R40">
        <v>0.16786999999999999</v>
      </c>
      <c r="S40">
        <v>1.57E-3</v>
      </c>
      <c r="T40" t="e">
        <f>IF((ABS($R$40-$R$32)/(($R$40+$R$32)/2)) &lt;#REF!, "Dp","Df")</f>
        <v>#REF!</v>
      </c>
      <c r="U40">
        <v>7.9000000000000001E-4</v>
      </c>
      <c r="V40">
        <v>4.0000000000000003E-5</v>
      </c>
      <c r="W40" t="e">
        <f>IF((ABS($U$40-$U$32)/(($U$40+$U$32)/2)) &lt;#REF!, "Dp","Df")</f>
        <v>#REF!</v>
      </c>
      <c r="X40">
        <v>1.3180000000000001E-2</v>
      </c>
      <c r="Y40">
        <v>7.3999999999999999E-4</v>
      </c>
      <c r="Z40" t="e">
        <f>IF((ABS($X$40-$X$32)/(($X$40+$X$32)/2)) &lt;#REF!, "Dp","Df")</f>
        <v>#REF!</v>
      </c>
      <c r="AA40">
        <v>0.59167999999999998</v>
      </c>
      <c r="AB40">
        <v>1.025E-2</v>
      </c>
      <c r="AC40" t="e">
        <f>IF((ABS($AA$40-$AA$32)/(($AA$40+$AA$32)/2)) &lt;#REF!, "Dp","Df")</f>
        <v>#REF!</v>
      </c>
      <c r="AD40">
        <v>0.33596999999999999</v>
      </c>
      <c r="AE40">
        <v>4.1700000000000001E-3</v>
      </c>
      <c r="AF40" t="e">
        <f>IF((ABS($AD$40-$AD$32)/(($AD$40+$AD$32)/2)) &lt;#REF!, "Dp","Df")</f>
        <v>#REF!</v>
      </c>
      <c r="AI40" t="e">
        <f>IF((ABS($AG$40-$AG$32)/(($AG$40+$AG$32)/2)) &lt;#REF!, "Dp","Df")</f>
        <v>#DIV/0!</v>
      </c>
      <c r="AJ40">
        <v>5.2687099999999996</v>
      </c>
      <c r="AK40">
        <v>3.9100000000000003E-2</v>
      </c>
      <c r="AL40" t="e">
        <f>IF((ABS($AJ$40-$AJ$32)/(($AJ$40+$AJ$32)/2)) &lt;#REF!, "Dp","Df")</f>
        <v>#REF!</v>
      </c>
      <c r="AM40">
        <v>7.0954199999999998</v>
      </c>
      <c r="AN40">
        <v>7.7660000000000007E-2</v>
      </c>
      <c r="AO40" t="e">
        <f>IF((ABS($AM$40-$AM$32)/(($AM$40+$AM$32)/2)) &lt;#REF!, "Dp","Df")</f>
        <v>#REF!</v>
      </c>
      <c r="AP40">
        <v>1.9769999999999999E-2</v>
      </c>
      <c r="AQ40">
        <v>2.7999999999999998E-4</v>
      </c>
      <c r="AR40" t="e">
        <f>IF((ABS($AP$40-$AP$32)/(($AP$40+$AP$32)/2)) &lt;#REF!, "Dp","Df")</f>
        <v>#REF!</v>
      </c>
      <c r="AS40">
        <v>0.75302000000000002</v>
      </c>
      <c r="AT40">
        <v>4.2399999999999998E-3</v>
      </c>
      <c r="AU40" t="e">
        <f>IF((ABS($AS$40-$AS$32)/(($AS$40+$AS$32)/2)) &lt;#REF!, "Dp","Df")</f>
        <v>#REF!</v>
      </c>
      <c r="AV40">
        <v>-4.8000000000000001E-4</v>
      </c>
      <c r="AW40">
        <v>1.1E-4</v>
      </c>
      <c r="AX40" t="e">
        <f>IF((ABS($AV$40-$AV$32)/(($AV$40+$AV$32)/2)) &lt;#REF!, "Dp","Df")</f>
        <v>#REF!</v>
      </c>
      <c r="AY40">
        <v>-3.0100000000000001E-3</v>
      </c>
      <c r="AZ40">
        <v>2.1000000000000001E-4</v>
      </c>
      <c r="BA40" t="e">
        <f>IF((ABS($AY$40-$AY$32)/(($AY$40+$AY$32)/2)) &lt;#REF!, "Dp","Df")</f>
        <v>#REF!</v>
      </c>
      <c r="BB40">
        <v>2.9199999999999999E-3</v>
      </c>
      <c r="BC40">
        <v>1.3999999999999999E-4</v>
      </c>
      <c r="BD40" t="e">
        <f>IF((ABS($BB$40-$BB$32)/(($BB$40+$BB$32)/2)) &lt;#REF!, "Dp","Df")</f>
        <v>#REF!</v>
      </c>
      <c r="BE40">
        <v>1.0000000000000001E-5</v>
      </c>
      <c r="BF40">
        <v>1.2999999999999999E-4</v>
      </c>
      <c r="BG40" t="e">
        <f>IF((ABS($BE$40-$BE$32)/(($BE$40+$BE$32)/2)) &lt;#REF!, "Dp","Df")</f>
        <v>#REF!</v>
      </c>
      <c r="BH40">
        <v>1.1199999999999999E-3</v>
      </c>
      <c r="BI40">
        <v>2.7999999999999998E-4</v>
      </c>
      <c r="BJ40" t="e">
        <f>IF((ABS($BH$40-$BH$32)/(($BH$40+$BH$32)/2)) &lt;#REF!, "Dp","Df")</f>
        <v>#REF!</v>
      </c>
      <c r="BK40">
        <v>1.5200000000000001E-3</v>
      </c>
      <c r="BL40">
        <v>1.0000000000000001E-5</v>
      </c>
      <c r="BM40" t="e">
        <f>IF((ABS($BK$40-$BK$32)/(($BK$40+$BK$32)/2)) &lt;#REF!, "Dp","Df")</f>
        <v>#REF!</v>
      </c>
      <c r="BN40">
        <v>-3.3E-4</v>
      </c>
      <c r="BO40">
        <v>6.9999999999999994E-5</v>
      </c>
      <c r="BP40" t="e">
        <f>IF((ABS($BN$40-$BN$32)/(($BN$40+$BN$32)/2)) &lt;#REF!, "Dp","Df")</f>
        <v>#REF!</v>
      </c>
      <c r="BQ40">
        <v>2.6849999999999999E-2</v>
      </c>
      <c r="BR40">
        <v>9.2000000000000003E-4</v>
      </c>
      <c r="BS40" t="e">
        <f>IF((ABS($BQ$40-$BQ$32)/(($BQ$40+$BQ$32)/2)) &lt;#REF!, "Dp","Df")</f>
        <v>#REF!</v>
      </c>
      <c r="BV40" t="e">
        <f>IF((ABS($BT$40-$BT$32)/(($BT$40+$BT$32)/2)) &lt;#REF!, "Dp","Df")</f>
        <v>#DIV/0!</v>
      </c>
      <c r="BW40">
        <v>-2.0491100000000002</v>
      </c>
      <c r="BX40">
        <v>5.6999999999999998E-4</v>
      </c>
      <c r="BY40" t="e">
        <f>IF((ABS($BW$40-$BW$32)/(($BW$40+$BW$32)/2)) &lt;#REF!, "Dp","Df")</f>
        <v>#REF!</v>
      </c>
      <c r="BZ40">
        <v>2.8420000000000001E-2</v>
      </c>
      <c r="CA40">
        <v>2.7E-4</v>
      </c>
      <c r="CB40" t="e">
        <f>IF((ABS($BZ$40-$BZ$32)/(($BZ$40+$BZ$32)/2)) &lt;#REF!, "Dp","Df")</f>
        <v>#REF!</v>
      </c>
      <c r="CC40">
        <v>3.21902</v>
      </c>
      <c r="CD40">
        <v>5.9389999999999998E-2</v>
      </c>
      <c r="CE40" t="e">
        <f>IF((ABS($CC$40-$CC$32)/(($CC$40+$CC$32)/2)) &lt;#REF!, "Dp","Df")</f>
        <v>#REF!</v>
      </c>
      <c r="CF40">
        <v>3.19739</v>
      </c>
      <c r="CG40">
        <v>2.5260000000000001E-2</v>
      </c>
      <c r="CH40" t="e">
        <f>IF((ABS($CF$40-$CF$32)/(($CF$40+$CF$32)/2)) &lt;#REF!, "Dp","Df")</f>
        <v>#REF!</v>
      </c>
      <c r="CI40">
        <v>3.3377699999999999</v>
      </c>
      <c r="CJ40">
        <v>5.5820000000000002E-2</v>
      </c>
      <c r="CK40" t="e">
        <f>IF((ABS($CI$40-$CI$32)/(($CI$40+$CI$32)/2)) &lt;#REF!, "Dp","Df")</f>
        <v>#REF!</v>
      </c>
      <c r="CL40">
        <v>0.47605999999999998</v>
      </c>
      <c r="CM40">
        <v>6.4900000000000001E-3</v>
      </c>
      <c r="CN40" t="e">
        <f>IF((ABS($CL$40-$CL$32)/(($CL$40+$CL$32)/2)) &lt;#REF!, "Dp","Df")</f>
        <v>#REF!</v>
      </c>
      <c r="CO40">
        <v>125.14086</v>
      </c>
      <c r="CP40">
        <v>3.4855800000000001</v>
      </c>
      <c r="CQ40" t="e">
        <f>IF((ABS($CO$40-$CO$32)/(($CO$40+$CO$32)/2)) &lt;#REF!, "Dp","Df")</f>
        <v>#REF!</v>
      </c>
      <c r="CR40">
        <v>1.65544</v>
      </c>
      <c r="CS40">
        <v>6.3990000000000005E-2</v>
      </c>
      <c r="CT40" t="e">
        <f>IF((ABS($CR$40-$CR$32)/(($CR$40+$CR$32)/2)) &lt;#REF!, "Dp","Df")</f>
        <v>#REF!</v>
      </c>
      <c r="CU40">
        <v>6.1338999999999997</v>
      </c>
      <c r="CV40">
        <v>0.21115999999999999</v>
      </c>
      <c r="CW40" t="e">
        <f>IF((ABS($CU$40-$CU$32)/(($CU$40+$CU$32)/2)) &lt;#REF!, "Dp","Df")</f>
        <v>#REF!</v>
      </c>
      <c r="CX40">
        <v>39.513030000000001</v>
      </c>
      <c r="CY40">
        <v>1.32928</v>
      </c>
      <c r="CZ40" t="e">
        <f>IF((ABS($CX$40-$CX$32)/(($CX$40+$CX$32)/2)) &lt;#REF!, "Dp","Df")</f>
        <v>#REF!</v>
      </c>
      <c r="DA40">
        <v>15.305059999999999</v>
      </c>
      <c r="DB40">
        <v>0.65215999999999996</v>
      </c>
      <c r="DC40" t="e">
        <f>IF((ABS($DA$40-$DA$32)/(($DA$40+$DA$32)/2)) &lt;#REF!, "Dp","Df")</f>
        <v>#REF!</v>
      </c>
      <c r="DD40">
        <v>52.856960000000001</v>
      </c>
      <c r="DE40">
        <v>1.8204899999999999</v>
      </c>
      <c r="DF40" t="e">
        <f>IF((ABS($DD$40-$DD$32)/(($DD$40+$DD$32)/2)) &lt;#REF!, "Dp","Df")</f>
        <v>#REF!</v>
      </c>
      <c r="DG40">
        <v>11.8527</v>
      </c>
      <c r="DH40">
        <v>0.31864999999999999</v>
      </c>
      <c r="DI40" t="e">
        <f>IF((ABS($DG$40-$DG$32)/(($DG$40+$DG$32)/2)) &lt;#REF!, "Dp","Df")</f>
        <v>#REF!</v>
      </c>
      <c r="DJ40">
        <v>1.8859999999999998E-2</v>
      </c>
      <c r="DK40">
        <v>9.9699999999999997E-3</v>
      </c>
      <c r="DL40" t="e">
        <f>IF((ABS($DJ$40-$DJ$32)/(($DJ$40+$DJ$32)/2)) &lt;#REF!, "Dp","Df")</f>
        <v>#REF!</v>
      </c>
      <c r="DM40">
        <v>9.7300000000000008E-3</v>
      </c>
      <c r="DN40">
        <v>7.5000000000000002E-4</v>
      </c>
      <c r="DO40" t="e">
        <f>IF((ABS($DM$40-$DM$32)/(($DM$40+$DM$32)/2)) &lt;#REF!, "Dp","Df")</f>
        <v>#REF!</v>
      </c>
      <c r="DP40">
        <v>3.2415600000000002</v>
      </c>
      <c r="DQ40">
        <v>6.6589999999999996E-2</v>
      </c>
      <c r="DR40" t="e">
        <f>IF((ABS($DP$40-$DP$32)/(($DP$40+$DP$32)/2)) &lt;#REF!, "Dp","Df")</f>
        <v>#REF!</v>
      </c>
      <c r="DS40">
        <v>1.2291399999999999</v>
      </c>
      <c r="DT40">
        <v>1.5709999999999998E-2</v>
      </c>
      <c r="DU40" t="e">
        <f>IF((ABS($DS$40-$DS$32)/(($DS$40+$DS$32)/2)) &lt;#REF!, "Dp","Df")</f>
        <v>#REF!</v>
      </c>
      <c r="DV40">
        <v>7.1926199999999998</v>
      </c>
      <c r="DW40">
        <v>5.8590000000000003E-2</v>
      </c>
      <c r="DX40" t="e">
        <f>IF((ABS($DV$40-$DV$32)/(($DV$40+$DV$32)/2)) &lt;#REF!, "Dp","Df")</f>
        <v>#REF!</v>
      </c>
      <c r="DY40">
        <v>5.4140000000000001E-2</v>
      </c>
      <c r="DZ40">
        <v>1.16E-3</v>
      </c>
      <c r="EA40" t="e">
        <f>IF((ABS($DY$40-$DY$32)/(($DY$40+$DY$32)/2)) &lt;#REF!, "Dp","Df")</f>
        <v>#REF!</v>
      </c>
      <c r="EB40">
        <v>0.64912000000000003</v>
      </c>
      <c r="EC40">
        <v>9.3799999999999994E-3</v>
      </c>
      <c r="ED40" t="e">
        <f>IF((ABS($EB$40-$EB$32)/(($EB$40+$EB$32)/2)) &lt;#REF!, "Dp","Df")</f>
        <v>#REF!</v>
      </c>
      <c r="EE40">
        <v>3.8177599999999998</v>
      </c>
      <c r="EF40">
        <v>2.9229999999999999E-2</v>
      </c>
      <c r="EG40" t="e">
        <f>IF((ABS($EE$40-$EE$32)/(($EE$40+$EE$32)/2)) &lt;#REF!, "Dp","Df")</f>
        <v>#REF!</v>
      </c>
      <c r="EH40">
        <v>660.61032999999998</v>
      </c>
      <c r="EI40">
        <v>1.3427800000000001</v>
      </c>
      <c r="EJ40" t="e">
        <f>IF((ABS($EH$40-$EH$32)/(($EH$40+$EH$32)/2)) &lt;#REF!, "Dp","Df")</f>
        <v>#REF!</v>
      </c>
      <c r="EM40" t="e">
        <f>IF((ABS($EK$40-$EK$32)/(($EK$40+$EK$32)/2)) &lt;#REF!, "Dp","Df")</f>
        <v>#DIV/0!</v>
      </c>
      <c r="EN40">
        <v>5.4474</v>
      </c>
      <c r="EO40">
        <v>0.10585</v>
      </c>
      <c r="EP40" t="e">
        <f>IF((ABS($EN$40-$EN$32)/(($EN$40+$EN$32)/2)) &lt;#REF!, "Dp","Df")</f>
        <v>#REF!</v>
      </c>
      <c r="ES40" t="e">
        <f>IF((ABS($EQ$40-$EQ$32)/(($EQ$40+$EQ$32)/2)) &lt;#REF!, "Dp","Df")</f>
        <v>#DIV/0!</v>
      </c>
      <c r="ET40">
        <v>303.00089000000003</v>
      </c>
      <c r="EU40">
        <v>10.786060000000001</v>
      </c>
      <c r="EV40" t="e">
        <f>IF((ABS($ET$40-$ET$32)/(($ET$40+$ET$32)/2)) &lt;#REF!, "Dp","Df")</f>
        <v>#REF!</v>
      </c>
      <c r="EW40">
        <v>4.7940000000000003E-2</v>
      </c>
      <c r="EX40">
        <v>3.2000000000000002E-3</v>
      </c>
      <c r="EY40" t="e">
        <f>IF((ABS($EW$40-$EW$32)/(($EW$40+$EW$32)/2)) &lt;#REF!, "Dp","Df")</f>
        <v>#REF!</v>
      </c>
      <c r="EZ40">
        <v>1.8300099999999999</v>
      </c>
      <c r="FA40">
        <v>4.8239999999999998E-2</v>
      </c>
      <c r="FB40" t="e">
        <f>IF((ABS($EZ$40-$EZ$32)/(($EZ$40+$EZ$32)/2)) &lt;#REF!, "Dp","Df")</f>
        <v>#REF!</v>
      </c>
      <c r="FC40">
        <v>0.26194000000000001</v>
      </c>
      <c r="FD40">
        <v>6.6570000000000004E-2</v>
      </c>
      <c r="FE40" t="e">
        <f>IF((ABS($FC$40-$FC$32)/(($FC$40+$FC$32)/2)) &lt;#REF!, "Dp","Df")</f>
        <v>#REF!</v>
      </c>
      <c r="FF40">
        <v>1.65604</v>
      </c>
      <c r="FG40">
        <v>8.9520000000000002E-2</v>
      </c>
      <c r="FH40" t="e">
        <f>IF((ABS($FF$40-$FF$32)/(($FF$40+$FF$32)/2)) &lt;#REF!, "Dp","Df")</f>
        <v>#REF!</v>
      </c>
      <c r="FK40" t="e">
        <f>IF((ABS($FI$40-$FI$32)/(($FI$40+$FI$32)/2)) &lt;#REF!, "Dp","Df")</f>
        <v>#DIV/0!</v>
      </c>
      <c r="FN40" t="e">
        <f>IF((ABS($FL$40-$FL$32)/(($FL$40+$FL$32)/2)) &lt;#REF!, "Dp","Df")</f>
        <v>#DIV/0!</v>
      </c>
      <c r="FO40">
        <v>5.5663200000000002</v>
      </c>
      <c r="FP40">
        <v>0.12811</v>
      </c>
      <c r="FQ40" t="e">
        <f>IF((ABS($FO$40-$FO$32)/(($FO$40+$FO$32)/2)) &lt;#REF!, "Dp","Df")</f>
        <v>#REF!</v>
      </c>
      <c r="FT40" t="e">
        <f>IF((ABS($FR$40-$FR$32)/(($FR$40+$FR$32)/2)) &lt;#REF!, "Dp","Df")</f>
        <v>#DIV/0!</v>
      </c>
      <c r="FU40">
        <v>2</v>
      </c>
      <c r="FX40">
        <v>39</v>
      </c>
    </row>
    <row r="41" spans="2:180" x14ac:dyDescent="0.2">
      <c r="B41" t="s">
        <v>107</v>
      </c>
      <c r="C41">
        <v>5.0160000000000003E-2</v>
      </c>
      <c r="D41">
        <v>2.82E-3</v>
      </c>
      <c r="E41" t="s">
        <v>439</v>
      </c>
      <c r="F41">
        <v>1.3820000000000001E-2</v>
      </c>
      <c r="G41">
        <v>3.0799999999999998E-3</v>
      </c>
      <c r="H41" t="s">
        <v>439</v>
      </c>
      <c r="I41">
        <v>0.14266000000000001</v>
      </c>
      <c r="J41">
        <v>1.41E-3</v>
      </c>
      <c r="K41" t="s">
        <v>442</v>
      </c>
      <c r="L41">
        <v>5.1799999999999999E-2</v>
      </c>
      <c r="M41">
        <v>1.6800000000000001E-3</v>
      </c>
      <c r="N41" t="s">
        <v>442</v>
      </c>
      <c r="O41">
        <v>4.7800000000000004E-3</v>
      </c>
      <c r="P41">
        <v>1.4999999999999999E-4</v>
      </c>
      <c r="Q41" t="s">
        <v>442</v>
      </c>
      <c r="R41">
        <v>0.10561</v>
      </c>
      <c r="S41">
        <v>7.3999999999999999E-4</v>
      </c>
      <c r="T41" t="s">
        <v>442</v>
      </c>
      <c r="U41">
        <v>6.7000000000000002E-4</v>
      </c>
      <c r="V41">
        <v>1.4999999999999999E-4</v>
      </c>
      <c r="W41" t="s">
        <v>439</v>
      </c>
      <c r="X41">
        <v>1.308E-2</v>
      </c>
      <c r="Y41">
        <v>4.0000000000000002E-4</v>
      </c>
      <c r="Z41" t="s">
        <v>439</v>
      </c>
      <c r="AA41">
        <v>0.10544000000000001</v>
      </c>
      <c r="AB41">
        <v>1.81E-3</v>
      </c>
      <c r="AC41" t="s">
        <v>442</v>
      </c>
      <c r="AD41">
        <v>1.095E-2</v>
      </c>
      <c r="AE41">
        <v>9.5E-4</v>
      </c>
      <c r="AF41" t="s">
        <v>442</v>
      </c>
      <c r="AI41" t="s">
        <v>440</v>
      </c>
      <c r="AJ41">
        <v>0.4672</v>
      </c>
      <c r="AK41">
        <v>1.145E-2</v>
      </c>
      <c r="AL41" t="s">
        <v>441</v>
      </c>
      <c r="AM41">
        <v>2.6646700000000001</v>
      </c>
      <c r="AN41">
        <v>3.9940000000000003E-2</v>
      </c>
      <c r="AO41" t="s">
        <v>442</v>
      </c>
      <c r="AP41">
        <v>-7.6E-3</v>
      </c>
      <c r="AQ41">
        <v>2.9E-4</v>
      </c>
      <c r="AR41" t="s">
        <v>439</v>
      </c>
      <c r="AS41">
        <v>0.30746000000000001</v>
      </c>
      <c r="AT41">
        <v>2.1299999999999999E-3</v>
      </c>
      <c r="AU41" t="s">
        <v>442</v>
      </c>
      <c r="AV41">
        <v>2.3000000000000001E-4</v>
      </c>
      <c r="AW41">
        <v>8.0000000000000007E-5</v>
      </c>
      <c r="AX41" t="s">
        <v>439</v>
      </c>
      <c r="AY41">
        <v>-1.4400000000000001E-3</v>
      </c>
      <c r="AZ41">
        <v>1E-4</v>
      </c>
      <c r="BA41" t="s">
        <v>439</v>
      </c>
      <c r="BB41">
        <v>5.4400000000000004E-3</v>
      </c>
      <c r="BC41">
        <v>2.7E-4</v>
      </c>
      <c r="BD41" t="s">
        <v>442</v>
      </c>
      <c r="BE41">
        <v>6.0000000000000002E-5</v>
      </c>
      <c r="BF41">
        <v>1.3999999999999999E-4</v>
      </c>
      <c r="BG41" t="s">
        <v>439</v>
      </c>
      <c r="BH41">
        <v>1.48E-3</v>
      </c>
      <c r="BI41">
        <v>9.0000000000000006E-5</v>
      </c>
      <c r="BJ41" t="s">
        <v>439</v>
      </c>
      <c r="BK41">
        <v>1.56E-3</v>
      </c>
      <c r="BL41">
        <v>1.0000000000000001E-5</v>
      </c>
      <c r="BM41" t="s">
        <v>439</v>
      </c>
      <c r="BN41">
        <v>-6.0000000000000002E-5</v>
      </c>
      <c r="BO41">
        <v>3.0000000000000001E-5</v>
      </c>
      <c r="BP41" t="s">
        <v>439</v>
      </c>
      <c r="BQ41">
        <v>3.78E-2</v>
      </c>
      <c r="BR41">
        <v>1.8699999999999999E-3</v>
      </c>
      <c r="BS41" t="s">
        <v>442</v>
      </c>
      <c r="BV41" t="s">
        <v>440</v>
      </c>
      <c r="BW41">
        <v>-2.0486499999999999</v>
      </c>
      <c r="BX41">
        <v>4.0000000000000002E-4</v>
      </c>
      <c r="BY41" t="s">
        <v>439</v>
      </c>
      <c r="BZ41">
        <v>4.8999999999999998E-3</v>
      </c>
      <c r="CA41">
        <v>4.0000000000000003E-5</v>
      </c>
      <c r="CB41" t="s">
        <v>442</v>
      </c>
      <c r="CC41">
        <v>0.55581999999999998</v>
      </c>
      <c r="CD41">
        <v>2.078E-2</v>
      </c>
      <c r="CE41" t="s">
        <v>442</v>
      </c>
      <c r="CF41">
        <v>0.55405000000000004</v>
      </c>
      <c r="CG41">
        <v>1.098E-2</v>
      </c>
      <c r="CH41" t="s">
        <v>442</v>
      </c>
      <c r="CI41">
        <v>0.55057999999999996</v>
      </c>
      <c r="CJ41">
        <v>1.6580000000000001E-2</v>
      </c>
      <c r="CK41" t="s">
        <v>442</v>
      </c>
      <c r="CL41">
        <v>0.34592000000000001</v>
      </c>
      <c r="CM41">
        <v>9.3500000000000007E-3</v>
      </c>
      <c r="CN41" t="s">
        <v>442</v>
      </c>
      <c r="CO41">
        <v>74.656260000000003</v>
      </c>
      <c r="CP41">
        <v>2.56691</v>
      </c>
      <c r="CQ41" t="s">
        <v>442</v>
      </c>
      <c r="CR41">
        <v>1.4342900000000001</v>
      </c>
      <c r="CS41">
        <v>8.8910000000000003E-2</v>
      </c>
      <c r="CT41" t="s">
        <v>442</v>
      </c>
      <c r="CU41">
        <v>6.4454200000000004</v>
      </c>
      <c r="CV41">
        <v>0.29611999999999999</v>
      </c>
      <c r="CW41" t="s">
        <v>442</v>
      </c>
      <c r="CX41">
        <v>7.5530999999999997</v>
      </c>
      <c r="CY41">
        <v>1.2902</v>
      </c>
      <c r="CZ41" t="s">
        <v>442</v>
      </c>
      <c r="DA41">
        <v>5.4235100000000003</v>
      </c>
      <c r="DB41">
        <v>0.26544000000000001</v>
      </c>
      <c r="DC41" t="s">
        <v>442</v>
      </c>
      <c r="DD41">
        <v>18.854970000000002</v>
      </c>
      <c r="DE41">
        <v>1.1171</v>
      </c>
      <c r="DF41" t="s">
        <v>442</v>
      </c>
      <c r="DG41">
        <v>17.591529999999999</v>
      </c>
      <c r="DH41">
        <v>0.86309000000000002</v>
      </c>
      <c r="DI41" t="s">
        <v>442</v>
      </c>
      <c r="DJ41">
        <v>5.1869999999999999E-2</v>
      </c>
      <c r="DK41">
        <v>4.3899999999999998E-3</v>
      </c>
      <c r="DL41" t="s">
        <v>442</v>
      </c>
      <c r="DM41">
        <v>1.2930000000000001E-2</v>
      </c>
      <c r="DN41">
        <v>7.6000000000000004E-4</v>
      </c>
      <c r="DO41" t="s">
        <v>442</v>
      </c>
      <c r="DP41">
        <v>2.9823200000000001</v>
      </c>
      <c r="DQ41">
        <v>0.14257</v>
      </c>
      <c r="DR41" t="s">
        <v>442</v>
      </c>
      <c r="DS41">
        <v>0.86641999999999997</v>
      </c>
      <c r="DT41">
        <v>2.3910000000000001E-2</v>
      </c>
      <c r="DU41" t="s">
        <v>442</v>
      </c>
      <c r="DV41">
        <v>7.3838100000000004</v>
      </c>
      <c r="DW41">
        <v>0.26257999999999998</v>
      </c>
      <c r="DX41" t="s">
        <v>442</v>
      </c>
      <c r="DY41">
        <v>1.7729999999999999E-2</v>
      </c>
      <c r="DZ41">
        <v>1.8E-3</v>
      </c>
      <c r="EA41" t="s">
        <v>439</v>
      </c>
      <c r="EB41">
        <v>1.0637700000000001</v>
      </c>
      <c r="EC41">
        <v>5.7520000000000002E-2</v>
      </c>
      <c r="ED41" t="s">
        <v>442</v>
      </c>
      <c r="EE41">
        <v>4.6865300000000003</v>
      </c>
      <c r="EF41">
        <v>0.18373</v>
      </c>
      <c r="EG41" t="s">
        <v>442</v>
      </c>
      <c r="EH41">
        <v>20.734539999999999</v>
      </c>
      <c r="EI41">
        <v>0.96433999999999997</v>
      </c>
      <c r="EJ41" t="s">
        <v>442</v>
      </c>
      <c r="EM41" t="s">
        <v>440</v>
      </c>
      <c r="EN41">
        <v>0.43124000000000001</v>
      </c>
      <c r="EO41">
        <v>0.02</v>
      </c>
      <c r="EP41" t="s">
        <v>442</v>
      </c>
      <c r="ES41" t="s">
        <v>440</v>
      </c>
      <c r="ET41">
        <v>53.627850000000002</v>
      </c>
      <c r="EU41">
        <v>1.0147299999999999</v>
      </c>
      <c r="EV41" t="s">
        <v>442</v>
      </c>
      <c r="EW41">
        <v>1.0300000000000001E-3</v>
      </c>
      <c r="EX41">
        <v>3.0500000000000002E-3</v>
      </c>
      <c r="EY41" t="s">
        <v>439</v>
      </c>
      <c r="EZ41">
        <v>0.48237999999999998</v>
      </c>
      <c r="FA41">
        <v>1.772E-2</v>
      </c>
      <c r="FB41" t="s">
        <v>442</v>
      </c>
      <c r="FC41">
        <v>0.24792</v>
      </c>
      <c r="FD41">
        <v>4.1829999999999999E-2</v>
      </c>
      <c r="FE41" t="s">
        <v>439</v>
      </c>
      <c r="FF41">
        <v>2.8221799999999999</v>
      </c>
      <c r="FG41">
        <v>0.23032</v>
      </c>
      <c r="FH41" t="s">
        <v>441</v>
      </c>
      <c r="FK41" t="s">
        <v>440</v>
      </c>
      <c r="FN41" t="s">
        <v>440</v>
      </c>
      <c r="FO41">
        <v>0.48113</v>
      </c>
      <c r="FP41">
        <v>5.3899999999999998E-3</v>
      </c>
      <c r="FQ41" t="s">
        <v>441</v>
      </c>
      <c r="FT41" t="s">
        <v>440</v>
      </c>
      <c r="FX41">
        <v>40</v>
      </c>
    </row>
    <row r="42" spans="2:180" x14ac:dyDescent="0.2">
      <c r="B42" t="s">
        <v>108</v>
      </c>
      <c r="C42">
        <v>0.21503</v>
      </c>
      <c r="D42">
        <v>2.0799999999999998E-3</v>
      </c>
      <c r="E42" t="s">
        <v>442</v>
      </c>
      <c r="F42">
        <v>1.498E-2</v>
      </c>
      <c r="G42">
        <v>4.4400000000000004E-3</v>
      </c>
      <c r="H42" t="s">
        <v>439</v>
      </c>
      <c r="I42">
        <v>2.2403200000000001</v>
      </c>
      <c r="J42">
        <v>3.0589999999999999E-2</v>
      </c>
      <c r="K42" t="s">
        <v>442</v>
      </c>
      <c r="L42">
        <v>0.31673000000000001</v>
      </c>
      <c r="M42">
        <v>2.2000000000000001E-3</v>
      </c>
      <c r="N42" t="s">
        <v>442</v>
      </c>
      <c r="O42">
        <v>1.481E-2</v>
      </c>
      <c r="P42">
        <v>2.0000000000000001E-4</v>
      </c>
      <c r="Q42" t="s">
        <v>442</v>
      </c>
      <c r="R42">
        <v>2.6619000000000002</v>
      </c>
      <c r="S42">
        <v>7.9600000000000001E-3</v>
      </c>
      <c r="T42" t="s">
        <v>442</v>
      </c>
      <c r="U42">
        <v>1.038E-2</v>
      </c>
      <c r="V42">
        <v>1.8000000000000001E-4</v>
      </c>
      <c r="W42" t="s">
        <v>442</v>
      </c>
      <c r="X42">
        <v>3.3770000000000001E-2</v>
      </c>
      <c r="Y42">
        <v>1.17E-3</v>
      </c>
      <c r="Z42" t="s">
        <v>442</v>
      </c>
      <c r="AA42">
        <v>7.8941999999999997</v>
      </c>
      <c r="AB42">
        <v>7.0000000000000007E-2</v>
      </c>
      <c r="AC42" t="s">
        <v>442</v>
      </c>
      <c r="AD42">
        <v>1.1780200000000001</v>
      </c>
      <c r="AE42">
        <v>8.8299999999999993E-3</v>
      </c>
      <c r="AF42" t="s">
        <v>442</v>
      </c>
      <c r="AI42" t="s">
        <v>440</v>
      </c>
      <c r="AJ42">
        <v>23.760249999999999</v>
      </c>
      <c r="AK42">
        <v>0.16063</v>
      </c>
      <c r="AL42" t="s">
        <v>441</v>
      </c>
      <c r="AM42">
        <v>102.06816000000001</v>
      </c>
      <c r="AN42">
        <v>0.67225999999999997</v>
      </c>
      <c r="AO42" t="s">
        <v>442</v>
      </c>
      <c r="AP42">
        <v>7.4889999999999998E-2</v>
      </c>
      <c r="AQ42">
        <v>7.3999999999999999E-4</v>
      </c>
      <c r="AR42" t="s">
        <v>442</v>
      </c>
      <c r="AS42">
        <v>12.375500000000001</v>
      </c>
      <c r="AT42">
        <v>0.13236000000000001</v>
      </c>
      <c r="AU42" t="s">
        <v>442</v>
      </c>
      <c r="AV42">
        <v>2.121E-2</v>
      </c>
      <c r="AW42">
        <v>3.1E-4</v>
      </c>
      <c r="AX42" t="s">
        <v>442</v>
      </c>
      <c r="AY42">
        <v>2.5950000000000001E-2</v>
      </c>
      <c r="AZ42">
        <v>4.8000000000000001E-4</v>
      </c>
      <c r="BA42" t="s">
        <v>442</v>
      </c>
      <c r="BB42">
        <v>1.772E-2</v>
      </c>
      <c r="BC42">
        <v>3.8000000000000002E-4</v>
      </c>
      <c r="BD42" t="s">
        <v>442</v>
      </c>
      <c r="BE42">
        <v>3.62E-3</v>
      </c>
      <c r="BF42">
        <v>3.8999999999999999E-4</v>
      </c>
      <c r="BG42" t="s">
        <v>442</v>
      </c>
      <c r="BH42">
        <v>4.4000000000000003E-3</v>
      </c>
      <c r="BI42">
        <v>3.6000000000000002E-4</v>
      </c>
      <c r="BJ42" t="s">
        <v>442</v>
      </c>
      <c r="BK42">
        <v>1.9300000000000001E-3</v>
      </c>
      <c r="BL42">
        <v>3.0000000000000001E-5</v>
      </c>
      <c r="BM42" t="s">
        <v>442</v>
      </c>
      <c r="BN42">
        <v>2.1700000000000001E-3</v>
      </c>
      <c r="BO42">
        <v>6.9999999999999994E-5</v>
      </c>
      <c r="BP42" t="s">
        <v>442</v>
      </c>
      <c r="BQ42">
        <v>0.36274000000000001</v>
      </c>
      <c r="BR42">
        <v>3.5999999999999999E-3</v>
      </c>
      <c r="BS42" t="s">
        <v>442</v>
      </c>
      <c r="BV42" t="s">
        <v>440</v>
      </c>
      <c r="BW42">
        <v>-2.0502099999999999</v>
      </c>
      <c r="BX42">
        <v>3.6000000000000002E-4</v>
      </c>
      <c r="BY42" t="s">
        <v>439</v>
      </c>
      <c r="BZ42">
        <v>4.5280000000000001E-2</v>
      </c>
      <c r="CA42">
        <v>2.9E-4</v>
      </c>
      <c r="CB42" t="s">
        <v>442</v>
      </c>
      <c r="CC42">
        <v>27.438420000000001</v>
      </c>
      <c r="CD42">
        <v>0.38419999999999999</v>
      </c>
      <c r="CE42" t="s">
        <v>442</v>
      </c>
      <c r="CF42">
        <v>26.09496</v>
      </c>
      <c r="CG42">
        <v>0.27049000000000001</v>
      </c>
      <c r="CH42" t="s">
        <v>442</v>
      </c>
      <c r="CI42">
        <v>26.918659999999999</v>
      </c>
      <c r="CJ42">
        <v>0.28908</v>
      </c>
      <c r="CK42" t="s">
        <v>442</v>
      </c>
      <c r="CL42">
        <v>19.466149999999999</v>
      </c>
      <c r="CM42">
        <v>0.63400000000000001</v>
      </c>
      <c r="CN42" t="s">
        <v>442</v>
      </c>
      <c r="CO42">
        <v>585.54215999999997</v>
      </c>
      <c r="CP42">
        <v>3.85277</v>
      </c>
      <c r="CQ42" t="s">
        <v>442</v>
      </c>
      <c r="CR42">
        <v>7.67828</v>
      </c>
      <c r="CS42">
        <v>8.8260000000000005E-2</v>
      </c>
      <c r="CT42" t="s">
        <v>442</v>
      </c>
      <c r="CU42">
        <v>55.211359999999999</v>
      </c>
      <c r="CV42">
        <v>0.38227</v>
      </c>
      <c r="CW42" t="s">
        <v>442</v>
      </c>
      <c r="CX42">
        <v>294.62130999999999</v>
      </c>
      <c r="CY42">
        <v>2.7928999999999999</v>
      </c>
      <c r="CZ42" t="s">
        <v>442</v>
      </c>
      <c r="DA42">
        <v>87.267269999999996</v>
      </c>
      <c r="DB42">
        <v>1.47295</v>
      </c>
      <c r="DC42" t="s">
        <v>442</v>
      </c>
      <c r="DD42">
        <v>84.616489999999999</v>
      </c>
      <c r="DE42">
        <v>1.5216799999999999</v>
      </c>
      <c r="DF42" t="s">
        <v>442</v>
      </c>
      <c r="DG42">
        <v>49.099400000000003</v>
      </c>
      <c r="DH42">
        <v>1.0830299999999999</v>
      </c>
      <c r="DI42" t="s">
        <v>442</v>
      </c>
      <c r="DJ42">
        <v>0.58399999999999996</v>
      </c>
      <c r="DK42">
        <v>3.245E-2</v>
      </c>
      <c r="DL42" t="s">
        <v>442</v>
      </c>
      <c r="DM42">
        <v>0.22425</v>
      </c>
      <c r="DN42">
        <v>6.6299999999999996E-3</v>
      </c>
      <c r="DO42" t="s">
        <v>442</v>
      </c>
      <c r="DP42">
        <v>98.23997</v>
      </c>
      <c r="DQ42">
        <v>1.79216</v>
      </c>
      <c r="DR42" t="s">
        <v>442</v>
      </c>
      <c r="DS42">
        <v>64.927430000000001</v>
      </c>
      <c r="DT42">
        <v>1.0692200000000001</v>
      </c>
      <c r="DU42" t="s">
        <v>442</v>
      </c>
      <c r="DV42">
        <v>356.22629000000001</v>
      </c>
      <c r="DW42">
        <v>4.1473699999999996</v>
      </c>
      <c r="DX42" t="s">
        <v>442</v>
      </c>
      <c r="DY42">
        <v>1.4307099999999999</v>
      </c>
      <c r="DZ42">
        <v>2.7060000000000001E-2</v>
      </c>
      <c r="EA42" t="s">
        <v>442</v>
      </c>
      <c r="EB42">
        <v>78.220669999999998</v>
      </c>
      <c r="EC42">
        <v>1.3402000000000001</v>
      </c>
      <c r="ED42" t="s">
        <v>442</v>
      </c>
      <c r="EE42">
        <v>197.46151</v>
      </c>
      <c r="EF42">
        <v>0.42580000000000001</v>
      </c>
      <c r="EG42" t="s">
        <v>442</v>
      </c>
      <c r="EH42">
        <v>2245.2672699999998</v>
      </c>
      <c r="EI42">
        <v>26.907710000000002</v>
      </c>
      <c r="EJ42" t="s">
        <v>442</v>
      </c>
      <c r="EM42" t="s">
        <v>440</v>
      </c>
      <c r="EN42">
        <v>28.19594</v>
      </c>
      <c r="EO42">
        <v>0.74611000000000005</v>
      </c>
      <c r="EP42" t="s">
        <v>442</v>
      </c>
      <c r="ES42" t="s">
        <v>440</v>
      </c>
      <c r="ET42">
        <v>720.48139000000003</v>
      </c>
      <c r="EU42">
        <v>15.981009999999999</v>
      </c>
      <c r="EV42" t="s">
        <v>442</v>
      </c>
      <c r="EW42">
        <v>5.1580000000000001E-2</v>
      </c>
      <c r="EX42">
        <v>1.042E-2</v>
      </c>
      <c r="EY42" t="s">
        <v>442</v>
      </c>
      <c r="EZ42">
        <v>17.786259999999999</v>
      </c>
      <c r="FA42">
        <v>0.75387000000000004</v>
      </c>
      <c r="FB42" t="s">
        <v>442</v>
      </c>
      <c r="FC42">
        <v>0.4572</v>
      </c>
      <c r="FD42">
        <v>4.4299999999999999E-2</v>
      </c>
      <c r="FE42" t="s">
        <v>439</v>
      </c>
      <c r="FF42">
        <v>1.6753199999999999</v>
      </c>
      <c r="FG42">
        <v>0.16814000000000001</v>
      </c>
      <c r="FH42" t="s">
        <v>441</v>
      </c>
      <c r="FK42" t="s">
        <v>440</v>
      </c>
      <c r="FN42" t="s">
        <v>440</v>
      </c>
      <c r="FO42">
        <v>27.039020000000001</v>
      </c>
      <c r="FP42">
        <v>0.97199000000000002</v>
      </c>
      <c r="FQ42" t="s">
        <v>441</v>
      </c>
      <c r="FT42" t="s">
        <v>440</v>
      </c>
      <c r="FX42">
        <v>41</v>
      </c>
    </row>
    <row r="43" spans="2:180" x14ac:dyDescent="0.2">
      <c r="B43" t="s">
        <v>109</v>
      </c>
      <c r="C43">
        <v>6.4560000000000006E-2</v>
      </c>
      <c r="D43">
        <v>3.98E-3</v>
      </c>
      <c r="E43" t="s">
        <v>442</v>
      </c>
      <c r="F43">
        <v>1.6E-2</v>
      </c>
      <c r="G43">
        <v>2.4199999999999998E-3</v>
      </c>
      <c r="H43" t="s">
        <v>439</v>
      </c>
      <c r="I43">
        <v>0.38673999999999997</v>
      </c>
      <c r="J43">
        <v>4.2199999999999998E-3</v>
      </c>
      <c r="K43" t="s">
        <v>442</v>
      </c>
      <c r="L43">
        <v>5.7630000000000001E-2</v>
      </c>
      <c r="M43">
        <v>1.23E-3</v>
      </c>
      <c r="N43" t="s">
        <v>442</v>
      </c>
      <c r="O43">
        <v>5.9899999999999997E-3</v>
      </c>
      <c r="P43">
        <v>1.2E-4</v>
      </c>
      <c r="Q43" t="s">
        <v>442</v>
      </c>
      <c r="R43">
        <v>0.12124</v>
      </c>
      <c r="S43">
        <v>7.9000000000000001E-4</v>
      </c>
      <c r="T43" t="s">
        <v>442</v>
      </c>
      <c r="U43">
        <v>6.6E-4</v>
      </c>
      <c r="V43">
        <v>6.0000000000000002E-5</v>
      </c>
      <c r="W43" t="s">
        <v>439</v>
      </c>
      <c r="X43">
        <v>1.2930000000000001E-2</v>
      </c>
      <c r="Y43">
        <v>5.2999999999999998E-4</v>
      </c>
      <c r="Z43" t="s">
        <v>439</v>
      </c>
      <c r="AA43">
        <v>0.13527</v>
      </c>
      <c r="AB43">
        <v>1.8600000000000001E-3</v>
      </c>
      <c r="AC43" t="s">
        <v>442</v>
      </c>
      <c r="AD43">
        <v>0.14066999999999999</v>
      </c>
      <c r="AE43">
        <v>3.8500000000000001E-3</v>
      </c>
      <c r="AF43" t="s">
        <v>442</v>
      </c>
      <c r="AI43" t="s">
        <v>440</v>
      </c>
      <c r="AJ43">
        <v>2.08717</v>
      </c>
      <c r="AK43">
        <v>4.9090000000000002E-2</v>
      </c>
      <c r="AL43" t="s">
        <v>441</v>
      </c>
      <c r="AM43">
        <v>2.85175</v>
      </c>
      <c r="AN43">
        <v>5.672E-2</v>
      </c>
      <c r="AO43" t="s">
        <v>442</v>
      </c>
      <c r="AP43">
        <v>2.15E-3</v>
      </c>
      <c r="AQ43">
        <v>5.1999999999999995E-4</v>
      </c>
      <c r="AR43" t="s">
        <v>439</v>
      </c>
      <c r="AS43">
        <v>0.41244999999999998</v>
      </c>
      <c r="AT43">
        <v>5.6899999999999997E-3</v>
      </c>
      <c r="AU43" t="s">
        <v>442</v>
      </c>
      <c r="AV43">
        <v>8.9999999999999998E-4</v>
      </c>
      <c r="AW43">
        <v>1.2999999999999999E-4</v>
      </c>
      <c r="AX43" t="s">
        <v>439</v>
      </c>
      <c r="AY43">
        <v>1.4499999999999999E-3</v>
      </c>
      <c r="AZ43">
        <v>1.1E-4</v>
      </c>
      <c r="BA43" t="s">
        <v>442</v>
      </c>
      <c r="BB43">
        <v>5.3699999999999998E-3</v>
      </c>
      <c r="BC43">
        <v>6.2E-4</v>
      </c>
      <c r="BD43" t="s">
        <v>442</v>
      </c>
      <c r="BE43">
        <v>4.8000000000000001E-4</v>
      </c>
      <c r="BF43">
        <v>1.1E-4</v>
      </c>
      <c r="BG43" t="s">
        <v>439</v>
      </c>
      <c r="BH43">
        <v>1.8699999999999999E-3</v>
      </c>
      <c r="BI43">
        <v>6.9999999999999994E-5</v>
      </c>
      <c r="BJ43" t="s">
        <v>442</v>
      </c>
      <c r="BK43">
        <v>1.6100000000000001E-3</v>
      </c>
      <c r="BL43">
        <v>2.0000000000000002E-5</v>
      </c>
      <c r="BM43" t="s">
        <v>439</v>
      </c>
      <c r="BN43">
        <v>1.7000000000000001E-4</v>
      </c>
      <c r="BO43">
        <v>1E-4</v>
      </c>
      <c r="BP43" t="s">
        <v>439</v>
      </c>
      <c r="BQ43">
        <v>1.0959999999999999E-2</v>
      </c>
      <c r="BR43">
        <v>8.0000000000000004E-4</v>
      </c>
      <c r="BS43" t="s">
        <v>442</v>
      </c>
      <c r="BV43" t="s">
        <v>440</v>
      </c>
      <c r="BW43">
        <v>-2.0478200000000002</v>
      </c>
      <c r="BX43">
        <v>5.8E-4</v>
      </c>
      <c r="BY43" t="s">
        <v>439</v>
      </c>
      <c r="BZ43">
        <v>1.5810000000000001E-2</v>
      </c>
      <c r="CA43">
        <v>3.1E-4</v>
      </c>
      <c r="CB43" t="s">
        <v>442</v>
      </c>
      <c r="CC43">
        <v>1.47522</v>
      </c>
      <c r="CD43">
        <v>1.345E-2</v>
      </c>
      <c r="CE43" t="s">
        <v>442</v>
      </c>
      <c r="CF43">
        <v>1.4781899999999999</v>
      </c>
      <c r="CG43">
        <v>2.1049999999999999E-2</v>
      </c>
      <c r="CH43" t="s">
        <v>442</v>
      </c>
      <c r="CI43">
        <v>1.5170699999999999</v>
      </c>
      <c r="CJ43">
        <v>1.2579999999999999E-2</v>
      </c>
      <c r="CK43" t="s">
        <v>442</v>
      </c>
      <c r="CL43">
        <v>0.37861</v>
      </c>
      <c r="CM43">
        <v>6.4799999999999996E-3</v>
      </c>
      <c r="CN43" t="s">
        <v>442</v>
      </c>
      <c r="CO43">
        <v>92.817939999999993</v>
      </c>
      <c r="CP43">
        <v>5.8358999999999996</v>
      </c>
      <c r="CQ43" t="s">
        <v>442</v>
      </c>
      <c r="CR43">
        <v>1.64866</v>
      </c>
      <c r="CS43">
        <v>8.6629999999999999E-2</v>
      </c>
      <c r="CT43" t="s">
        <v>442</v>
      </c>
      <c r="CU43">
        <v>15.6183</v>
      </c>
      <c r="CV43">
        <v>0.95506999999999997</v>
      </c>
      <c r="CW43" t="s">
        <v>442</v>
      </c>
      <c r="CX43">
        <v>20.03717</v>
      </c>
      <c r="CY43">
        <v>1.37706</v>
      </c>
      <c r="CZ43" t="s">
        <v>442</v>
      </c>
      <c r="DA43">
        <v>8.9544200000000007</v>
      </c>
      <c r="DB43">
        <v>0.74306000000000005</v>
      </c>
      <c r="DC43" t="s">
        <v>442</v>
      </c>
      <c r="DD43">
        <v>22.801860000000001</v>
      </c>
      <c r="DE43">
        <v>1.5626599999999999</v>
      </c>
      <c r="DF43" t="s">
        <v>442</v>
      </c>
      <c r="DG43">
        <v>9.90611</v>
      </c>
      <c r="DH43">
        <v>0.62904000000000004</v>
      </c>
      <c r="DI43" t="s">
        <v>442</v>
      </c>
      <c r="DJ43">
        <v>1.093E-2</v>
      </c>
      <c r="DK43">
        <v>2.2300000000000002E-3</v>
      </c>
      <c r="DL43" t="s">
        <v>439</v>
      </c>
      <c r="DM43">
        <v>9.2300000000000004E-3</v>
      </c>
      <c r="DN43">
        <v>1.8500000000000001E-3</v>
      </c>
      <c r="DO43" t="s">
        <v>442</v>
      </c>
      <c r="DP43">
        <v>4.8778899999999998</v>
      </c>
      <c r="DQ43">
        <v>0.18393000000000001</v>
      </c>
      <c r="DR43" t="s">
        <v>442</v>
      </c>
      <c r="DS43">
        <v>1.1400399999999999</v>
      </c>
      <c r="DT43">
        <v>5.0979999999999998E-2</v>
      </c>
      <c r="DU43" t="s">
        <v>442</v>
      </c>
      <c r="DV43">
        <v>9.57484</v>
      </c>
      <c r="DW43">
        <v>0.35626999999999998</v>
      </c>
      <c r="DX43" t="s">
        <v>442</v>
      </c>
      <c r="DY43">
        <v>4.6089999999999999E-2</v>
      </c>
      <c r="DZ43">
        <v>4.5799999999999999E-3</v>
      </c>
      <c r="EA43" t="s">
        <v>442</v>
      </c>
      <c r="EB43">
        <v>2.2028099999999999</v>
      </c>
      <c r="EC43">
        <v>8.3970000000000003E-2</v>
      </c>
      <c r="ED43" t="s">
        <v>442</v>
      </c>
      <c r="EE43">
        <v>4.1938000000000004</v>
      </c>
      <c r="EF43">
        <v>0.13741999999999999</v>
      </c>
      <c r="EG43" t="s">
        <v>442</v>
      </c>
      <c r="EH43">
        <v>264.82578000000001</v>
      </c>
      <c r="EI43">
        <v>6.8694300000000004</v>
      </c>
      <c r="EJ43" t="s">
        <v>442</v>
      </c>
      <c r="EM43" t="s">
        <v>440</v>
      </c>
      <c r="EN43">
        <v>2.2920699999999998</v>
      </c>
      <c r="EO43">
        <v>4.1640000000000003E-2</v>
      </c>
      <c r="EP43" t="s">
        <v>442</v>
      </c>
      <c r="ES43" t="s">
        <v>440</v>
      </c>
      <c r="ET43">
        <v>124.77161</v>
      </c>
      <c r="EU43">
        <v>2.6923599999999999</v>
      </c>
      <c r="EV43" t="s">
        <v>442</v>
      </c>
      <c r="EW43">
        <v>2.146E-2</v>
      </c>
      <c r="EX43">
        <v>3.4399999999999999E-3</v>
      </c>
      <c r="EY43" t="s">
        <v>442</v>
      </c>
      <c r="EZ43">
        <v>0.65515999999999996</v>
      </c>
      <c r="FA43">
        <v>4.444E-2</v>
      </c>
      <c r="FB43" t="s">
        <v>442</v>
      </c>
      <c r="FC43">
        <v>1.0585100000000001</v>
      </c>
      <c r="FD43">
        <v>0.25474999999999998</v>
      </c>
      <c r="FE43" t="s">
        <v>439</v>
      </c>
      <c r="FF43">
        <v>6.4086999999999996</v>
      </c>
      <c r="FG43">
        <v>0.71189000000000002</v>
      </c>
      <c r="FH43" t="s">
        <v>441</v>
      </c>
      <c r="FK43" t="s">
        <v>440</v>
      </c>
      <c r="FN43" t="s">
        <v>440</v>
      </c>
      <c r="FO43">
        <v>2.2252700000000001</v>
      </c>
      <c r="FP43">
        <v>4.3569999999999998E-2</v>
      </c>
      <c r="FQ43" t="s">
        <v>441</v>
      </c>
      <c r="FT43" t="s">
        <v>440</v>
      </c>
      <c r="FX43">
        <v>42</v>
      </c>
    </row>
    <row r="44" spans="2:180" x14ac:dyDescent="0.2">
      <c r="B44" t="s">
        <v>110</v>
      </c>
      <c r="C44">
        <v>0.23125999999999999</v>
      </c>
      <c r="D44">
        <v>7.0099999999999997E-3</v>
      </c>
      <c r="E44" t="s">
        <v>442</v>
      </c>
      <c r="F44">
        <v>1.3180000000000001E-2</v>
      </c>
      <c r="G44">
        <v>9.1E-4</v>
      </c>
      <c r="H44" t="s">
        <v>439</v>
      </c>
      <c r="I44">
        <v>3.6138499999999998</v>
      </c>
      <c r="J44">
        <v>7.8490000000000004E-2</v>
      </c>
      <c r="K44" t="s">
        <v>442</v>
      </c>
      <c r="L44">
        <v>0.11729000000000001</v>
      </c>
      <c r="M44">
        <v>2.6099999999999999E-3</v>
      </c>
      <c r="N44" t="s">
        <v>442</v>
      </c>
      <c r="O44">
        <v>5.6899999999999997E-3</v>
      </c>
      <c r="P44">
        <v>2.0000000000000001E-4</v>
      </c>
      <c r="Q44" t="s">
        <v>442</v>
      </c>
      <c r="R44">
        <v>0.43158000000000002</v>
      </c>
      <c r="S44">
        <v>5.6100000000000004E-3</v>
      </c>
      <c r="T44" t="s">
        <v>442</v>
      </c>
      <c r="U44">
        <v>1.41E-3</v>
      </c>
      <c r="V44">
        <v>1.2E-4</v>
      </c>
      <c r="W44" t="s">
        <v>439</v>
      </c>
      <c r="X44">
        <v>1.447E-2</v>
      </c>
      <c r="Y44">
        <v>4.8000000000000001E-4</v>
      </c>
      <c r="Z44" t="s">
        <v>439</v>
      </c>
      <c r="AA44">
        <v>0.48882999999999999</v>
      </c>
      <c r="AB44">
        <v>1.1440000000000001E-2</v>
      </c>
      <c r="AC44" t="s">
        <v>442</v>
      </c>
      <c r="AD44">
        <v>1.3166500000000001</v>
      </c>
      <c r="AE44">
        <v>3.6600000000000001E-2</v>
      </c>
      <c r="AF44" t="s">
        <v>442</v>
      </c>
      <c r="AI44" t="s">
        <v>440</v>
      </c>
      <c r="AJ44">
        <v>34.459220000000002</v>
      </c>
      <c r="AK44">
        <v>0.82682999999999995</v>
      </c>
      <c r="AL44" t="s">
        <v>441</v>
      </c>
      <c r="AM44">
        <v>141.18771000000001</v>
      </c>
      <c r="AN44">
        <v>3.5261499999999999</v>
      </c>
      <c r="AO44" t="s">
        <v>442</v>
      </c>
      <c r="AP44">
        <v>0.13214000000000001</v>
      </c>
      <c r="AQ44">
        <v>4.1099999999999999E-3</v>
      </c>
      <c r="AR44" t="s">
        <v>442</v>
      </c>
      <c r="AS44">
        <v>1.8560099999999999</v>
      </c>
      <c r="AT44">
        <v>5.0169999999999999E-2</v>
      </c>
      <c r="AU44" t="s">
        <v>442</v>
      </c>
      <c r="AV44">
        <v>1.106E-2</v>
      </c>
      <c r="AW44">
        <v>2.5999999999999998E-4</v>
      </c>
      <c r="AX44" t="s">
        <v>442</v>
      </c>
      <c r="AY44">
        <v>1.07E-3</v>
      </c>
      <c r="AZ44">
        <v>2.7999999999999998E-4</v>
      </c>
      <c r="BA44" t="s">
        <v>442</v>
      </c>
      <c r="BB44">
        <v>4.8399999999999997E-3</v>
      </c>
      <c r="BC44">
        <v>4.4000000000000002E-4</v>
      </c>
      <c r="BD44" t="s">
        <v>442</v>
      </c>
      <c r="BE44">
        <v>2.2000000000000001E-4</v>
      </c>
      <c r="BF44">
        <v>2.7999999999999998E-4</v>
      </c>
      <c r="BG44" t="s">
        <v>439</v>
      </c>
      <c r="BH44">
        <v>1.57E-3</v>
      </c>
      <c r="BI44">
        <v>5.0000000000000002E-5</v>
      </c>
      <c r="BJ44" t="s">
        <v>439</v>
      </c>
      <c r="BK44">
        <v>1.58E-3</v>
      </c>
      <c r="BL44">
        <v>3.0000000000000001E-5</v>
      </c>
      <c r="BM44" t="s">
        <v>439</v>
      </c>
      <c r="BN44">
        <v>-1.0000000000000001E-5</v>
      </c>
      <c r="BO44">
        <v>1.8000000000000001E-4</v>
      </c>
      <c r="BP44" t="s">
        <v>439</v>
      </c>
      <c r="BQ44">
        <v>4.3029999999999999E-2</v>
      </c>
      <c r="BR44">
        <v>3.1099999999999999E-3</v>
      </c>
      <c r="BS44" t="s">
        <v>442</v>
      </c>
      <c r="BV44" t="s">
        <v>440</v>
      </c>
      <c r="BW44">
        <v>-2.0491199999999998</v>
      </c>
      <c r="BX44">
        <v>2.9999999999999997E-4</v>
      </c>
      <c r="BY44" t="s">
        <v>439</v>
      </c>
      <c r="BZ44">
        <v>5.5489999999999998E-2</v>
      </c>
      <c r="CA44">
        <v>4.0999999999999999E-4</v>
      </c>
      <c r="CB44" t="s">
        <v>442</v>
      </c>
      <c r="CC44">
        <v>10.5809</v>
      </c>
      <c r="CD44">
        <v>0.22478000000000001</v>
      </c>
      <c r="CE44" t="s">
        <v>442</v>
      </c>
      <c r="CF44">
        <v>11.445679999999999</v>
      </c>
      <c r="CG44">
        <v>0.15526000000000001</v>
      </c>
      <c r="CH44" t="s">
        <v>442</v>
      </c>
      <c r="CI44">
        <v>10.664540000000001</v>
      </c>
      <c r="CJ44">
        <v>0.187</v>
      </c>
      <c r="CK44" t="s">
        <v>442</v>
      </c>
      <c r="CL44">
        <v>1.8511599999999999</v>
      </c>
      <c r="CM44">
        <v>2.9069999999999999E-2</v>
      </c>
      <c r="CN44" t="s">
        <v>442</v>
      </c>
      <c r="CO44">
        <v>566.13309000000004</v>
      </c>
      <c r="CP44">
        <v>13.36239</v>
      </c>
      <c r="CQ44" t="s">
        <v>442</v>
      </c>
      <c r="CR44">
        <v>2.26674</v>
      </c>
      <c r="CS44">
        <v>6.794E-2</v>
      </c>
      <c r="CT44" t="s">
        <v>442</v>
      </c>
      <c r="CU44">
        <v>12.87814</v>
      </c>
      <c r="CV44">
        <v>0.31579000000000002</v>
      </c>
      <c r="CW44" t="s">
        <v>442</v>
      </c>
      <c r="CX44">
        <v>277.53886999999997</v>
      </c>
      <c r="CY44">
        <v>9.0119699999999998</v>
      </c>
      <c r="CZ44" t="s">
        <v>442</v>
      </c>
      <c r="DA44">
        <v>99.442530000000005</v>
      </c>
      <c r="DB44">
        <v>3.0339100000000001</v>
      </c>
      <c r="DC44" t="s">
        <v>442</v>
      </c>
      <c r="DD44">
        <v>320.19650999999999</v>
      </c>
      <c r="DE44">
        <v>8.9703199999999992</v>
      </c>
      <c r="DF44" t="s">
        <v>442</v>
      </c>
      <c r="DG44">
        <v>19.382480000000001</v>
      </c>
      <c r="DH44">
        <v>1.0058400000000001</v>
      </c>
      <c r="DI44" t="s">
        <v>442</v>
      </c>
      <c r="DJ44">
        <v>9.8659999999999998E-2</v>
      </c>
      <c r="DK44">
        <v>7.4200000000000004E-3</v>
      </c>
      <c r="DL44" t="s">
        <v>442</v>
      </c>
      <c r="DM44">
        <v>2.9739999999999999E-2</v>
      </c>
      <c r="DN44">
        <v>2.0200000000000001E-3</v>
      </c>
      <c r="DO44" t="s">
        <v>442</v>
      </c>
      <c r="DP44">
        <v>10.95035</v>
      </c>
      <c r="DQ44">
        <v>0.20047999999999999</v>
      </c>
      <c r="DR44" t="s">
        <v>442</v>
      </c>
      <c r="DS44">
        <v>5.9374500000000001</v>
      </c>
      <c r="DT44">
        <v>0.10011</v>
      </c>
      <c r="DU44" t="s">
        <v>442</v>
      </c>
      <c r="DV44">
        <v>45.6736</v>
      </c>
      <c r="DW44">
        <v>1.02478</v>
      </c>
      <c r="DX44" t="s">
        <v>442</v>
      </c>
      <c r="DY44">
        <v>0.38644000000000001</v>
      </c>
      <c r="DZ44">
        <v>1.123E-2</v>
      </c>
      <c r="EA44" t="s">
        <v>442</v>
      </c>
      <c r="EB44">
        <v>7.8531599999999999</v>
      </c>
      <c r="EC44">
        <v>0.24534</v>
      </c>
      <c r="ED44" t="s">
        <v>442</v>
      </c>
      <c r="EE44">
        <v>16.83663</v>
      </c>
      <c r="EF44">
        <v>0.31978000000000001</v>
      </c>
      <c r="EG44" t="s">
        <v>442</v>
      </c>
      <c r="EH44">
        <v>2717.9350899999999</v>
      </c>
      <c r="EI44">
        <v>51.888820000000003</v>
      </c>
      <c r="EJ44" t="s">
        <v>442</v>
      </c>
      <c r="EM44" t="s">
        <v>440</v>
      </c>
      <c r="EN44">
        <v>40.613869999999999</v>
      </c>
      <c r="EO44">
        <v>1.82917</v>
      </c>
      <c r="EP44" t="s">
        <v>442</v>
      </c>
      <c r="ES44" t="s">
        <v>440</v>
      </c>
      <c r="ET44">
        <v>899.75013000000001</v>
      </c>
      <c r="EU44">
        <v>18.057369999999999</v>
      </c>
      <c r="EV44" t="s">
        <v>442</v>
      </c>
      <c r="EW44">
        <v>0.17901</v>
      </c>
      <c r="EX44">
        <v>1.504E-2</v>
      </c>
      <c r="EY44" t="s">
        <v>442</v>
      </c>
      <c r="EZ44">
        <v>75.670529999999999</v>
      </c>
      <c r="FA44">
        <v>1.45173</v>
      </c>
      <c r="FB44" t="s">
        <v>442</v>
      </c>
      <c r="FC44">
        <v>2.5320800000000001</v>
      </c>
      <c r="FD44">
        <v>5.491E-2</v>
      </c>
      <c r="FE44" t="s">
        <v>442</v>
      </c>
      <c r="FF44">
        <v>3.1926100000000002</v>
      </c>
      <c r="FG44">
        <v>0.28527999999999998</v>
      </c>
      <c r="FH44" t="s">
        <v>441</v>
      </c>
      <c r="FK44" t="s">
        <v>440</v>
      </c>
      <c r="FN44" t="s">
        <v>440</v>
      </c>
      <c r="FO44">
        <v>38.894680000000001</v>
      </c>
      <c r="FP44">
        <v>1.09334</v>
      </c>
      <c r="FQ44" t="s">
        <v>441</v>
      </c>
      <c r="FT44" t="s">
        <v>440</v>
      </c>
      <c r="FX44">
        <v>43</v>
      </c>
    </row>
    <row r="45" spans="2:180" x14ac:dyDescent="0.2">
      <c r="B45" t="s">
        <v>111</v>
      </c>
      <c r="C45">
        <v>7.0040000000000005E-2</v>
      </c>
      <c r="D45">
        <v>1.73E-3</v>
      </c>
      <c r="E45" t="s">
        <v>442</v>
      </c>
      <c r="F45">
        <v>1.2789999999999999E-2</v>
      </c>
      <c r="G45">
        <v>3.9300000000000003E-3</v>
      </c>
      <c r="H45" t="s">
        <v>439</v>
      </c>
      <c r="I45">
        <v>0.78417999999999999</v>
      </c>
      <c r="J45">
        <v>1.021E-2</v>
      </c>
      <c r="K45" t="s">
        <v>442</v>
      </c>
      <c r="L45">
        <v>5.6649999999999999E-2</v>
      </c>
      <c r="M45">
        <v>1.16E-3</v>
      </c>
      <c r="N45" t="s">
        <v>442</v>
      </c>
      <c r="O45">
        <v>4.3400000000000001E-3</v>
      </c>
      <c r="P45">
        <v>1.2999999999999999E-4</v>
      </c>
      <c r="Q45" t="s">
        <v>442</v>
      </c>
      <c r="R45">
        <v>0.10091</v>
      </c>
      <c r="S45">
        <v>1.1800000000000001E-3</v>
      </c>
      <c r="T45" t="s">
        <v>442</v>
      </c>
      <c r="U45">
        <v>5.8E-4</v>
      </c>
      <c r="V45">
        <v>1E-4</v>
      </c>
      <c r="W45" t="s">
        <v>439</v>
      </c>
      <c r="X45">
        <v>1.2239999999999999E-2</v>
      </c>
      <c r="Y45">
        <v>4.6999999999999999E-4</v>
      </c>
      <c r="Z45" t="s">
        <v>439</v>
      </c>
      <c r="AA45">
        <v>0.10705000000000001</v>
      </c>
      <c r="AB45">
        <v>1.9599999999999999E-3</v>
      </c>
      <c r="AC45" t="s">
        <v>442</v>
      </c>
      <c r="AD45">
        <v>0.24437999999999999</v>
      </c>
      <c r="AE45">
        <v>7.5399999999999998E-3</v>
      </c>
      <c r="AF45" t="s">
        <v>442</v>
      </c>
      <c r="AI45" t="s">
        <v>440</v>
      </c>
      <c r="AJ45">
        <v>4.5260499999999997</v>
      </c>
      <c r="AK45">
        <v>8.8349999999999998E-2</v>
      </c>
      <c r="AL45" t="s">
        <v>441</v>
      </c>
      <c r="AM45">
        <v>3.9738899999999999</v>
      </c>
      <c r="AN45">
        <v>4.4970000000000003E-2</v>
      </c>
      <c r="AO45" t="s">
        <v>442</v>
      </c>
      <c r="AP45">
        <v>1.83E-2</v>
      </c>
      <c r="AQ45">
        <v>4.6000000000000001E-4</v>
      </c>
      <c r="AR45" t="s">
        <v>442</v>
      </c>
      <c r="AS45">
        <v>0.38708999999999999</v>
      </c>
      <c r="AT45">
        <v>3.31E-3</v>
      </c>
      <c r="AU45" t="s">
        <v>442</v>
      </c>
      <c r="AV45">
        <v>-5.1999999999999995E-4</v>
      </c>
      <c r="AW45">
        <v>1.2E-4</v>
      </c>
      <c r="AX45" t="s">
        <v>439</v>
      </c>
      <c r="AY45">
        <v>-2.7499999999999998E-3</v>
      </c>
      <c r="AZ45">
        <v>1.3999999999999999E-4</v>
      </c>
      <c r="BA45" t="s">
        <v>439</v>
      </c>
      <c r="BB45">
        <v>3.0100000000000001E-3</v>
      </c>
      <c r="BC45">
        <v>1.7000000000000001E-4</v>
      </c>
      <c r="BD45" t="s">
        <v>442</v>
      </c>
      <c r="BE45">
        <v>1.0000000000000001E-5</v>
      </c>
      <c r="BF45">
        <v>2.3000000000000001E-4</v>
      </c>
      <c r="BG45" t="s">
        <v>439</v>
      </c>
      <c r="BH45">
        <v>7.3999999999999999E-4</v>
      </c>
      <c r="BI45">
        <v>1.6000000000000001E-4</v>
      </c>
      <c r="BJ45" t="s">
        <v>439</v>
      </c>
      <c r="BK45">
        <v>1.5200000000000001E-3</v>
      </c>
      <c r="BL45">
        <v>4.0000000000000003E-5</v>
      </c>
      <c r="BM45" t="s">
        <v>439</v>
      </c>
      <c r="BN45">
        <v>-3.5E-4</v>
      </c>
      <c r="BO45">
        <v>4.0000000000000003E-5</v>
      </c>
      <c r="BP45" t="s">
        <v>439</v>
      </c>
      <c r="BQ45">
        <v>9.6699999999999998E-3</v>
      </c>
      <c r="BR45">
        <v>3.2000000000000003E-4</v>
      </c>
      <c r="BS45" t="s">
        <v>442</v>
      </c>
      <c r="BV45" t="s">
        <v>440</v>
      </c>
      <c r="BW45">
        <v>-2.0487899999999999</v>
      </c>
      <c r="BX45">
        <v>4.2999999999999999E-4</v>
      </c>
      <c r="BY45" t="s">
        <v>439</v>
      </c>
      <c r="BZ45">
        <v>2.614E-2</v>
      </c>
      <c r="CA45">
        <v>2.5999999999999998E-4</v>
      </c>
      <c r="CB45" t="s">
        <v>442</v>
      </c>
      <c r="CC45">
        <v>2.0263200000000001</v>
      </c>
      <c r="CD45">
        <v>5.0560000000000001E-2</v>
      </c>
      <c r="CE45" t="s">
        <v>442</v>
      </c>
      <c r="CF45">
        <v>1.9794499999999999</v>
      </c>
      <c r="CG45">
        <v>2.3439999999999999E-2</v>
      </c>
      <c r="CH45" t="s">
        <v>442</v>
      </c>
      <c r="CI45">
        <v>2.0611899999999999</v>
      </c>
      <c r="CJ45">
        <v>1.9709999999999998E-2</v>
      </c>
      <c r="CK45" t="s">
        <v>442</v>
      </c>
      <c r="CL45">
        <v>0.70965999999999996</v>
      </c>
      <c r="CM45">
        <v>1.481E-2</v>
      </c>
      <c r="CN45" t="s">
        <v>442</v>
      </c>
      <c r="CO45">
        <v>83.480860000000007</v>
      </c>
      <c r="CP45">
        <v>2.1452599999999999</v>
      </c>
      <c r="CQ45" t="s">
        <v>442</v>
      </c>
      <c r="CR45">
        <v>1.1502600000000001</v>
      </c>
      <c r="CS45">
        <v>4.8329999999999998E-2</v>
      </c>
      <c r="CT45" t="s">
        <v>442</v>
      </c>
      <c r="CU45">
        <v>5.6297699999999997</v>
      </c>
      <c r="CV45">
        <v>0.26682</v>
      </c>
      <c r="CW45" t="s">
        <v>442</v>
      </c>
      <c r="CX45">
        <v>19.704440000000002</v>
      </c>
      <c r="CY45">
        <v>0.85658000000000001</v>
      </c>
      <c r="CZ45" t="s">
        <v>442</v>
      </c>
      <c r="DA45">
        <v>21.119039999999998</v>
      </c>
      <c r="DB45">
        <v>0.90383999999999998</v>
      </c>
      <c r="DC45" t="s">
        <v>442</v>
      </c>
      <c r="DD45">
        <v>100.7366</v>
      </c>
      <c r="DE45">
        <v>2.9375399999999998</v>
      </c>
      <c r="DF45" t="s">
        <v>442</v>
      </c>
      <c r="DG45">
        <v>10.99578</v>
      </c>
      <c r="DH45">
        <v>0.35782000000000003</v>
      </c>
      <c r="DI45" t="s">
        <v>442</v>
      </c>
      <c r="DJ45">
        <v>2.4330000000000001E-2</v>
      </c>
      <c r="DK45">
        <v>4.5900000000000003E-3</v>
      </c>
      <c r="DL45" t="s">
        <v>439</v>
      </c>
      <c r="DM45">
        <v>5.8999999999999999E-3</v>
      </c>
      <c r="DN45">
        <v>1.2199999999999999E-3</v>
      </c>
      <c r="DO45" t="s">
        <v>442</v>
      </c>
      <c r="DP45">
        <v>3.7424300000000001</v>
      </c>
      <c r="DQ45">
        <v>0.11944</v>
      </c>
      <c r="DR45" t="s">
        <v>442</v>
      </c>
      <c r="DS45">
        <v>0.77351999999999999</v>
      </c>
      <c r="DT45">
        <v>1.206E-2</v>
      </c>
      <c r="DU45" t="s">
        <v>442</v>
      </c>
      <c r="DV45">
        <v>5.5738799999999999</v>
      </c>
      <c r="DW45">
        <v>8.6550000000000002E-2</v>
      </c>
      <c r="DX45" t="s">
        <v>442</v>
      </c>
      <c r="DY45">
        <v>2.3879999999999998E-2</v>
      </c>
      <c r="DZ45">
        <v>1.2899999999999999E-3</v>
      </c>
      <c r="EA45" t="s">
        <v>439</v>
      </c>
      <c r="EB45">
        <v>0.93052999999999997</v>
      </c>
      <c r="EC45">
        <v>7.5500000000000003E-3</v>
      </c>
      <c r="ED45" t="s">
        <v>442</v>
      </c>
      <c r="EE45">
        <v>2.6027200000000001</v>
      </c>
      <c r="EF45">
        <v>2.819E-2</v>
      </c>
      <c r="EG45" t="s">
        <v>442</v>
      </c>
      <c r="EH45">
        <v>231.16585000000001</v>
      </c>
      <c r="EI45">
        <v>4.1176399999999997</v>
      </c>
      <c r="EJ45" t="s">
        <v>442</v>
      </c>
      <c r="EM45" t="s">
        <v>440</v>
      </c>
      <c r="EN45">
        <v>4.5280500000000004</v>
      </c>
      <c r="EO45">
        <v>0.16067000000000001</v>
      </c>
      <c r="EP45" t="s">
        <v>442</v>
      </c>
      <c r="ES45" t="s">
        <v>440</v>
      </c>
      <c r="ET45">
        <v>241.08482000000001</v>
      </c>
      <c r="EU45">
        <v>2.6238000000000001</v>
      </c>
      <c r="EV45" t="s">
        <v>442</v>
      </c>
      <c r="EW45">
        <v>2.6530000000000001E-2</v>
      </c>
      <c r="EX45">
        <v>8.0800000000000004E-3</v>
      </c>
      <c r="EY45" t="s">
        <v>442</v>
      </c>
      <c r="EZ45">
        <v>1.2153700000000001</v>
      </c>
      <c r="FA45">
        <v>5.2659999999999998E-2</v>
      </c>
      <c r="FB45" t="s">
        <v>442</v>
      </c>
      <c r="FC45">
        <v>0.34179999999999999</v>
      </c>
      <c r="FD45">
        <v>4.224E-2</v>
      </c>
      <c r="FE45" t="s">
        <v>439</v>
      </c>
      <c r="FF45">
        <v>1.20682</v>
      </c>
      <c r="FG45">
        <v>8.677E-2</v>
      </c>
      <c r="FH45" t="s">
        <v>441</v>
      </c>
      <c r="FK45" t="s">
        <v>440</v>
      </c>
      <c r="FN45" t="s">
        <v>440</v>
      </c>
      <c r="FO45">
        <v>4.7714100000000004</v>
      </c>
      <c r="FP45">
        <v>0.15123</v>
      </c>
      <c r="FQ45" t="s">
        <v>441</v>
      </c>
      <c r="FT45" t="s">
        <v>440</v>
      </c>
      <c r="FU45">
        <v>2</v>
      </c>
      <c r="FX45">
        <v>44</v>
      </c>
    </row>
    <row r="46" spans="2:180" x14ac:dyDescent="0.2">
      <c r="B46" t="s">
        <v>112</v>
      </c>
      <c r="C46">
        <v>1.1893800000000001</v>
      </c>
      <c r="D46">
        <v>6.1700000000000001E-3</v>
      </c>
      <c r="E46" t="s">
        <v>443</v>
      </c>
      <c r="F46">
        <v>1.21855</v>
      </c>
      <c r="G46">
        <v>4.45E-3</v>
      </c>
      <c r="H46" t="s">
        <v>443</v>
      </c>
      <c r="I46">
        <v>1.19519</v>
      </c>
      <c r="J46">
        <v>2.1739999999999999E-2</v>
      </c>
      <c r="K46" t="s">
        <v>443</v>
      </c>
      <c r="L46">
        <v>1.2432799999999999</v>
      </c>
      <c r="M46">
        <v>1.8839999999999999E-2</v>
      </c>
      <c r="N46" t="s">
        <v>443</v>
      </c>
      <c r="O46">
        <v>1.2080500000000001</v>
      </c>
      <c r="P46">
        <v>1.115E-2</v>
      </c>
      <c r="Q46" t="s">
        <v>443</v>
      </c>
      <c r="R46">
        <v>1.173</v>
      </c>
      <c r="S46">
        <v>2.1399999999999999E-2</v>
      </c>
      <c r="T46" t="s">
        <v>443</v>
      </c>
      <c r="U46">
        <v>1.2045399999999999</v>
      </c>
      <c r="V46">
        <v>1.389E-2</v>
      </c>
      <c r="W46" t="s">
        <v>443</v>
      </c>
      <c r="X46">
        <v>1.16275</v>
      </c>
      <c r="Y46">
        <v>1.636E-2</v>
      </c>
      <c r="Z46" t="s">
        <v>443</v>
      </c>
      <c r="AA46">
        <v>1.17544</v>
      </c>
      <c r="AB46">
        <v>2.1000000000000001E-2</v>
      </c>
      <c r="AC46" t="s">
        <v>443</v>
      </c>
      <c r="AD46">
        <v>1.1899900000000001</v>
      </c>
      <c r="AE46">
        <v>6.8599999999999998E-3</v>
      </c>
      <c r="AF46" t="s">
        <v>443</v>
      </c>
      <c r="AI46" t="s">
        <v>440</v>
      </c>
      <c r="AJ46">
        <v>1.1632199999999999</v>
      </c>
      <c r="AK46">
        <v>1.8259999999999998E-2</v>
      </c>
      <c r="AL46" t="s">
        <v>444</v>
      </c>
      <c r="AM46">
        <v>1.1702600000000001</v>
      </c>
      <c r="AN46">
        <v>9.4299999999999991E-3</v>
      </c>
      <c r="AO46" t="s">
        <v>443</v>
      </c>
      <c r="AP46">
        <v>1.2142900000000001</v>
      </c>
      <c r="AQ46">
        <v>2.1010000000000001E-2</v>
      </c>
      <c r="AR46" t="s">
        <v>443</v>
      </c>
      <c r="AS46">
        <v>4.15937</v>
      </c>
      <c r="AT46">
        <v>6.4070000000000002E-2</v>
      </c>
      <c r="AU46" t="s">
        <v>443</v>
      </c>
      <c r="AV46">
        <v>1.1970099999999999</v>
      </c>
      <c r="AW46">
        <v>1.8689999999999998E-2</v>
      </c>
      <c r="AX46" t="s">
        <v>443</v>
      </c>
      <c r="AY46">
        <v>1.20078</v>
      </c>
      <c r="AZ46">
        <v>3.9829999999999997E-2</v>
      </c>
      <c r="BA46" t="s">
        <v>443</v>
      </c>
      <c r="BB46">
        <v>1.2118899999999999</v>
      </c>
      <c r="BC46">
        <v>2.647E-2</v>
      </c>
      <c r="BD46" t="s">
        <v>443</v>
      </c>
      <c r="BE46">
        <v>1.2153</v>
      </c>
      <c r="BF46">
        <v>0.02</v>
      </c>
      <c r="BG46" t="s">
        <v>443</v>
      </c>
      <c r="BH46">
        <v>1.19645</v>
      </c>
      <c r="BI46">
        <v>2.6009999999999998E-2</v>
      </c>
      <c r="BJ46" t="s">
        <v>443</v>
      </c>
      <c r="BK46">
        <v>1.2567699999999999</v>
      </c>
      <c r="BL46">
        <v>1.3559999999999999E-2</v>
      </c>
      <c r="BM46" t="s">
        <v>443</v>
      </c>
      <c r="BN46">
        <v>1.2235199999999999</v>
      </c>
      <c r="BO46">
        <v>1.9550000000000001E-2</v>
      </c>
      <c r="BP46" t="s">
        <v>443</v>
      </c>
      <c r="BQ46">
        <v>1.2285299999999999</v>
      </c>
      <c r="BR46">
        <v>1.6490000000000001E-2</v>
      </c>
      <c r="BS46" t="s">
        <v>443</v>
      </c>
      <c r="BV46" t="s">
        <v>440</v>
      </c>
      <c r="BW46">
        <v>-1.14435</v>
      </c>
      <c r="BX46">
        <v>1.6389999999999998E-2</v>
      </c>
      <c r="BY46" t="s">
        <v>445</v>
      </c>
      <c r="BZ46">
        <v>1.2031499999999999</v>
      </c>
      <c r="CA46">
        <v>6.3499999999999997E-3</v>
      </c>
      <c r="CB46" t="s">
        <v>443</v>
      </c>
      <c r="CC46">
        <v>1.15404</v>
      </c>
      <c r="CD46">
        <v>1.3050000000000001E-2</v>
      </c>
      <c r="CE46" t="s">
        <v>443</v>
      </c>
      <c r="CF46">
        <v>1.16926</v>
      </c>
      <c r="CG46">
        <v>1.6070000000000001E-2</v>
      </c>
      <c r="CH46" t="s">
        <v>443</v>
      </c>
      <c r="CI46">
        <v>1.177</v>
      </c>
      <c r="CJ46">
        <v>9.9299999999999996E-3</v>
      </c>
      <c r="CK46" t="s">
        <v>443</v>
      </c>
      <c r="CL46">
        <v>1.2735700000000001</v>
      </c>
      <c r="CM46">
        <v>2.044E-2</v>
      </c>
      <c r="CN46" t="s">
        <v>443</v>
      </c>
      <c r="CO46">
        <v>7.5827600000000004</v>
      </c>
      <c r="CP46">
        <v>0.37334000000000001</v>
      </c>
      <c r="CQ46" t="s">
        <v>443</v>
      </c>
      <c r="CR46">
        <v>8.4063199999999991</v>
      </c>
      <c r="CS46">
        <v>0.497</v>
      </c>
      <c r="CT46" t="s">
        <v>443</v>
      </c>
      <c r="CU46">
        <v>4.05877</v>
      </c>
      <c r="CV46">
        <v>0.30307000000000001</v>
      </c>
      <c r="CW46" t="s">
        <v>443</v>
      </c>
      <c r="CX46">
        <v>10.712289999999999</v>
      </c>
      <c r="CY46">
        <v>0.94020000000000004</v>
      </c>
      <c r="CZ46" t="s">
        <v>443</v>
      </c>
      <c r="DA46">
        <v>1.3065599999999999</v>
      </c>
      <c r="DB46">
        <v>0.11387</v>
      </c>
      <c r="DC46" t="s">
        <v>443</v>
      </c>
      <c r="DD46">
        <v>23.72682</v>
      </c>
      <c r="DE46">
        <v>1.2198500000000001</v>
      </c>
      <c r="DF46" t="s">
        <v>443</v>
      </c>
      <c r="DG46">
        <v>9.0955399999999997</v>
      </c>
      <c r="DH46">
        <v>0.33771000000000001</v>
      </c>
      <c r="DI46" t="s">
        <v>443</v>
      </c>
      <c r="DJ46">
        <v>1.1867000000000001</v>
      </c>
      <c r="DK46">
        <v>4.0219999999999999E-2</v>
      </c>
      <c r="DL46" t="s">
        <v>443</v>
      </c>
      <c r="DM46">
        <v>1.20211</v>
      </c>
      <c r="DN46">
        <v>1.925E-2</v>
      </c>
      <c r="DO46" t="s">
        <v>443</v>
      </c>
      <c r="DP46">
        <v>1.2069000000000001</v>
      </c>
      <c r="DQ46">
        <v>2.6679999999999999E-2</v>
      </c>
      <c r="DR46" t="s">
        <v>443</v>
      </c>
      <c r="DS46">
        <v>1.1769700000000001</v>
      </c>
      <c r="DT46">
        <v>9.4900000000000002E-3</v>
      </c>
      <c r="DU46" t="s">
        <v>443</v>
      </c>
      <c r="DV46">
        <v>3.81995</v>
      </c>
      <c r="DW46">
        <v>7.1879999999999999E-2</v>
      </c>
      <c r="DX46" t="s">
        <v>443</v>
      </c>
      <c r="DY46">
        <v>1.17319</v>
      </c>
      <c r="DZ46">
        <v>2.155E-2</v>
      </c>
      <c r="EA46" t="s">
        <v>443</v>
      </c>
      <c r="EB46">
        <v>1.101</v>
      </c>
      <c r="EC46">
        <v>2.5669999999999998E-2</v>
      </c>
      <c r="ED46" t="s">
        <v>443</v>
      </c>
      <c r="EE46">
        <v>1.1880200000000001</v>
      </c>
      <c r="EF46">
        <v>1.9259999999999999E-2</v>
      </c>
      <c r="EG46" t="s">
        <v>443</v>
      </c>
      <c r="EH46">
        <v>4.84049</v>
      </c>
      <c r="EI46">
        <v>0.36847999999999997</v>
      </c>
      <c r="EJ46" t="s">
        <v>443</v>
      </c>
      <c r="EM46" t="s">
        <v>440</v>
      </c>
      <c r="EN46">
        <v>1.20089</v>
      </c>
      <c r="EO46">
        <v>6.6549999999999998E-2</v>
      </c>
      <c r="EP46" t="s">
        <v>443</v>
      </c>
      <c r="ES46" t="s">
        <v>440</v>
      </c>
      <c r="ET46">
        <v>11.707470000000001</v>
      </c>
      <c r="EU46">
        <v>0.17177000000000001</v>
      </c>
      <c r="EV46" t="s">
        <v>443</v>
      </c>
      <c r="EW46">
        <v>1.4775799999999999</v>
      </c>
      <c r="EX46">
        <v>5.382E-2</v>
      </c>
      <c r="EY46" t="s">
        <v>443</v>
      </c>
      <c r="EZ46">
        <v>1.38182</v>
      </c>
      <c r="FA46">
        <v>2.0809999999999999E-2</v>
      </c>
      <c r="FB46" t="s">
        <v>443</v>
      </c>
      <c r="FC46">
        <v>1.67578</v>
      </c>
      <c r="FD46">
        <v>0.21306</v>
      </c>
      <c r="FE46" t="s">
        <v>445</v>
      </c>
      <c r="FF46">
        <v>4.97234</v>
      </c>
      <c r="FG46">
        <v>3.9829999999999997E-2</v>
      </c>
      <c r="FH46" t="s">
        <v>444</v>
      </c>
      <c r="FK46" t="s">
        <v>440</v>
      </c>
      <c r="FN46" t="s">
        <v>440</v>
      </c>
      <c r="FO46">
        <v>1.2865</v>
      </c>
      <c r="FP46">
        <v>3.218E-2</v>
      </c>
      <c r="FQ46" t="s">
        <v>444</v>
      </c>
      <c r="FT46" t="s">
        <v>440</v>
      </c>
      <c r="FU46">
        <v>1</v>
      </c>
      <c r="FX46">
        <v>45</v>
      </c>
    </row>
    <row r="47" spans="2:180" x14ac:dyDescent="0.2">
      <c r="B47" t="s">
        <v>113</v>
      </c>
      <c r="C47">
        <v>4.9430000000000002E-2</v>
      </c>
      <c r="D47">
        <v>4.0699999999999998E-3</v>
      </c>
      <c r="E47" t="s">
        <v>439</v>
      </c>
      <c r="F47">
        <v>1.487E-2</v>
      </c>
      <c r="G47">
        <v>2.5000000000000001E-3</v>
      </c>
      <c r="H47" t="s">
        <v>439</v>
      </c>
      <c r="I47">
        <v>9.1199999999999996E-3</v>
      </c>
      <c r="J47">
        <v>2.9999999999999997E-4</v>
      </c>
      <c r="K47" t="s">
        <v>439</v>
      </c>
      <c r="L47">
        <v>1.081E-2</v>
      </c>
      <c r="M47">
        <v>1.4E-3</v>
      </c>
      <c r="N47" t="s">
        <v>439</v>
      </c>
      <c r="O47">
        <v>3.0899999999999999E-3</v>
      </c>
      <c r="P47">
        <v>5.0000000000000002E-5</v>
      </c>
      <c r="Q47" t="s">
        <v>439</v>
      </c>
      <c r="R47">
        <v>2.4819999999999998E-2</v>
      </c>
      <c r="S47">
        <v>4.4999999999999999E-4</v>
      </c>
      <c r="T47" t="s">
        <v>439</v>
      </c>
      <c r="U47">
        <v>7.7999999999999999E-4</v>
      </c>
      <c r="V47">
        <v>1.1E-4</v>
      </c>
      <c r="W47" t="s">
        <v>439</v>
      </c>
      <c r="X47">
        <v>1.248E-2</v>
      </c>
      <c r="Y47">
        <v>9.1E-4</v>
      </c>
      <c r="Z47" t="s">
        <v>439</v>
      </c>
      <c r="AA47">
        <v>6.7799999999999996E-3</v>
      </c>
      <c r="AB47">
        <v>6.0000000000000002E-5</v>
      </c>
      <c r="AC47" t="s">
        <v>439</v>
      </c>
      <c r="AD47">
        <v>8.1999999999999998E-4</v>
      </c>
      <c r="AE47">
        <v>2.5999999999999998E-4</v>
      </c>
      <c r="AF47" t="s">
        <v>439</v>
      </c>
      <c r="AI47" t="s">
        <v>440</v>
      </c>
      <c r="AJ47">
        <v>4.7210000000000002E-2</v>
      </c>
      <c r="AK47">
        <v>3.6999999999999999E-4</v>
      </c>
      <c r="AL47" t="s">
        <v>441</v>
      </c>
      <c r="AM47">
        <v>4.8520000000000001E-2</v>
      </c>
      <c r="AN47">
        <v>7.5000000000000002E-4</v>
      </c>
      <c r="AO47" t="s">
        <v>439</v>
      </c>
      <c r="AP47">
        <v>-1.4149999999999999E-2</v>
      </c>
      <c r="AQ47">
        <v>8.0000000000000007E-5</v>
      </c>
      <c r="AR47" t="s">
        <v>439</v>
      </c>
      <c r="AS47">
        <v>5.1119999999999999E-2</v>
      </c>
      <c r="AT47">
        <v>1.4599999999999999E-3</v>
      </c>
      <c r="AU47" t="s">
        <v>439</v>
      </c>
      <c r="AV47">
        <v>-1.92E-3</v>
      </c>
      <c r="AW47">
        <v>1.0000000000000001E-5</v>
      </c>
      <c r="AX47" t="s">
        <v>439</v>
      </c>
      <c r="AY47">
        <v>-5.5300000000000002E-3</v>
      </c>
      <c r="AZ47">
        <v>4.0000000000000003E-5</v>
      </c>
      <c r="BA47" t="s">
        <v>439</v>
      </c>
      <c r="BB47">
        <v>1.83E-3</v>
      </c>
      <c r="BC47">
        <v>1E-4</v>
      </c>
      <c r="BD47" t="s">
        <v>439</v>
      </c>
      <c r="BE47">
        <v>-2.7E-4</v>
      </c>
      <c r="BF47">
        <v>1.0000000000000001E-5</v>
      </c>
      <c r="BG47" t="s">
        <v>439</v>
      </c>
      <c r="BH47">
        <v>4.6000000000000001E-4</v>
      </c>
      <c r="BI47">
        <v>1.2E-4</v>
      </c>
      <c r="BJ47" t="s">
        <v>439</v>
      </c>
      <c r="BK47">
        <v>1.58E-3</v>
      </c>
      <c r="BL47">
        <v>3.0000000000000001E-5</v>
      </c>
      <c r="BM47" t="s">
        <v>439</v>
      </c>
      <c r="BN47">
        <v>-4.2000000000000002E-4</v>
      </c>
      <c r="BO47">
        <v>5.0000000000000002E-5</v>
      </c>
      <c r="BP47" t="s">
        <v>439</v>
      </c>
      <c r="BQ47">
        <v>-3.47E-3</v>
      </c>
      <c r="BR47">
        <v>3.6999999999999999E-4</v>
      </c>
      <c r="BS47" t="s">
        <v>439</v>
      </c>
      <c r="BV47" t="s">
        <v>440</v>
      </c>
      <c r="BW47">
        <v>-2.0464000000000002</v>
      </c>
      <c r="BX47">
        <v>7.3999999999999999E-4</v>
      </c>
      <c r="BY47" t="s">
        <v>439</v>
      </c>
      <c r="BZ47">
        <v>2.9499999999999999E-3</v>
      </c>
      <c r="CA47">
        <v>5.0000000000000002E-5</v>
      </c>
      <c r="CB47" t="s">
        <v>439</v>
      </c>
      <c r="CC47">
        <v>-3.7530000000000001E-2</v>
      </c>
      <c r="CD47">
        <v>1.3999999999999999E-4</v>
      </c>
      <c r="CE47" t="s">
        <v>439</v>
      </c>
      <c r="CF47">
        <v>-1.4330000000000001E-2</v>
      </c>
      <c r="CG47">
        <v>1.7000000000000001E-4</v>
      </c>
      <c r="CH47" t="s">
        <v>439</v>
      </c>
      <c r="CI47">
        <v>-4.6199999999999998E-2</v>
      </c>
      <c r="CJ47">
        <v>6.0000000000000002E-5</v>
      </c>
      <c r="CK47" t="s">
        <v>439</v>
      </c>
      <c r="CL47">
        <v>-8.9700000000000005E-3</v>
      </c>
      <c r="CM47">
        <v>1.8000000000000001E-4</v>
      </c>
      <c r="CN47" t="s">
        <v>439</v>
      </c>
      <c r="CO47">
        <v>-0.67766000000000004</v>
      </c>
      <c r="CP47">
        <v>1.0070000000000001E-2</v>
      </c>
      <c r="CQ47" t="s">
        <v>439</v>
      </c>
      <c r="CR47">
        <v>-4.786E-2</v>
      </c>
      <c r="CS47">
        <v>1.745E-2</v>
      </c>
      <c r="CT47" t="s">
        <v>439</v>
      </c>
      <c r="CU47">
        <v>-0.12978000000000001</v>
      </c>
      <c r="CV47">
        <v>4.8599999999999997E-3</v>
      </c>
      <c r="CW47" t="s">
        <v>439</v>
      </c>
      <c r="CX47">
        <v>1.3351999999999999</v>
      </c>
      <c r="CY47">
        <v>0.30631999999999998</v>
      </c>
      <c r="CZ47" t="s">
        <v>442</v>
      </c>
      <c r="DA47">
        <v>-3.9100000000000003E-2</v>
      </c>
      <c r="DB47">
        <v>3.4099999999999998E-2</v>
      </c>
      <c r="DC47" t="s">
        <v>439</v>
      </c>
      <c r="DD47">
        <v>-0.61084000000000005</v>
      </c>
      <c r="DE47">
        <v>1.103E-2</v>
      </c>
      <c r="DF47" t="s">
        <v>439</v>
      </c>
      <c r="DG47">
        <v>0.88204000000000005</v>
      </c>
      <c r="DH47">
        <v>1.54E-2</v>
      </c>
      <c r="DI47" t="s">
        <v>439</v>
      </c>
      <c r="DJ47">
        <v>-1.025E-2</v>
      </c>
      <c r="DK47">
        <v>2.1199999999999999E-3</v>
      </c>
      <c r="DL47" t="s">
        <v>439</v>
      </c>
      <c r="DM47">
        <v>1.2099999999999999E-3</v>
      </c>
      <c r="DN47">
        <v>6.0999999999999997E-4</v>
      </c>
      <c r="DO47" t="s">
        <v>439</v>
      </c>
      <c r="DP47">
        <v>-2.9499999999999999E-3</v>
      </c>
      <c r="DQ47">
        <v>1.6000000000000001E-3</v>
      </c>
      <c r="DR47" t="s">
        <v>439</v>
      </c>
      <c r="DS47">
        <v>-2.6259999999999999E-2</v>
      </c>
      <c r="DT47">
        <v>9.0000000000000006E-5</v>
      </c>
      <c r="DU47" t="s">
        <v>439</v>
      </c>
      <c r="DV47">
        <v>-0.29005999999999998</v>
      </c>
      <c r="DW47">
        <v>6.6E-4</v>
      </c>
      <c r="DX47" t="s">
        <v>439</v>
      </c>
      <c r="DY47">
        <v>-6.1599999999999997E-3</v>
      </c>
      <c r="DZ47">
        <v>2.1000000000000001E-4</v>
      </c>
      <c r="EA47" t="s">
        <v>439</v>
      </c>
      <c r="EB47">
        <v>2.069E-2</v>
      </c>
      <c r="EC47">
        <v>2.3400000000000001E-3</v>
      </c>
      <c r="ED47" t="s">
        <v>439</v>
      </c>
      <c r="EE47">
        <v>-1.754E-2</v>
      </c>
      <c r="EF47">
        <v>6.9999999999999994E-5</v>
      </c>
      <c r="EG47" t="s">
        <v>439</v>
      </c>
      <c r="EH47">
        <v>-2.0379999999999999E-2</v>
      </c>
      <c r="EI47">
        <v>1.102E-2</v>
      </c>
      <c r="EJ47" t="s">
        <v>439</v>
      </c>
      <c r="EM47" t="s">
        <v>440</v>
      </c>
      <c r="EN47">
        <v>-2.0330000000000001E-2</v>
      </c>
      <c r="EO47">
        <v>1.09E-3</v>
      </c>
      <c r="EP47" t="s">
        <v>439</v>
      </c>
      <c r="ES47" t="s">
        <v>440</v>
      </c>
      <c r="ET47">
        <v>1.2065999999999999</v>
      </c>
      <c r="EU47">
        <v>1.7860000000000001E-2</v>
      </c>
      <c r="EV47" t="s">
        <v>439</v>
      </c>
      <c r="EW47">
        <v>-8.1999999999999998E-4</v>
      </c>
      <c r="EX47">
        <v>4.2999999999999999E-4</v>
      </c>
      <c r="EY47" t="s">
        <v>439</v>
      </c>
      <c r="EZ47">
        <v>4.9699999999999996E-3</v>
      </c>
      <c r="FA47">
        <v>1.072E-2</v>
      </c>
      <c r="FB47" t="s">
        <v>439</v>
      </c>
      <c r="FC47">
        <v>0.48476999999999998</v>
      </c>
      <c r="FD47">
        <v>2.632E-2</v>
      </c>
      <c r="FE47" t="s">
        <v>439</v>
      </c>
      <c r="FF47">
        <v>3.60758</v>
      </c>
      <c r="FG47">
        <v>0.32735999999999998</v>
      </c>
      <c r="FH47" t="s">
        <v>441</v>
      </c>
      <c r="FK47" t="s">
        <v>440</v>
      </c>
      <c r="FN47" t="s">
        <v>440</v>
      </c>
      <c r="FO47">
        <v>-2.65E-3</v>
      </c>
      <c r="FP47">
        <v>3.2000000000000003E-4</v>
      </c>
      <c r="FQ47" t="s">
        <v>441</v>
      </c>
      <c r="FT47" t="s">
        <v>440</v>
      </c>
      <c r="FX47">
        <v>46</v>
      </c>
    </row>
    <row r="48" spans="2:180" x14ac:dyDescent="0.2">
      <c r="B48" t="s">
        <v>114</v>
      </c>
      <c r="C48">
        <v>5.4140000000000001E-2</v>
      </c>
      <c r="D48">
        <v>4.7400000000000003E-3</v>
      </c>
      <c r="E48" t="s">
        <v>439</v>
      </c>
      <c r="F48">
        <v>1.379E-2</v>
      </c>
      <c r="G48">
        <v>8.8999999999999995E-4</v>
      </c>
      <c r="H48" t="s">
        <v>439</v>
      </c>
      <c r="I48">
        <v>9.7460000000000005E-2</v>
      </c>
      <c r="J48">
        <v>4.8000000000000001E-4</v>
      </c>
      <c r="K48" t="s">
        <v>442</v>
      </c>
      <c r="L48">
        <v>5.0619999999999998E-2</v>
      </c>
      <c r="M48">
        <v>8.4000000000000003E-4</v>
      </c>
      <c r="N48" t="s">
        <v>442</v>
      </c>
      <c r="O48">
        <v>4.9899999999999996E-3</v>
      </c>
      <c r="P48">
        <v>1.2E-4</v>
      </c>
      <c r="Q48" t="s">
        <v>442</v>
      </c>
      <c r="R48">
        <v>0.11064</v>
      </c>
      <c r="S48">
        <v>4.3899999999999998E-3</v>
      </c>
      <c r="T48" t="s">
        <v>442</v>
      </c>
      <c r="U48">
        <v>8.0999999999999996E-4</v>
      </c>
      <c r="V48">
        <v>4.0000000000000003E-5</v>
      </c>
      <c r="W48" t="s">
        <v>439</v>
      </c>
      <c r="X48">
        <v>1.2880000000000001E-2</v>
      </c>
      <c r="Y48">
        <v>3.6999999999999999E-4</v>
      </c>
      <c r="Z48" t="s">
        <v>439</v>
      </c>
      <c r="AA48">
        <v>0.14235</v>
      </c>
      <c r="AB48">
        <v>8.0999999999999996E-4</v>
      </c>
      <c r="AC48" t="s">
        <v>442</v>
      </c>
      <c r="AD48">
        <v>3.2300000000000002E-2</v>
      </c>
      <c r="AE48">
        <v>1.0499999999999999E-3</v>
      </c>
      <c r="AF48" t="s">
        <v>442</v>
      </c>
      <c r="AI48" t="s">
        <v>440</v>
      </c>
      <c r="AJ48">
        <v>1.8314299999999999</v>
      </c>
      <c r="AK48">
        <v>1.7930000000000001E-2</v>
      </c>
      <c r="AL48" t="s">
        <v>441</v>
      </c>
      <c r="AM48">
        <v>0.89268000000000003</v>
      </c>
      <c r="AN48">
        <v>2.002E-2</v>
      </c>
      <c r="AO48" t="s">
        <v>442</v>
      </c>
      <c r="AP48">
        <v>-7.9799999999999992E-3</v>
      </c>
      <c r="AQ48">
        <v>2.4000000000000001E-4</v>
      </c>
      <c r="AR48" t="s">
        <v>439</v>
      </c>
      <c r="AS48">
        <v>0.35696</v>
      </c>
      <c r="AT48">
        <v>4.6800000000000001E-3</v>
      </c>
      <c r="AU48" t="s">
        <v>442</v>
      </c>
      <c r="AV48">
        <v>4.4999999999999999E-4</v>
      </c>
      <c r="AW48">
        <v>8.0000000000000007E-5</v>
      </c>
      <c r="AX48" t="s">
        <v>439</v>
      </c>
      <c r="AY48">
        <v>-2.9999999999999997E-4</v>
      </c>
      <c r="AZ48">
        <v>1.0000000000000001E-5</v>
      </c>
      <c r="BA48" t="s">
        <v>439</v>
      </c>
      <c r="BB48">
        <v>4.3800000000000002E-3</v>
      </c>
      <c r="BC48">
        <v>1.1E-4</v>
      </c>
      <c r="BD48" t="s">
        <v>442</v>
      </c>
      <c r="BE48">
        <v>2.0000000000000001E-4</v>
      </c>
      <c r="BF48">
        <v>2.0000000000000001E-4</v>
      </c>
      <c r="BG48" t="s">
        <v>439</v>
      </c>
      <c r="BH48">
        <v>1.42E-3</v>
      </c>
      <c r="BI48">
        <v>4.0000000000000003E-5</v>
      </c>
      <c r="BJ48" t="s">
        <v>439</v>
      </c>
      <c r="BK48">
        <v>1.6000000000000001E-3</v>
      </c>
      <c r="BL48">
        <v>2.0000000000000002E-5</v>
      </c>
      <c r="BM48" t="s">
        <v>439</v>
      </c>
      <c r="BN48">
        <v>-6.9999999999999994E-5</v>
      </c>
      <c r="BO48">
        <v>2.1000000000000001E-4</v>
      </c>
      <c r="BP48" t="s">
        <v>439</v>
      </c>
      <c r="BQ48">
        <v>3.5200000000000001E-3</v>
      </c>
      <c r="BR48">
        <v>3.5E-4</v>
      </c>
      <c r="BS48" t="s">
        <v>442</v>
      </c>
      <c r="BV48" t="s">
        <v>440</v>
      </c>
      <c r="BW48">
        <v>-2.0478800000000001</v>
      </c>
      <c r="BX48">
        <v>4.8000000000000001E-4</v>
      </c>
      <c r="BY48" t="s">
        <v>439</v>
      </c>
      <c r="BZ48">
        <v>8.9599999999999992E-3</v>
      </c>
      <c r="CA48">
        <v>6.0000000000000002E-5</v>
      </c>
      <c r="CB48" t="s">
        <v>442</v>
      </c>
      <c r="CC48">
        <v>0.70743999999999996</v>
      </c>
      <c r="CD48">
        <v>1.256E-2</v>
      </c>
      <c r="CE48" t="s">
        <v>442</v>
      </c>
      <c r="CF48">
        <v>0.70079000000000002</v>
      </c>
      <c r="CG48">
        <v>9.9799999999999993E-3</v>
      </c>
      <c r="CH48" t="s">
        <v>442</v>
      </c>
      <c r="CI48">
        <v>0.70128999999999997</v>
      </c>
      <c r="CJ48">
        <v>5.2199999999999998E-3</v>
      </c>
      <c r="CK48" t="s">
        <v>442</v>
      </c>
      <c r="CL48">
        <v>0.25239</v>
      </c>
      <c r="CM48">
        <v>2.8500000000000001E-3</v>
      </c>
      <c r="CN48" t="s">
        <v>442</v>
      </c>
      <c r="CO48">
        <v>34.207239999999999</v>
      </c>
      <c r="CP48">
        <v>1.57531</v>
      </c>
      <c r="CQ48" t="s">
        <v>442</v>
      </c>
      <c r="CR48">
        <v>1.33365</v>
      </c>
      <c r="CS48">
        <v>6.3030000000000003E-2</v>
      </c>
      <c r="CT48" t="s">
        <v>442</v>
      </c>
      <c r="CU48">
        <v>12.86566</v>
      </c>
      <c r="CV48">
        <v>0.70555999999999996</v>
      </c>
      <c r="CW48" t="s">
        <v>442</v>
      </c>
      <c r="CX48">
        <v>13.61403</v>
      </c>
      <c r="CY48">
        <v>0.84238999999999997</v>
      </c>
      <c r="CZ48" t="s">
        <v>442</v>
      </c>
      <c r="DA48">
        <v>4.9080500000000002</v>
      </c>
      <c r="DB48">
        <v>0.32727000000000001</v>
      </c>
      <c r="DC48" t="s">
        <v>442</v>
      </c>
      <c r="DD48">
        <v>22.397849999999998</v>
      </c>
      <c r="DE48">
        <v>1.31233</v>
      </c>
      <c r="DF48" t="s">
        <v>442</v>
      </c>
      <c r="DG48">
        <v>9.7943300000000004</v>
      </c>
      <c r="DH48">
        <v>0.81672</v>
      </c>
      <c r="DI48" t="s">
        <v>442</v>
      </c>
      <c r="DJ48">
        <v>5.0220000000000001E-2</v>
      </c>
      <c r="DK48">
        <v>9.5499999999999995E-3</v>
      </c>
      <c r="DL48" t="s">
        <v>442</v>
      </c>
      <c r="DM48">
        <v>1.027E-2</v>
      </c>
      <c r="DN48">
        <v>1.2700000000000001E-3</v>
      </c>
      <c r="DO48" t="s">
        <v>442</v>
      </c>
      <c r="DP48">
        <v>4.5239399999999996</v>
      </c>
      <c r="DQ48">
        <v>0.27117000000000002</v>
      </c>
      <c r="DR48" t="s">
        <v>442</v>
      </c>
      <c r="DS48">
        <v>1.2295700000000001</v>
      </c>
      <c r="DT48">
        <v>5.4260000000000003E-2</v>
      </c>
      <c r="DU48" t="s">
        <v>442</v>
      </c>
      <c r="DV48">
        <v>10.67742</v>
      </c>
      <c r="DW48">
        <v>0.67181999999999997</v>
      </c>
      <c r="DX48" t="s">
        <v>442</v>
      </c>
      <c r="DY48">
        <v>2.6880000000000001E-2</v>
      </c>
      <c r="DZ48">
        <v>1.2199999999999999E-3</v>
      </c>
      <c r="EA48" t="s">
        <v>442</v>
      </c>
      <c r="EB48">
        <v>1.7275</v>
      </c>
      <c r="EC48">
        <v>7.3859999999999995E-2</v>
      </c>
      <c r="ED48" t="s">
        <v>442</v>
      </c>
      <c r="EE48">
        <v>3.7448000000000001</v>
      </c>
      <c r="EF48">
        <v>0.20330000000000001</v>
      </c>
      <c r="EG48" t="s">
        <v>442</v>
      </c>
      <c r="EH48">
        <v>15.063140000000001</v>
      </c>
      <c r="EI48">
        <v>0.85965000000000003</v>
      </c>
      <c r="EJ48" t="s">
        <v>442</v>
      </c>
      <c r="EM48" t="s">
        <v>440</v>
      </c>
      <c r="EN48">
        <v>1.9112199999999999</v>
      </c>
      <c r="EO48">
        <v>0.10101</v>
      </c>
      <c r="EP48" t="s">
        <v>442</v>
      </c>
      <c r="ES48" t="s">
        <v>440</v>
      </c>
      <c r="ET48">
        <v>31.004259999999999</v>
      </c>
      <c r="EU48">
        <v>1.1145400000000001</v>
      </c>
      <c r="EV48" t="s">
        <v>442</v>
      </c>
      <c r="EW48">
        <v>-4.0000000000000003E-5</v>
      </c>
      <c r="EX48">
        <v>5.2999999999999998E-4</v>
      </c>
      <c r="EY48" t="s">
        <v>439</v>
      </c>
      <c r="EZ48">
        <v>1.54983</v>
      </c>
      <c r="FA48">
        <v>7.0999999999999994E-2</v>
      </c>
      <c r="FB48" t="s">
        <v>442</v>
      </c>
      <c r="FC48">
        <v>0.41936000000000001</v>
      </c>
      <c r="FD48">
        <v>9.6449999999999994E-2</v>
      </c>
      <c r="FE48" t="s">
        <v>439</v>
      </c>
      <c r="FF48">
        <v>1.96824</v>
      </c>
      <c r="FG48">
        <v>8.1930000000000003E-2</v>
      </c>
      <c r="FH48" t="s">
        <v>441</v>
      </c>
      <c r="FK48" t="s">
        <v>440</v>
      </c>
      <c r="FN48" t="s">
        <v>440</v>
      </c>
      <c r="FO48">
        <v>1.9419299999999999</v>
      </c>
      <c r="FP48">
        <v>0.16445000000000001</v>
      </c>
      <c r="FQ48" t="s">
        <v>441</v>
      </c>
      <c r="FT48" t="s">
        <v>440</v>
      </c>
      <c r="FX48">
        <v>47</v>
      </c>
    </row>
    <row r="49" spans="2:180" x14ac:dyDescent="0.2">
      <c r="B49" t="s">
        <v>115</v>
      </c>
      <c r="C49">
        <v>5.1090000000000003E-2</v>
      </c>
      <c r="D49">
        <v>4.8799999999999998E-3</v>
      </c>
      <c r="E49" t="s">
        <v>439</v>
      </c>
      <c r="F49">
        <v>1.234E-2</v>
      </c>
      <c r="G49">
        <v>3.5699999999999998E-3</v>
      </c>
      <c r="H49" t="s">
        <v>439</v>
      </c>
      <c r="I49">
        <v>2.479E-2</v>
      </c>
      <c r="J49">
        <v>7.6999999999999996E-4</v>
      </c>
      <c r="K49" t="s">
        <v>439</v>
      </c>
      <c r="L49">
        <v>4.2099999999999999E-2</v>
      </c>
      <c r="M49">
        <v>2.15E-3</v>
      </c>
      <c r="N49" t="s">
        <v>442</v>
      </c>
      <c r="O49">
        <v>5.11E-3</v>
      </c>
      <c r="P49">
        <v>1.2E-4</v>
      </c>
      <c r="Q49" t="s">
        <v>442</v>
      </c>
      <c r="R49">
        <v>0.10111000000000001</v>
      </c>
      <c r="S49">
        <v>2.8999999999999998E-3</v>
      </c>
      <c r="T49" t="s">
        <v>442</v>
      </c>
      <c r="U49">
        <v>6.4999999999999997E-4</v>
      </c>
      <c r="V49">
        <v>6.9999999999999994E-5</v>
      </c>
      <c r="W49" t="s">
        <v>439</v>
      </c>
      <c r="X49">
        <v>1.248E-2</v>
      </c>
      <c r="Y49">
        <v>3.6999999999999999E-4</v>
      </c>
      <c r="Z49" t="s">
        <v>439</v>
      </c>
      <c r="AA49">
        <v>5.4800000000000001E-2</v>
      </c>
      <c r="AB49">
        <v>1.47E-3</v>
      </c>
      <c r="AC49" t="s">
        <v>442</v>
      </c>
      <c r="AD49">
        <v>6.11E-3</v>
      </c>
      <c r="AE49">
        <v>4.8000000000000001E-4</v>
      </c>
      <c r="AF49" t="s">
        <v>442</v>
      </c>
      <c r="AI49" t="s">
        <v>440</v>
      </c>
      <c r="AJ49">
        <v>0.12123</v>
      </c>
      <c r="AK49">
        <v>2.0500000000000002E-3</v>
      </c>
      <c r="AL49" t="s">
        <v>441</v>
      </c>
      <c r="AM49">
        <v>0.45368999999999998</v>
      </c>
      <c r="AN49">
        <v>9.41E-3</v>
      </c>
      <c r="AO49" t="s">
        <v>442</v>
      </c>
      <c r="AP49">
        <v>-1.291E-2</v>
      </c>
      <c r="AQ49">
        <v>2.4000000000000001E-4</v>
      </c>
      <c r="AR49" t="s">
        <v>439</v>
      </c>
      <c r="AS49">
        <v>0.54105999999999999</v>
      </c>
      <c r="AT49">
        <v>7.1000000000000004E-3</v>
      </c>
      <c r="AU49" t="s">
        <v>442</v>
      </c>
      <c r="AV49">
        <v>1.545E-2</v>
      </c>
      <c r="AW49">
        <v>2.9999999999999997E-4</v>
      </c>
      <c r="AX49" t="s">
        <v>442</v>
      </c>
      <c r="AY49">
        <v>2.3480000000000001E-2</v>
      </c>
      <c r="AZ49">
        <v>8.8999999999999995E-4</v>
      </c>
      <c r="BA49" t="s">
        <v>442</v>
      </c>
      <c r="BB49">
        <v>1.1769999999999999E-2</v>
      </c>
      <c r="BC49">
        <v>9.5E-4</v>
      </c>
      <c r="BD49" t="s">
        <v>442</v>
      </c>
      <c r="BE49">
        <v>6.0000000000000002E-5</v>
      </c>
      <c r="BF49">
        <v>2.0000000000000001E-4</v>
      </c>
      <c r="BG49" t="s">
        <v>439</v>
      </c>
      <c r="BH49">
        <v>2.2899999999999999E-3</v>
      </c>
      <c r="BI49">
        <v>2.4000000000000001E-4</v>
      </c>
      <c r="BJ49" t="s">
        <v>442</v>
      </c>
      <c r="BK49">
        <v>1.5900000000000001E-3</v>
      </c>
      <c r="BL49">
        <v>3.0000000000000001E-5</v>
      </c>
      <c r="BM49" t="s">
        <v>439</v>
      </c>
      <c r="BN49">
        <v>-1.2999999999999999E-4</v>
      </c>
      <c r="BO49">
        <v>1.2E-4</v>
      </c>
      <c r="BP49" t="s">
        <v>439</v>
      </c>
      <c r="BQ49">
        <v>2.8300000000000001E-3</v>
      </c>
      <c r="BR49">
        <v>2.0000000000000001E-4</v>
      </c>
      <c r="BS49" t="s">
        <v>442</v>
      </c>
      <c r="BV49" t="s">
        <v>440</v>
      </c>
      <c r="BW49">
        <v>-2.0484100000000001</v>
      </c>
      <c r="BX49">
        <v>4.0999999999999999E-4</v>
      </c>
      <c r="BY49" t="s">
        <v>439</v>
      </c>
      <c r="BZ49">
        <v>3.0999999999999999E-3</v>
      </c>
      <c r="CA49">
        <v>5.0000000000000002E-5</v>
      </c>
      <c r="CB49" t="s">
        <v>439</v>
      </c>
      <c r="CC49">
        <v>0.30908000000000002</v>
      </c>
      <c r="CD49">
        <v>4.9500000000000004E-3</v>
      </c>
      <c r="CE49" t="s">
        <v>442</v>
      </c>
      <c r="CF49">
        <v>0.313</v>
      </c>
      <c r="CG49">
        <v>6.0000000000000001E-3</v>
      </c>
      <c r="CH49" t="s">
        <v>442</v>
      </c>
      <c r="CI49">
        <v>0.29602000000000001</v>
      </c>
      <c r="CJ49">
        <v>7.7799999999999996E-3</v>
      </c>
      <c r="CK49" t="s">
        <v>442</v>
      </c>
      <c r="CL49">
        <v>0.26424999999999998</v>
      </c>
      <c r="CM49">
        <v>8.2799999999999992E-3</v>
      </c>
      <c r="CN49" t="s">
        <v>442</v>
      </c>
      <c r="CO49">
        <v>16.215039999999998</v>
      </c>
      <c r="CP49">
        <v>0.26469999999999999</v>
      </c>
      <c r="CQ49" t="s">
        <v>442</v>
      </c>
      <c r="CR49">
        <v>1.36113</v>
      </c>
      <c r="CS49">
        <v>2.4070000000000001E-2</v>
      </c>
      <c r="CT49" t="s">
        <v>442</v>
      </c>
      <c r="CU49">
        <v>7.8155000000000001</v>
      </c>
      <c r="CV49">
        <v>0.12670000000000001</v>
      </c>
      <c r="CW49" t="s">
        <v>442</v>
      </c>
      <c r="CX49">
        <v>6.5330500000000002</v>
      </c>
      <c r="CY49">
        <v>0.66488000000000003</v>
      </c>
      <c r="CZ49" t="s">
        <v>442</v>
      </c>
      <c r="DA49">
        <v>4.2333800000000004</v>
      </c>
      <c r="DB49">
        <v>0.14596000000000001</v>
      </c>
      <c r="DC49" t="s">
        <v>442</v>
      </c>
      <c r="DD49">
        <v>3.70105</v>
      </c>
      <c r="DE49">
        <v>4.7730000000000002E-2</v>
      </c>
      <c r="DF49" t="s">
        <v>442</v>
      </c>
      <c r="DG49">
        <v>8.9792100000000001</v>
      </c>
      <c r="DH49">
        <v>0.42237000000000002</v>
      </c>
      <c r="DI49" t="s">
        <v>442</v>
      </c>
      <c r="DJ49">
        <v>2.648E-2</v>
      </c>
      <c r="DK49">
        <v>9.6900000000000007E-3</v>
      </c>
      <c r="DL49" t="s">
        <v>442</v>
      </c>
      <c r="DM49">
        <v>9.8200000000000006E-3</v>
      </c>
      <c r="DN49">
        <v>5.2999999999999998E-4</v>
      </c>
      <c r="DO49" t="s">
        <v>442</v>
      </c>
      <c r="DP49">
        <v>4.9970600000000003</v>
      </c>
      <c r="DQ49">
        <v>0.23857999999999999</v>
      </c>
      <c r="DR49" t="s">
        <v>442</v>
      </c>
      <c r="DS49">
        <v>0.76554999999999995</v>
      </c>
      <c r="DT49">
        <v>2.5590000000000002E-2</v>
      </c>
      <c r="DU49" t="s">
        <v>442</v>
      </c>
      <c r="DV49">
        <v>9.1711200000000002</v>
      </c>
      <c r="DW49">
        <v>0.40919</v>
      </c>
      <c r="DX49" t="s">
        <v>442</v>
      </c>
      <c r="DY49">
        <v>2.043E-2</v>
      </c>
      <c r="DZ49">
        <v>9.8999999999999999E-4</v>
      </c>
      <c r="EA49" t="s">
        <v>439</v>
      </c>
      <c r="EB49">
        <v>1.43181</v>
      </c>
      <c r="EC49">
        <v>4.011E-2</v>
      </c>
      <c r="ED49" t="s">
        <v>442</v>
      </c>
      <c r="EE49">
        <v>2.7382599999999999</v>
      </c>
      <c r="EF49">
        <v>2.8809999999999999E-2</v>
      </c>
      <c r="EG49" t="s">
        <v>442</v>
      </c>
      <c r="EH49">
        <v>5.8926400000000001</v>
      </c>
      <c r="EI49">
        <v>9.4119999999999995E-2</v>
      </c>
      <c r="EJ49" t="s">
        <v>442</v>
      </c>
      <c r="EM49" t="s">
        <v>440</v>
      </c>
      <c r="EN49">
        <v>6.4710000000000004E-2</v>
      </c>
      <c r="EO49">
        <v>4.0899999999999999E-3</v>
      </c>
      <c r="EP49" t="s">
        <v>442</v>
      </c>
      <c r="ES49" t="s">
        <v>440</v>
      </c>
      <c r="ET49">
        <v>6.9092500000000001</v>
      </c>
      <c r="EU49">
        <v>0.12077</v>
      </c>
      <c r="EV49" t="s">
        <v>442</v>
      </c>
      <c r="EW49">
        <v>-1.2999999999999999E-4</v>
      </c>
      <c r="EX49">
        <v>1.64E-3</v>
      </c>
      <c r="EY49" t="s">
        <v>439</v>
      </c>
      <c r="EZ49">
        <v>0.10329000000000001</v>
      </c>
      <c r="FA49">
        <v>1.457E-2</v>
      </c>
      <c r="FB49" t="s">
        <v>442</v>
      </c>
      <c r="FC49">
        <v>0.23541999999999999</v>
      </c>
      <c r="FD49">
        <v>0.11811000000000001</v>
      </c>
      <c r="FE49" t="s">
        <v>439</v>
      </c>
      <c r="FF49">
        <v>2.10148</v>
      </c>
      <c r="FG49">
        <v>0.1346</v>
      </c>
      <c r="FH49" t="s">
        <v>441</v>
      </c>
      <c r="FK49" t="s">
        <v>440</v>
      </c>
      <c r="FN49" t="s">
        <v>440</v>
      </c>
      <c r="FO49">
        <v>7.9869999999999997E-2</v>
      </c>
      <c r="FP49">
        <v>1.153E-2</v>
      </c>
      <c r="FQ49" t="s">
        <v>441</v>
      </c>
      <c r="FT49" t="s">
        <v>440</v>
      </c>
      <c r="FX49">
        <v>48</v>
      </c>
    </row>
    <row r="50" spans="2:180" x14ac:dyDescent="0.2">
      <c r="B50" t="s">
        <v>116</v>
      </c>
      <c r="C50">
        <v>5.5489999999999998E-2</v>
      </c>
      <c r="D50">
        <v>1.8E-3</v>
      </c>
      <c r="E50" t="s">
        <v>439</v>
      </c>
      <c r="F50">
        <v>1.384E-2</v>
      </c>
      <c r="G50">
        <v>2.31E-3</v>
      </c>
      <c r="H50" t="s">
        <v>439</v>
      </c>
      <c r="I50">
        <v>0.16125</v>
      </c>
      <c r="J50">
        <v>1.41E-3</v>
      </c>
      <c r="K50" t="s">
        <v>442</v>
      </c>
      <c r="L50">
        <v>1.0969199999999999</v>
      </c>
      <c r="M50">
        <v>6.6100000000000004E-3</v>
      </c>
      <c r="N50" t="s">
        <v>442</v>
      </c>
      <c r="O50">
        <v>4.5599999999999998E-3</v>
      </c>
      <c r="P50">
        <v>3.0000000000000001E-5</v>
      </c>
      <c r="Q50" t="s">
        <v>442</v>
      </c>
      <c r="R50">
        <v>0.10047</v>
      </c>
      <c r="S50">
        <v>2.9399999999999999E-3</v>
      </c>
      <c r="T50" t="s">
        <v>442</v>
      </c>
      <c r="U50">
        <v>6.0999999999999997E-4</v>
      </c>
      <c r="V50">
        <v>1.1E-4</v>
      </c>
      <c r="W50" t="s">
        <v>439</v>
      </c>
      <c r="X50">
        <v>1.272E-2</v>
      </c>
      <c r="Y50">
        <v>4.4000000000000002E-4</v>
      </c>
      <c r="Z50" t="s">
        <v>439</v>
      </c>
      <c r="AA50">
        <v>1.468E-2</v>
      </c>
      <c r="AB50">
        <v>3.6000000000000002E-4</v>
      </c>
      <c r="AC50" t="s">
        <v>442</v>
      </c>
      <c r="AD50">
        <v>5.7369999999999997E-2</v>
      </c>
      <c r="AE50">
        <v>1.81E-3</v>
      </c>
      <c r="AF50" t="s">
        <v>442</v>
      </c>
      <c r="AI50" t="s">
        <v>440</v>
      </c>
      <c r="AJ50">
        <v>5.1284200000000002</v>
      </c>
      <c r="AK50">
        <v>5.2179999999999997E-2</v>
      </c>
      <c r="AL50" t="s">
        <v>441</v>
      </c>
      <c r="AM50">
        <v>13.77074</v>
      </c>
      <c r="AN50">
        <v>1.549E-2</v>
      </c>
      <c r="AO50" t="s">
        <v>442</v>
      </c>
      <c r="AP50">
        <v>-6.5700000000000003E-3</v>
      </c>
      <c r="AQ50">
        <v>2.5999999999999998E-4</v>
      </c>
      <c r="AR50" t="s">
        <v>439</v>
      </c>
      <c r="AS50">
        <v>0.36166999999999999</v>
      </c>
      <c r="AT50">
        <v>1.81E-3</v>
      </c>
      <c r="AU50" t="s">
        <v>442</v>
      </c>
      <c r="AV50">
        <v>5.1299999999999998E-2</v>
      </c>
      <c r="AW50">
        <v>8.8999999999999995E-4</v>
      </c>
      <c r="AX50" t="s">
        <v>442</v>
      </c>
      <c r="AY50">
        <v>0.10995000000000001</v>
      </c>
      <c r="AZ50">
        <v>1.23E-3</v>
      </c>
      <c r="BA50" t="s">
        <v>442</v>
      </c>
      <c r="BB50">
        <v>3.8370000000000001E-2</v>
      </c>
      <c r="BC50">
        <v>4.0999999999999999E-4</v>
      </c>
      <c r="BD50" t="s">
        <v>442</v>
      </c>
      <c r="BE50">
        <v>-3.0000000000000001E-5</v>
      </c>
      <c r="BF50">
        <v>9.0000000000000006E-5</v>
      </c>
      <c r="BG50" t="s">
        <v>439</v>
      </c>
      <c r="BH50">
        <v>3.46E-3</v>
      </c>
      <c r="BI50">
        <v>1.6000000000000001E-4</v>
      </c>
      <c r="BJ50" t="s">
        <v>442</v>
      </c>
      <c r="BK50">
        <v>1.6299999999999999E-3</v>
      </c>
      <c r="BL50">
        <v>3.0000000000000001E-5</v>
      </c>
      <c r="BM50" t="s">
        <v>439</v>
      </c>
      <c r="BN50">
        <v>-1.7000000000000001E-4</v>
      </c>
      <c r="BO50">
        <v>5.0000000000000002E-5</v>
      </c>
      <c r="BP50" t="s">
        <v>439</v>
      </c>
      <c r="BQ50">
        <v>3.952E-2</v>
      </c>
      <c r="BR50">
        <v>9.3999999999999997E-4</v>
      </c>
      <c r="BS50" t="s">
        <v>442</v>
      </c>
      <c r="BV50" t="s">
        <v>440</v>
      </c>
      <c r="BW50">
        <v>-2.0495800000000002</v>
      </c>
      <c r="BX50">
        <v>1.8000000000000001E-4</v>
      </c>
      <c r="BY50" t="s">
        <v>439</v>
      </c>
      <c r="BZ50">
        <v>1.129E-2</v>
      </c>
      <c r="CA50">
        <v>9.0000000000000006E-5</v>
      </c>
      <c r="CB50" t="s">
        <v>442</v>
      </c>
      <c r="CC50">
        <v>0.68072999999999995</v>
      </c>
      <c r="CD50">
        <v>6.8599999999999998E-3</v>
      </c>
      <c r="CE50" t="s">
        <v>442</v>
      </c>
      <c r="CF50">
        <v>0.67801999999999996</v>
      </c>
      <c r="CG50">
        <v>1.073E-2</v>
      </c>
      <c r="CH50" t="s">
        <v>442</v>
      </c>
      <c r="CI50">
        <v>0.67610999999999999</v>
      </c>
      <c r="CJ50">
        <v>7.0499999999999998E-3</v>
      </c>
      <c r="CK50" t="s">
        <v>442</v>
      </c>
      <c r="CL50">
        <v>0.21878</v>
      </c>
      <c r="CM50">
        <v>2.6199999999999999E-3</v>
      </c>
      <c r="CN50" t="s">
        <v>442</v>
      </c>
      <c r="CO50">
        <v>33.198909999999998</v>
      </c>
      <c r="CP50">
        <v>0.72316999999999998</v>
      </c>
      <c r="CQ50" t="s">
        <v>442</v>
      </c>
      <c r="CR50">
        <v>3.9038499999999998</v>
      </c>
      <c r="CS50">
        <v>9.3659999999999993E-2</v>
      </c>
      <c r="CT50" t="s">
        <v>442</v>
      </c>
      <c r="CU50">
        <v>5.1433900000000001</v>
      </c>
      <c r="CV50">
        <v>6.071E-2</v>
      </c>
      <c r="CW50" t="s">
        <v>442</v>
      </c>
      <c r="CX50">
        <v>21.216290000000001</v>
      </c>
      <c r="CY50">
        <v>0.69021999999999994</v>
      </c>
      <c r="CZ50" t="s">
        <v>442</v>
      </c>
      <c r="DA50">
        <v>9.0122999999999998</v>
      </c>
      <c r="DB50">
        <v>9.9809999999999996E-2</v>
      </c>
      <c r="DC50" t="s">
        <v>442</v>
      </c>
      <c r="DD50">
        <v>85.094610000000003</v>
      </c>
      <c r="DE50">
        <v>1.4534199999999999</v>
      </c>
      <c r="DF50" t="s">
        <v>442</v>
      </c>
      <c r="DG50">
        <v>85.321240000000003</v>
      </c>
      <c r="DH50">
        <v>2.4842900000000001</v>
      </c>
      <c r="DI50" t="s">
        <v>442</v>
      </c>
      <c r="DJ50">
        <v>9.418E-2</v>
      </c>
      <c r="DK50">
        <v>6.6299999999999996E-3</v>
      </c>
      <c r="DL50" t="s">
        <v>442</v>
      </c>
      <c r="DM50">
        <v>9.2999999999999992E-3</v>
      </c>
      <c r="DN50">
        <v>1.48E-3</v>
      </c>
      <c r="DO50" t="s">
        <v>442</v>
      </c>
      <c r="DP50">
        <v>2.4396800000000001</v>
      </c>
      <c r="DQ50">
        <v>6.8540000000000004E-2</v>
      </c>
      <c r="DR50" t="s">
        <v>442</v>
      </c>
      <c r="DS50">
        <v>1.2789600000000001</v>
      </c>
      <c r="DT50">
        <v>3.8010000000000002E-2</v>
      </c>
      <c r="DU50" t="s">
        <v>442</v>
      </c>
      <c r="DV50">
        <v>14.419980000000001</v>
      </c>
      <c r="DW50">
        <v>0.71275999999999995</v>
      </c>
      <c r="DX50" t="s">
        <v>442</v>
      </c>
      <c r="DY50">
        <v>5.4989999999999997E-2</v>
      </c>
      <c r="DZ50">
        <v>1.06E-3</v>
      </c>
      <c r="EA50" t="s">
        <v>442</v>
      </c>
      <c r="EB50">
        <v>2.15388</v>
      </c>
      <c r="EC50">
        <v>6.1620000000000001E-2</v>
      </c>
      <c r="ED50" t="s">
        <v>442</v>
      </c>
      <c r="EE50">
        <v>1.6249899999999999</v>
      </c>
      <c r="EF50">
        <v>4.793E-2</v>
      </c>
      <c r="EG50" t="s">
        <v>442</v>
      </c>
      <c r="EH50">
        <v>143.45403999999999</v>
      </c>
      <c r="EI50">
        <v>3.5319699999999998</v>
      </c>
      <c r="EJ50" t="s">
        <v>442</v>
      </c>
      <c r="EM50" t="s">
        <v>440</v>
      </c>
      <c r="EN50">
        <v>5.2932300000000003</v>
      </c>
      <c r="EO50">
        <v>4.3139999999999998E-2</v>
      </c>
      <c r="EP50" t="s">
        <v>442</v>
      </c>
      <c r="ES50" t="s">
        <v>440</v>
      </c>
      <c r="ET50">
        <v>42.465629999999997</v>
      </c>
      <c r="EU50">
        <v>1.09744</v>
      </c>
      <c r="EV50" t="s">
        <v>442</v>
      </c>
      <c r="EW50">
        <v>1.8020000000000001E-2</v>
      </c>
      <c r="EX50">
        <v>2.8900000000000002E-3</v>
      </c>
      <c r="EY50" t="s">
        <v>442</v>
      </c>
      <c r="EZ50">
        <v>23.675249999999998</v>
      </c>
      <c r="FA50">
        <v>0.50056999999999996</v>
      </c>
      <c r="FB50" t="s">
        <v>442</v>
      </c>
      <c r="FC50">
        <v>0.53288000000000002</v>
      </c>
      <c r="FD50">
        <v>5.0310000000000001E-2</v>
      </c>
      <c r="FE50" t="s">
        <v>439</v>
      </c>
      <c r="FF50">
        <v>2.5457100000000001</v>
      </c>
      <c r="FG50">
        <v>9.01E-2</v>
      </c>
      <c r="FH50" t="s">
        <v>441</v>
      </c>
      <c r="FK50" t="s">
        <v>440</v>
      </c>
      <c r="FN50" t="s">
        <v>440</v>
      </c>
      <c r="FO50">
        <v>5.1370500000000003</v>
      </c>
      <c r="FP50">
        <v>0.12828000000000001</v>
      </c>
      <c r="FQ50" t="s">
        <v>441</v>
      </c>
      <c r="FT50" t="s">
        <v>440</v>
      </c>
      <c r="FX50">
        <v>49</v>
      </c>
    </row>
    <row r="51" spans="2:180" x14ac:dyDescent="0.2">
      <c r="B51" t="s">
        <v>117</v>
      </c>
      <c r="C51">
        <v>6.9419999999999996E-2</v>
      </c>
      <c r="D51">
        <v>3.3899999999999998E-3</v>
      </c>
      <c r="E51" t="s">
        <v>442</v>
      </c>
      <c r="F51">
        <v>1.427E-2</v>
      </c>
      <c r="G51">
        <v>4.5300000000000002E-3</v>
      </c>
      <c r="H51" t="s">
        <v>439</v>
      </c>
      <c r="I51">
        <v>0.36307</v>
      </c>
      <c r="J51">
        <v>6.4099999999999999E-3</v>
      </c>
      <c r="K51" t="s">
        <v>442</v>
      </c>
      <c r="L51">
        <v>7.9600000000000004E-2</v>
      </c>
      <c r="M51">
        <v>1.9E-3</v>
      </c>
      <c r="N51" t="s">
        <v>442</v>
      </c>
      <c r="O51">
        <v>4.3899999999999998E-3</v>
      </c>
      <c r="P51">
        <v>9.0000000000000006E-5</v>
      </c>
      <c r="Q51" t="s">
        <v>442</v>
      </c>
      <c r="R51">
        <v>8.3839999999999998E-2</v>
      </c>
      <c r="S51">
        <v>1.17E-3</v>
      </c>
      <c r="T51" t="s">
        <v>442</v>
      </c>
      <c r="U51">
        <v>7.1000000000000002E-4</v>
      </c>
      <c r="V51">
        <v>6.9999999999999994E-5</v>
      </c>
      <c r="W51" t="s">
        <v>439</v>
      </c>
      <c r="X51">
        <v>1.235E-2</v>
      </c>
      <c r="Y51">
        <v>7.1000000000000002E-4</v>
      </c>
      <c r="Z51" t="s">
        <v>439</v>
      </c>
      <c r="AA51">
        <v>3.0380000000000001E-2</v>
      </c>
      <c r="AB51">
        <v>6.4000000000000005E-4</v>
      </c>
      <c r="AC51" t="s">
        <v>442</v>
      </c>
      <c r="AD51">
        <v>0.10680000000000001</v>
      </c>
      <c r="AE51">
        <v>4.8399999999999997E-3</v>
      </c>
      <c r="AF51" t="s">
        <v>442</v>
      </c>
      <c r="AI51" t="s">
        <v>440</v>
      </c>
      <c r="AJ51">
        <v>14.51084</v>
      </c>
      <c r="AK51">
        <v>0.19481000000000001</v>
      </c>
      <c r="AL51" t="s">
        <v>441</v>
      </c>
      <c r="AM51">
        <v>29.109950000000001</v>
      </c>
      <c r="AN51">
        <v>0.16968</v>
      </c>
      <c r="AO51" t="s">
        <v>442</v>
      </c>
      <c r="AP51">
        <v>1.8E-3</v>
      </c>
      <c r="AQ51">
        <v>3.4000000000000002E-4</v>
      </c>
      <c r="AR51" t="s">
        <v>439</v>
      </c>
      <c r="AS51">
        <v>0.49928</v>
      </c>
      <c r="AT51">
        <v>1.091E-2</v>
      </c>
      <c r="AU51" t="s">
        <v>442</v>
      </c>
      <c r="AV51">
        <v>3.0899999999999999E-3</v>
      </c>
      <c r="AW51">
        <v>1.7000000000000001E-4</v>
      </c>
      <c r="AX51" t="s">
        <v>442</v>
      </c>
      <c r="AY51">
        <v>-7.7999999999999999E-4</v>
      </c>
      <c r="AZ51">
        <v>1.3999999999999999E-4</v>
      </c>
      <c r="BA51" t="s">
        <v>439</v>
      </c>
      <c r="BB51">
        <v>3.98E-3</v>
      </c>
      <c r="BC51">
        <v>1.1E-4</v>
      </c>
      <c r="BD51" t="s">
        <v>442</v>
      </c>
      <c r="BE51">
        <v>-1.2999999999999999E-4</v>
      </c>
      <c r="BF51">
        <v>2.7E-4</v>
      </c>
      <c r="BG51" t="s">
        <v>439</v>
      </c>
      <c r="BH51">
        <v>7.5000000000000002E-4</v>
      </c>
      <c r="BI51">
        <v>5.0000000000000002E-5</v>
      </c>
      <c r="BJ51" t="s">
        <v>439</v>
      </c>
      <c r="BK51">
        <v>1.5399999999999999E-3</v>
      </c>
      <c r="BL51">
        <v>5.0000000000000002E-5</v>
      </c>
      <c r="BM51" t="s">
        <v>439</v>
      </c>
      <c r="BN51">
        <v>-3.2000000000000003E-4</v>
      </c>
      <c r="BO51">
        <v>9.0000000000000006E-5</v>
      </c>
      <c r="BP51" t="s">
        <v>439</v>
      </c>
      <c r="BQ51">
        <v>-1.31E-3</v>
      </c>
      <c r="BR51">
        <v>2.2000000000000001E-4</v>
      </c>
      <c r="BS51" t="s">
        <v>439</v>
      </c>
      <c r="BV51" t="s">
        <v>440</v>
      </c>
      <c r="BW51">
        <v>-2.0494300000000001</v>
      </c>
      <c r="BX51">
        <v>6.7000000000000002E-4</v>
      </c>
      <c r="BY51" t="s">
        <v>439</v>
      </c>
      <c r="BZ51">
        <v>1.7649999999999999E-2</v>
      </c>
      <c r="CA51">
        <v>3.3E-4</v>
      </c>
      <c r="CB51" t="s">
        <v>442</v>
      </c>
      <c r="CC51">
        <v>1.37191</v>
      </c>
      <c r="CD51">
        <v>1.813E-2</v>
      </c>
      <c r="CE51" t="s">
        <v>442</v>
      </c>
      <c r="CF51">
        <v>1.35337</v>
      </c>
      <c r="CG51">
        <v>1.49E-2</v>
      </c>
      <c r="CH51" t="s">
        <v>442</v>
      </c>
      <c r="CI51">
        <v>1.3915999999999999</v>
      </c>
      <c r="CJ51">
        <v>2.6530000000000001E-2</v>
      </c>
      <c r="CK51" t="s">
        <v>442</v>
      </c>
      <c r="CL51">
        <v>0.27395999999999998</v>
      </c>
      <c r="CM51">
        <v>3.3500000000000001E-3</v>
      </c>
      <c r="CN51" t="s">
        <v>442</v>
      </c>
      <c r="CO51">
        <v>97.472899999999996</v>
      </c>
      <c r="CP51">
        <v>2.81873</v>
      </c>
      <c r="CQ51" t="s">
        <v>442</v>
      </c>
      <c r="CR51">
        <v>3.1212900000000001</v>
      </c>
      <c r="CS51">
        <v>0.11525000000000001</v>
      </c>
      <c r="CT51" t="s">
        <v>442</v>
      </c>
      <c r="CU51">
        <v>4.9698200000000003</v>
      </c>
      <c r="CV51">
        <v>0.28664000000000001</v>
      </c>
      <c r="CW51" t="s">
        <v>442</v>
      </c>
      <c r="CX51">
        <v>30.169730000000001</v>
      </c>
      <c r="CY51">
        <v>1.0291699999999999</v>
      </c>
      <c r="CZ51" t="s">
        <v>442</v>
      </c>
      <c r="DA51">
        <v>84.170919999999995</v>
      </c>
      <c r="DB51">
        <v>2.74248</v>
      </c>
      <c r="DC51" t="s">
        <v>442</v>
      </c>
      <c r="DD51">
        <v>70.07038</v>
      </c>
      <c r="DE51">
        <v>2.44754</v>
      </c>
      <c r="DF51" t="s">
        <v>442</v>
      </c>
      <c r="DG51">
        <v>30.652159999999999</v>
      </c>
      <c r="DH51">
        <v>0.88912999999999998</v>
      </c>
      <c r="DI51" t="s">
        <v>442</v>
      </c>
      <c r="DJ51">
        <v>0.15642</v>
      </c>
      <c r="DK51">
        <v>4.2199999999999998E-3</v>
      </c>
      <c r="DL51" t="s">
        <v>442</v>
      </c>
      <c r="DM51">
        <v>5.7200000000000003E-3</v>
      </c>
      <c r="DN51">
        <v>1.01E-3</v>
      </c>
      <c r="DO51" t="s">
        <v>442</v>
      </c>
      <c r="DP51">
        <v>1.1721200000000001</v>
      </c>
      <c r="DQ51">
        <v>1.487E-2</v>
      </c>
      <c r="DR51" t="s">
        <v>442</v>
      </c>
      <c r="DS51">
        <v>0.91612000000000005</v>
      </c>
      <c r="DT51">
        <v>1.042E-2</v>
      </c>
      <c r="DU51" t="s">
        <v>442</v>
      </c>
      <c r="DV51">
        <v>8.1875199999999992</v>
      </c>
      <c r="DW51">
        <v>0.20565</v>
      </c>
      <c r="DX51" t="s">
        <v>442</v>
      </c>
      <c r="DY51">
        <v>5.5129999999999998E-2</v>
      </c>
      <c r="DZ51">
        <v>3.0699999999999998E-3</v>
      </c>
      <c r="EA51" t="s">
        <v>442</v>
      </c>
      <c r="EB51">
        <v>1.7852300000000001</v>
      </c>
      <c r="EC51">
        <v>4.965E-2</v>
      </c>
      <c r="ED51" t="s">
        <v>442</v>
      </c>
      <c r="EE51">
        <v>2.3530000000000002</v>
      </c>
      <c r="EF51">
        <v>5.1290000000000002E-2</v>
      </c>
      <c r="EG51" t="s">
        <v>442</v>
      </c>
      <c r="EH51">
        <v>270.59532999999999</v>
      </c>
      <c r="EI51">
        <v>5.5729699999999998</v>
      </c>
      <c r="EJ51" t="s">
        <v>442</v>
      </c>
      <c r="EM51" t="s">
        <v>440</v>
      </c>
      <c r="EN51">
        <v>16.020150000000001</v>
      </c>
      <c r="EO51">
        <v>0.32561000000000001</v>
      </c>
      <c r="EP51" t="s">
        <v>442</v>
      </c>
      <c r="ES51" t="s">
        <v>440</v>
      </c>
      <c r="ET51">
        <v>123.86783</v>
      </c>
      <c r="EU51">
        <v>1.7282500000000001</v>
      </c>
      <c r="EV51" t="s">
        <v>442</v>
      </c>
      <c r="EW51">
        <v>2.5600000000000001E-2</v>
      </c>
      <c r="EX51">
        <v>4.9399999999999999E-3</v>
      </c>
      <c r="EY51" t="s">
        <v>442</v>
      </c>
      <c r="EZ51">
        <v>70.290559999999999</v>
      </c>
      <c r="FA51">
        <v>1.23505</v>
      </c>
      <c r="FB51" t="s">
        <v>442</v>
      </c>
      <c r="FC51">
        <v>0.87158999999999998</v>
      </c>
      <c r="FD51">
        <v>8.7139999999999995E-2</v>
      </c>
      <c r="FE51" t="s">
        <v>439</v>
      </c>
      <c r="FF51">
        <v>3.29189</v>
      </c>
      <c r="FG51">
        <v>0.2354</v>
      </c>
      <c r="FH51" t="s">
        <v>441</v>
      </c>
      <c r="FK51" t="s">
        <v>440</v>
      </c>
      <c r="FN51" t="s">
        <v>440</v>
      </c>
      <c r="FO51">
        <v>16.596990000000002</v>
      </c>
      <c r="FP51">
        <v>0.40044000000000002</v>
      </c>
      <c r="FQ51" t="s">
        <v>441</v>
      </c>
      <c r="FT51" t="s">
        <v>440</v>
      </c>
      <c r="FX51">
        <v>50</v>
      </c>
    </row>
    <row r="52" spans="2:180" x14ac:dyDescent="0.2">
      <c r="B52" t="s">
        <v>118</v>
      </c>
      <c r="C52">
        <v>0.10277</v>
      </c>
      <c r="D52">
        <v>2.9199999999999999E-3</v>
      </c>
      <c r="E52" t="s">
        <v>442</v>
      </c>
      <c r="F52">
        <v>1.3520000000000001E-2</v>
      </c>
      <c r="G52">
        <v>3.46E-3</v>
      </c>
      <c r="H52" t="s">
        <v>439</v>
      </c>
      <c r="I52">
        <v>0.87865000000000004</v>
      </c>
      <c r="J52">
        <v>6.7299999999999999E-3</v>
      </c>
      <c r="K52" t="s">
        <v>442</v>
      </c>
      <c r="L52">
        <v>0.14233999999999999</v>
      </c>
      <c r="M52">
        <v>3.2200000000000002E-3</v>
      </c>
      <c r="N52" t="s">
        <v>442</v>
      </c>
      <c r="O52">
        <v>1.189E-2</v>
      </c>
      <c r="P52">
        <v>4.2000000000000002E-4</v>
      </c>
      <c r="Q52" t="s">
        <v>442</v>
      </c>
      <c r="R52">
        <v>0.10274999999999999</v>
      </c>
      <c r="S52">
        <v>1.34E-3</v>
      </c>
      <c r="T52" t="s">
        <v>442</v>
      </c>
      <c r="U52">
        <v>8.5999999999999998E-4</v>
      </c>
      <c r="V52">
        <v>1.6000000000000001E-4</v>
      </c>
      <c r="W52" t="s">
        <v>439</v>
      </c>
      <c r="X52">
        <v>1.316E-2</v>
      </c>
      <c r="Y52">
        <v>5.2999999999999998E-4</v>
      </c>
      <c r="Z52" t="s">
        <v>439</v>
      </c>
      <c r="AA52">
        <v>6.2950000000000006E-2</v>
      </c>
      <c r="AB52">
        <v>4.8000000000000001E-4</v>
      </c>
      <c r="AC52" t="s">
        <v>442</v>
      </c>
      <c r="AD52">
        <v>0.26978000000000002</v>
      </c>
      <c r="AE52">
        <v>5.1900000000000002E-3</v>
      </c>
      <c r="AF52" t="s">
        <v>442</v>
      </c>
      <c r="AI52" t="s">
        <v>440</v>
      </c>
      <c r="AJ52">
        <v>15.47391</v>
      </c>
      <c r="AK52">
        <v>0.14344000000000001</v>
      </c>
      <c r="AL52" t="s">
        <v>441</v>
      </c>
      <c r="AM52">
        <v>72.071830000000006</v>
      </c>
      <c r="AN52">
        <v>0.23529</v>
      </c>
      <c r="AO52" t="s">
        <v>442</v>
      </c>
      <c r="AP52">
        <v>2.479E-2</v>
      </c>
      <c r="AQ52">
        <v>8.7000000000000001E-4</v>
      </c>
      <c r="AR52" t="s">
        <v>442</v>
      </c>
      <c r="AS52">
        <v>0.97648999999999997</v>
      </c>
      <c r="AT52">
        <v>2.0539999999999999E-2</v>
      </c>
      <c r="AU52" t="s">
        <v>442</v>
      </c>
      <c r="AV52">
        <v>7.0099999999999997E-3</v>
      </c>
      <c r="AW52">
        <v>1.2999999999999999E-4</v>
      </c>
      <c r="AX52" t="s">
        <v>442</v>
      </c>
      <c r="AY52">
        <v>6.0999999999999997E-4</v>
      </c>
      <c r="AZ52">
        <v>1.8000000000000001E-4</v>
      </c>
      <c r="BA52" t="s">
        <v>439</v>
      </c>
      <c r="BB52">
        <v>4.3E-3</v>
      </c>
      <c r="BC52">
        <v>1.9000000000000001E-4</v>
      </c>
      <c r="BD52" t="s">
        <v>442</v>
      </c>
      <c r="BE52">
        <v>2.5999999999999998E-4</v>
      </c>
      <c r="BF52">
        <v>2.3000000000000001E-4</v>
      </c>
      <c r="BG52" t="s">
        <v>439</v>
      </c>
      <c r="BH52">
        <v>1.1299999999999999E-3</v>
      </c>
      <c r="BI52">
        <v>6.9999999999999994E-5</v>
      </c>
      <c r="BJ52" t="s">
        <v>439</v>
      </c>
      <c r="BK52">
        <v>1.57E-3</v>
      </c>
      <c r="BL52">
        <v>1.0000000000000001E-5</v>
      </c>
      <c r="BM52" t="s">
        <v>439</v>
      </c>
      <c r="BN52">
        <v>-4.0000000000000003E-5</v>
      </c>
      <c r="BO52">
        <v>1.2E-4</v>
      </c>
      <c r="BP52" t="s">
        <v>439</v>
      </c>
      <c r="BQ52">
        <v>1.984E-2</v>
      </c>
      <c r="BR52">
        <v>1.25E-3</v>
      </c>
      <c r="BS52" t="s">
        <v>442</v>
      </c>
      <c r="BV52" t="s">
        <v>440</v>
      </c>
      <c r="BW52">
        <v>-2.05016</v>
      </c>
      <c r="BX52">
        <v>4.6000000000000001E-4</v>
      </c>
      <c r="BY52" t="s">
        <v>439</v>
      </c>
      <c r="BZ52">
        <v>2.8840000000000001E-2</v>
      </c>
      <c r="CA52">
        <v>1.7000000000000001E-4</v>
      </c>
      <c r="CB52" t="s">
        <v>442</v>
      </c>
      <c r="CC52">
        <v>3.58175</v>
      </c>
      <c r="CD52">
        <v>4.4690000000000001E-2</v>
      </c>
      <c r="CE52" t="s">
        <v>442</v>
      </c>
      <c r="CF52">
        <v>3.4515400000000001</v>
      </c>
      <c r="CG52">
        <v>4.99E-2</v>
      </c>
      <c r="CH52" t="s">
        <v>442</v>
      </c>
      <c r="CI52">
        <v>3.66004</v>
      </c>
      <c r="CJ52">
        <v>2.5170000000000001E-2</v>
      </c>
      <c r="CK52" t="s">
        <v>442</v>
      </c>
      <c r="CL52">
        <v>0.75292000000000003</v>
      </c>
      <c r="CM52">
        <v>2.1199999999999999E-3</v>
      </c>
      <c r="CN52" t="s">
        <v>442</v>
      </c>
      <c r="CO52">
        <v>178.63045</v>
      </c>
      <c r="CP52">
        <v>1.89394</v>
      </c>
      <c r="CQ52" t="s">
        <v>442</v>
      </c>
      <c r="CR52">
        <v>5.8810799999999999</v>
      </c>
      <c r="CS52">
        <v>0.15060999999999999</v>
      </c>
      <c r="CT52" t="s">
        <v>442</v>
      </c>
      <c r="CU52">
        <v>8.0023099999999996</v>
      </c>
      <c r="CV52">
        <v>0.23144000000000001</v>
      </c>
      <c r="CW52" t="s">
        <v>442</v>
      </c>
      <c r="CX52">
        <v>73.68168</v>
      </c>
      <c r="CY52">
        <v>0.76924000000000003</v>
      </c>
      <c r="CZ52" t="s">
        <v>442</v>
      </c>
      <c r="DA52">
        <v>40.664900000000003</v>
      </c>
      <c r="DB52">
        <v>1.04016</v>
      </c>
      <c r="DC52" t="s">
        <v>442</v>
      </c>
      <c r="DD52">
        <v>174.50049999999999</v>
      </c>
      <c r="DE52">
        <v>1.3616900000000001</v>
      </c>
      <c r="DF52" t="s">
        <v>442</v>
      </c>
      <c r="DG52">
        <v>51.092680000000001</v>
      </c>
      <c r="DH52">
        <v>0.30580000000000002</v>
      </c>
      <c r="DI52" t="s">
        <v>442</v>
      </c>
      <c r="DJ52">
        <v>0.31539</v>
      </c>
      <c r="DK52">
        <v>3.1710000000000002E-2</v>
      </c>
      <c r="DL52" t="s">
        <v>442</v>
      </c>
      <c r="DM52">
        <v>8.4499999999999992E-3</v>
      </c>
      <c r="DN52">
        <v>1.2099999999999999E-3</v>
      </c>
      <c r="DO52" t="s">
        <v>442</v>
      </c>
      <c r="DP52">
        <v>0.67664000000000002</v>
      </c>
      <c r="DQ52">
        <v>7.2500000000000004E-3</v>
      </c>
      <c r="DR52" t="s">
        <v>442</v>
      </c>
      <c r="DS52">
        <v>1.6501999999999999</v>
      </c>
      <c r="DT52">
        <v>3.4229999999999997E-2</v>
      </c>
      <c r="DU52" t="s">
        <v>442</v>
      </c>
      <c r="DV52">
        <v>8.1023499999999995</v>
      </c>
      <c r="DW52">
        <v>0.31152000000000002</v>
      </c>
      <c r="DX52" t="s">
        <v>442</v>
      </c>
      <c r="DY52">
        <v>0.12837999999999999</v>
      </c>
      <c r="DZ52">
        <v>9.0200000000000002E-3</v>
      </c>
      <c r="EA52" t="s">
        <v>442</v>
      </c>
      <c r="EB52">
        <v>1.18083</v>
      </c>
      <c r="EC52">
        <v>4.1439999999999998E-2</v>
      </c>
      <c r="ED52" t="s">
        <v>442</v>
      </c>
      <c r="EE52">
        <v>5.9544300000000003</v>
      </c>
      <c r="EF52">
        <v>0.10936</v>
      </c>
      <c r="EG52" t="s">
        <v>442</v>
      </c>
      <c r="EH52">
        <v>828.66146000000003</v>
      </c>
      <c r="EI52">
        <v>17.02347</v>
      </c>
      <c r="EJ52" t="s">
        <v>442</v>
      </c>
      <c r="EM52" t="s">
        <v>440</v>
      </c>
      <c r="EN52">
        <v>18.546520000000001</v>
      </c>
      <c r="EO52">
        <v>0.84019999999999995</v>
      </c>
      <c r="EP52" t="s">
        <v>442</v>
      </c>
      <c r="ES52" t="s">
        <v>440</v>
      </c>
      <c r="ET52">
        <v>253.66625999999999</v>
      </c>
      <c r="EU52">
        <v>3.1230799999999999</v>
      </c>
      <c r="EV52" t="s">
        <v>442</v>
      </c>
      <c r="EW52">
        <v>6.1310000000000003E-2</v>
      </c>
      <c r="EX52">
        <v>1.0319999999999999E-2</v>
      </c>
      <c r="EY52" t="s">
        <v>442</v>
      </c>
      <c r="EZ52">
        <v>271.68432999999999</v>
      </c>
      <c r="FA52">
        <v>6.3419600000000003</v>
      </c>
      <c r="FB52" t="s">
        <v>442</v>
      </c>
      <c r="FC52">
        <v>2.2204899999999999</v>
      </c>
      <c r="FD52">
        <v>0.15912000000000001</v>
      </c>
      <c r="FE52" t="s">
        <v>442</v>
      </c>
      <c r="FF52">
        <v>6.3441999999999998</v>
      </c>
      <c r="FG52">
        <v>0.47782000000000002</v>
      </c>
      <c r="FH52" t="s">
        <v>441</v>
      </c>
      <c r="FK52" t="s">
        <v>440</v>
      </c>
      <c r="FN52" t="s">
        <v>440</v>
      </c>
      <c r="FO52">
        <v>18.405760000000001</v>
      </c>
      <c r="FP52">
        <v>0.44619999999999999</v>
      </c>
      <c r="FQ52" t="s">
        <v>441</v>
      </c>
      <c r="FT52" t="s">
        <v>440</v>
      </c>
      <c r="FX52">
        <v>51</v>
      </c>
    </row>
    <row r="53" spans="2:180" x14ac:dyDescent="0.2">
      <c r="B53" t="s">
        <v>119</v>
      </c>
      <c r="C53">
        <v>7.0510000000000003E-2</v>
      </c>
      <c r="D53">
        <v>1.1999999999999999E-3</v>
      </c>
      <c r="E53" t="e">
        <f>IF((ABS($C$53-$C$45)/(($C$53+$C$45)/2)) &lt;#REF!, "Dp","Df")</f>
        <v>#REF!</v>
      </c>
      <c r="F53">
        <v>1.6469999999999999E-2</v>
      </c>
      <c r="G53">
        <v>2.4299999999999999E-3</v>
      </c>
      <c r="H53" t="e">
        <f>IF((ABS($F$53-$F$45)/(($F$53+$F$45)/2)) &lt;#REF!, "Dp","Df")</f>
        <v>#REF!</v>
      </c>
      <c r="I53">
        <v>0.77100000000000002</v>
      </c>
      <c r="J53">
        <v>7.9799999999999992E-3</v>
      </c>
      <c r="K53" t="e">
        <f>IF((ABS($I$53-$I$45)/(($I$53+$I$45)/2)) &lt;#REF!, "Dp","Df")</f>
        <v>#REF!</v>
      </c>
      <c r="L53">
        <v>5.0720000000000001E-2</v>
      </c>
      <c r="M53">
        <v>1.24E-3</v>
      </c>
      <c r="N53" t="e">
        <f>IF((ABS($L$53-$L$45)/(($L$53+$L$45)/2)) &lt;#REF!, "Dp","Df")</f>
        <v>#REF!</v>
      </c>
      <c r="O53">
        <v>4.2100000000000002E-3</v>
      </c>
      <c r="P53">
        <v>1.2999999999999999E-4</v>
      </c>
      <c r="Q53" t="e">
        <f>IF((ABS($O$53-$O$45)/(($O$53+$O$45)/2)) &lt;#REF!, "Dp","Df")</f>
        <v>#REF!</v>
      </c>
      <c r="R53">
        <v>0.10059999999999999</v>
      </c>
      <c r="S53">
        <v>1.7899999999999999E-3</v>
      </c>
      <c r="T53" t="e">
        <f>IF((ABS($R$53-$R$45)/(($R$53+$R$45)/2)) &lt;#REF!, "Dp","Df")</f>
        <v>#REF!</v>
      </c>
      <c r="U53">
        <v>7.2000000000000005E-4</v>
      </c>
      <c r="V53">
        <v>5.0000000000000002E-5</v>
      </c>
      <c r="W53" t="e">
        <f>IF((ABS($U$53-$U$45)/(($U$53+$U$45)/2)) &lt;#REF!, "Dp","Df")</f>
        <v>#REF!</v>
      </c>
      <c r="X53">
        <v>1.2529999999999999E-2</v>
      </c>
      <c r="Y53">
        <v>1.8000000000000001E-4</v>
      </c>
      <c r="Z53" t="e">
        <f>IF((ABS($X$53-$X$45)/(($X$53+$X$45)/2)) &lt;#REF!, "Dp","Df")</f>
        <v>#REF!</v>
      </c>
      <c r="AA53">
        <v>0.10589</v>
      </c>
      <c r="AB53">
        <v>1.99E-3</v>
      </c>
      <c r="AC53" t="e">
        <f>IF((ABS($AA$53-$AA$45)/(($AA$53+$AA$45)/2)) &lt;#REF!, "Dp","Df")</f>
        <v>#REF!</v>
      </c>
      <c r="AD53">
        <v>0.24232000000000001</v>
      </c>
      <c r="AE53">
        <v>4.1200000000000004E-3</v>
      </c>
      <c r="AF53" t="e">
        <f>IF((ABS($AD$53-$AD$45)/(($AD$53+$AD$45)/2)) &lt;#REF!, "Dp","Df")</f>
        <v>#REF!</v>
      </c>
      <c r="AI53" t="e">
        <f>IF((ABS($AG$53-$AG$45)/(($AG$53+$AG$45)/2)) &lt;#REF!, "Dp","Df")</f>
        <v>#DIV/0!</v>
      </c>
      <c r="AJ53">
        <v>4.4515900000000004</v>
      </c>
      <c r="AK53">
        <v>5.1639999999999998E-2</v>
      </c>
      <c r="AL53" t="e">
        <f>IF((ABS($AJ$53-$AJ$45)/(($AJ$53+$AJ$45)/2)) &lt;#REF!, "Dp","Df")</f>
        <v>#REF!</v>
      </c>
      <c r="AM53">
        <v>3.9587599999999998</v>
      </c>
      <c r="AN53">
        <v>6.6189999999999999E-2</v>
      </c>
      <c r="AO53" t="e">
        <f>IF((ABS($AM$53-$AM$45)/(($AM$53+$AM$45)/2)) &lt;#REF!, "Dp","Df")</f>
        <v>#REF!</v>
      </c>
      <c r="AP53">
        <v>1.8010000000000002E-2</v>
      </c>
      <c r="AQ53">
        <v>9.2000000000000003E-4</v>
      </c>
      <c r="AR53" t="e">
        <f>IF((ABS($AP$53-$AP$45)/(($AP$53+$AP$45)/2)) &lt;#REF!, "Dp","Df")</f>
        <v>#REF!</v>
      </c>
      <c r="AS53">
        <v>0.38478000000000001</v>
      </c>
      <c r="AT53">
        <v>5.7999999999999996E-3</v>
      </c>
      <c r="AU53" t="e">
        <f>IF((ABS($AS$53-$AS$45)/(($AS$53+$AS$45)/2)) &lt;#REF!, "Dp","Df")</f>
        <v>#REF!</v>
      </c>
      <c r="AV53">
        <v>-4.0999999999999999E-4</v>
      </c>
      <c r="AW53">
        <v>2.1000000000000001E-4</v>
      </c>
      <c r="AX53" t="e">
        <f>IF((ABS($AV$53-$AV$45)/(($AV$53+$AV$45)/2)) &lt;#REF!, "Dp","Df")</f>
        <v>#REF!</v>
      </c>
      <c r="AY53">
        <v>-2.7699999999999999E-3</v>
      </c>
      <c r="AZ53">
        <v>1E-4</v>
      </c>
      <c r="BA53" t="e">
        <f>IF((ABS($AY$53-$AY$45)/(($AY$53+$AY$45)/2)) &lt;#REF!, "Dp","Df")</f>
        <v>#REF!</v>
      </c>
      <c r="BB53">
        <v>3.2699999999999999E-3</v>
      </c>
      <c r="BC53">
        <v>2.4000000000000001E-4</v>
      </c>
      <c r="BD53" t="e">
        <f>IF((ABS($BB$53-$BB$45)/(($BB$53+$BB$45)/2)) &lt;#REF!, "Dp","Df")</f>
        <v>#REF!</v>
      </c>
      <c r="BE53">
        <v>4.8000000000000001E-4</v>
      </c>
      <c r="BF53">
        <v>2.7E-4</v>
      </c>
      <c r="BG53" t="e">
        <f>IF((ABS($BE$53-$BE$45)/(($BE$53+$BE$45)/2)) &lt;#REF!, "Dp","Df")</f>
        <v>#REF!</v>
      </c>
      <c r="BH53">
        <v>6.4000000000000005E-4</v>
      </c>
      <c r="BI53">
        <v>6.9999999999999994E-5</v>
      </c>
      <c r="BJ53" t="e">
        <f>IF((ABS($BH$53-$BH$45)/(($BH$53+$BH$45)/2)) &lt;#REF!, "Dp","Df")</f>
        <v>#REF!</v>
      </c>
      <c r="BK53">
        <v>1.5100000000000001E-3</v>
      </c>
      <c r="BL53">
        <v>1.0000000000000001E-5</v>
      </c>
      <c r="BM53" t="e">
        <f>IF((ABS($BK$53-$BK$45)/(($BK$53+$BK$45)/2)) &lt;#REF!, "Dp","Df")</f>
        <v>#REF!</v>
      </c>
      <c r="BN53">
        <v>-3.6999999999999999E-4</v>
      </c>
      <c r="BO53">
        <v>1E-4</v>
      </c>
      <c r="BP53" t="e">
        <f>IF((ABS($BN$53-$BN$45)/(($BN$53+$BN$45)/2)) &lt;#REF!, "Dp","Df")</f>
        <v>#REF!</v>
      </c>
      <c r="BQ53">
        <v>9.8300000000000002E-3</v>
      </c>
      <c r="BR53">
        <v>5.5999999999999995E-4</v>
      </c>
      <c r="BS53" t="e">
        <f>IF((ABS($BQ$53-$BQ$45)/(($BQ$53+$BQ$45)/2)) &lt;#REF!, "Dp","Df")</f>
        <v>#REF!</v>
      </c>
      <c r="BV53" t="e">
        <f>IF((ABS($BT$53-$BT$45)/(($BT$53+$BT$45)/2)) &lt;#REF!, "Dp","Df")</f>
        <v>#DIV/0!</v>
      </c>
      <c r="BW53">
        <v>-2.0495700000000001</v>
      </c>
      <c r="BX53">
        <v>3.6000000000000002E-4</v>
      </c>
      <c r="BY53" t="e">
        <f>IF((ABS($BW$53-$BW$45)/(($BW$53+$BW$45)/2)) &lt;#REF!, "Dp","Df")</f>
        <v>#REF!</v>
      </c>
      <c r="BZ53">
        <v>2.5950000000000001E-2</v>
      </c>
      <c r="CA53">
        <v>1E-3</v>
      </c>
      <c r="CB53" t="e">
        <f>IF((ABS($BZ$53-$BZ$45)/(($BZ$53+$BZ$45)/2)) &lt;#REF!, "Dp","Df")</f>
        <v>#REF!</v>
      </c>
      <c r="CC53">
        <v>1.99905</v>
      </c>
      <c r="CD53">
        <v>7.8640000000000002E-2</v>
      </c>
      <c r="CE53" t="e">
        <f>IF((ABS($CC$53-$CC$45)/(($CC$53+$CC$45)/2)) &lt;#REF!, "Dp","Df")</f>
        <v>#REF!</v>
      </c>
      <c r="CF53">
        <v>1.9549000000000001</v>
      </c>
      <c r="CG53">
        <v>4.981E-2</v>
      </c>
      <c r="CH53" t="e">
        <f>IF((ABS($CF$53-$CF$45)/(($CF$53+$CF$45)/2)) &lt;#REF!, "Dp","Df")</f>
        <v>#REF!</v>
      </c>
      <c r="CI53">
        <v>2.0101100000000001</v>
      </c>
      <c r="CJ53">
        <v>5.2949999999999997E-2</v>
      </c>
      <c r="CK53" t="e">
        <f>IF((ABS($CI$53-$CI$45)/(($CI$53+$CI$45)/2)) &lt;#REF!, "Dp","Df")</f>
        <v>#REF!</v>
      </c>
      <c r="CL53">
        <v>0.69079000000000002</v>
      </c>
      <c r="CM53">
        <v>1.8489999999999999E-2</v>
      </c>
      <c r="CN53" t="e">
        <f>IF((ABS($CL$53-$CL$45)/(($CL$53+$CL$45)/2)) &lt;#REF!, "Dp","Df")</f>
        <v>#REF!</v>
      </c>
      <c r="CO53">
        <v>83.804469999999995</v>
      </c>
      <c r="CP53">
        <v>2.2235800000000001</v>
      </c>
      <c r="CQ53" t="e">
        <f>IF((ABS($CO$53-$CO$45)/(($CO$53+$CO$45)/2)) &lt;#REF!, "Dp","Df")</f>
        <v>#REF!</v>
      </c>
      <c r="CR53">
        <v>1.1400300000000001</v>
      </c>
      <c r="CS53">
        <v>2.1999999999999999E-2</v>
      </c>
      <c r="CT53" t="e">
        <f>IF((ABS($CR$53-$CR$45)/(($CR$53+$CR$45)/2)) &lt;#REF!, "Dp","Df")</f>
        <v>#REF!</v>
      </c>
      <c r="CU53">
        <v>5.6152100000000003</v>
      </c>
      <c r="CV53">
        <v>0.11353000000000001</v>
      </c>
      <c r="CW53" t="e">
        <f>IF((ABS($CU$53-$CU$45)/(($CU$53+$CU$45)/2)) &lt;#REF!, "Dp","Df")</f>
        <v>#REF!</v>
      </c>
      <c r="CX53">
        <v>18.92493</v>
      </c>
      <c r="CY53">
        <v>0.58477000000000001</v>
      </c>
      <c r="CZ53" t="e">
        <f>IF((ABS($CX$53-$CX$45)/(($CX$53+$CX$45)/2)) &lt;#REF!, "Dp","Df")</f>
        <v>#REF!</v>
      </c>
      <c r="DA53">
        <v>21.09553</v>
      </c>
      <c r="DB53">
        <v>0.50629999999999997</v>
      </c>
      <c r="DC53" t="e">
        <f>IF((ABS($DA$53-$DA$45)/(($DA$53+$DA$45)/2)) &lt;#REF!, "Dp","Df")</f>
        <v>#REF!</v>
      </c>
      <c r="DD53">
        <v>100.55528</v>
      </c>
      <c r="DE53">
        <v>1.6769400000000001</v>
      </c>
      <c r="DF53" t="e">
        <f>IF((ABS($DD$53-$DD$45)/(($DD$53+$DD$45)/2)) &lt;#REF!, "Dp","Df")</f>
        <v>#REF!</v>
      </c>
      <c r="DG53">
        <v>11.20478</v>
      </c>
      <c r="DH53">
        <v>9.5820000000000002E-2</v>
      </c>
      <c r="DI53" t="e">
        <f>IF((ABS($DG$53-$DG$45)/(($DG$53+$DG$45)/2)) &lt;#REF!, "Dp","Df")</f>
        <v>#REF!</v>
      </c>
      <c r="DJ53">
        <v>1.9040000000000001E-2</v>
      </c>
      <c r="DK53">
        <v>1.7899999999999999E-3</v>
      </c>
      <c r="DL53" t="e">
        <f>IF((ABS($DJ$53-$DJ$45)/(($DJ$53+$DJ$45)/2)) &lt;#REF!, "Dp","Df")</f>
        <v>#REF!</v>
      </c>
      <c r="DM53">
        <v>5.8999999999999999E-3</v>
      </c>
      <c r="DN53">
        <v>6.4999999999999997E-4</v>
      </c>
      <c r="DO53" t="e">
        <f>IF((ABS($DM$53-$DM$45)/(($DM$53+$DM$45)/2)) &lt;#REF!, "Dp","Df")</f>
        <v>#REF!</v>
      </c>
      <c r="DP53">
        <v>3.7016100000000001</v>
      </c>
      <c r="DQ53">
        <v>8.1140000000000004E-2</v>
      </c>
      <c r="DR53" t="e">
        <f>IF((ABS($DP$53-$DP$45)/(($DP$53+$DP$45)/2)) &lt;#REF!, "Dp","Df")</f>
        <v>#REF!</v>
      </c>
      <c r="DS53">
        <v>0.76037999999999994</v>
      </c>
      <c r="DT53">
        <v>1.9810000000000001E-2</v>
      </c>
      <c r="DU53" t="e">
        <f>IF((ABS($DS$53-$DS$45)/(($DS$53+$DS$45)/2)) &lt;#REF!, "Dp","Df")</f>
        <v>#REF!</v>
      </c>
      <c r="DV53">
        <v>5.4823599999999999</v>
      </c>
      <c r="DW53">
        <v>0.16582</v>
      </c>
      <c r="DX53" t="e">
        <f>IF((ABS($DV$53-$DV$45)/(($DV$53+$DV$45)/2)) &lt;#REF!, "Dp","Df")</f>
        <v>#REF!</v>
      </c>
      <c r="DY53">
        <v>2.2020000000000001E-2</v>
      </c>
      <c r="DZ53">
        <v>1.1299999999999999E-3</v>
      </c>
      <c r="EA53" t="e">
        <f>IF((ABS($DY$53-$DY$45)/(($DY$53+$DY$45)/2)) &lt;#REF!, "Dp","Df")</f>
        <v>#REF!</v>
      </c>
      <c r="EB53">
        <v>0.93267</v>
      </c>
      <c r="EC53">
        <v>4.0960000000000003E-2</v>
      </c>
      <c r="ED53" t="e">
        <f>IF((ABS($EB$53-$EB$45)/(($EB$53+$EB$45)/2)) &lt;#REF!, "Dp","Df")</f>
        <v>#REF!</v>
      </c>
      <c r="EE53">
        <v>2.5842100000000001</v>
      </c>
      <c r="EF53">
        <v>9.2149999999999996E-2</v>
      </c>
      <c r="EG53" t="e">
        <f>IF((ABS($EE$53-$EE$45)/(($EE$53+$EE$45)/2)) &lt;#REF!, "Dp","Df")</f>
        <v>#REF!</v>
      </c>
      <c r="EH53">
        <v>227.85684000000001</v>
      </c>
      <c r="EI53">
        <v>8.4164100000000008</v>
      </c>
      <c r="EJ53" t="e">
        <f>IF((ABS($EH$53-$EH$45)/(($EH$53+$EH$45)/2)) &lt;#REF!, "Dp","Df")</f>
        <v>#REF!</v>
      </c>
      <c r="EM53" t="e">
        <f>IF((ABS($EK$53-$EK$45)/(($EK$53+$EK$45)/2)) &lt;#REF!, "Dp","Df")</f>
        <v>#DIV/0!</v>
      </c>
      <c r="EN53">
        <v>4.4355900000000004</v>
      </c>
      <c r="EO53">
        <v>9.4570000000000001E-2</v>
      </c>
      <c r="EP53" t="e">
        <f>IF((ABS($EN$53-$EN$45)/(($EN$53+$EN$45)/2)) &lt;#REF!, "Dp","Df")</f>
        <v>#REF!</v>
      </c>
      <c r="ES53" t="e">
        <f>IF((ABS($EQ$53-$EQ$45)/(($EQ$53+$EQ$45)/2)) &lt;#REF!, "Dp","Df")</f>
        <v>#DIV/0!</v>
      </c>
      <c r="ET53">
        <v>237.92464000000001</v>
      </c>
      <c r="EU53">
        <v>5.28911</v>
      </c>
      <c r="EV53" t="e">
        <f>IF((ABS($ET$53-$ET$45)/(($ET$53+$ET$45)/2)) &lt;#REF!, "Dp","Df")</f>
        <v>#REF!</v>
      </c>
      <c r="EW53">
        <v>3.4590000000000003E-2</v>
      </c>
      <c r="EX53">
        <v>1.4149999999999999E-2</v>
      </c>
      <c r="EY53" t="e">
        <f>IF((ABS($EW$53-$EW$45)/(($EW$53+$EW$45)/2)) &lt;#REF!, "Dp","Df")</f>
        <v>#REF!</v>
      </c>
      <c r="EZ53">
        <v>1.2672600000000001</v>
      </c>
      <c r="FA53">
        <v>9.2079999999999995E-2</v>
      </c>
      <c r="FB53" t="e">
        <f>IF((ABS($EZ$53-$EZ$45)/(($EZ$53+$EZ$45)/2)) &lt;#REF!, "Dp","Df")</f>
        <v>#REF!</v>
      </c>
      <c r="FC53">
        <v>0.53161000000000003</v>
      </c>
      <c r="FD53">
        <v>0.14135</v>
      </c>
      <c r="FE53" t="e">
        <f>IF((ABS($FC$53-$FC$45)/(($FC$53+$FC$45)/2)) &lt;#REF!, "Dp","Df")</f>
        <v>#REF!</v>
      </c>
      <c r="FF53">
        <v>2.59036</v>
      </c>
      <c r="FG53">
        <v>0.12461</v>
      </c>
      <c r="FH53" t="e">
        <f>IF((ABS($FF$53-$FF$45)/(($FF$53+$FF$45)/2)) &lt;#REF!, "Dp","Df")</f>
        <v>#REF!</v>
      </c>
      <c r="FK53" t="e">
        <f>IF((ABS($FI$53-$FI$45)/(($FI$53+$FI$45)/2)) &lt;#REF!, "Dp","Df")</f>
        <v>#DIV/0!</v>
      </c>
      <c r="FN53" t="e">
        <f>IF((ABS($FL$53-$FL$45)/(($FL$53+$FL$45)/2)) &lt;#REF!, "Dp","Df")</f>
        <v>#DIV/0!</v>
      </c>
      <c r="FO53">
        <v>4.5897800000000002</v>
      </c>
      <c r="FP53">
        <v>0.26052999999999998</v>
      </c>
      <c r="FQ53" t="e">
        <f>IF((ABS($FO$53-$FO$45)/(($FO$53+$FO$45)/2)) &lt;#REF!, "Dp","Df")</f>
        <v>#REF!</v>
      </c>
      <c r="FT53" t="e">
        <f>IF((ABS($FR$53-$FR$45)/(($FR$53+$FR$45)/2)) &lt;#REF!, "Dp","Df")</f>
        <v>#DIV/0!</v>
      </c>
      <c r="FU53">
        <v>2</v>
      </c>
      <c r="FX53">
        <v>52</v>
      </c>
    </row>
    <row r="54" spans="2:180" x14ac:dyDescent="0.2">
      <c r="B54" t="s">
        <v>120</v>
      </c>
      <c r="C54">
        <v>0.15916</v>
      </c>
      <c r="D54">
        <v>4.1599999999999996E-3</v>
      </c>
      <c r="E54" t="s">
        <v>442</v>
      </c>
      <c r="F54">
        <v>1.1679999999999999E-2</v>
      </c>
      <c r="G54">
        <v>3.5699999999999998E-3</v>
      </c>
      <c r="H54" t="s">
        <v>439</v>
      </c>
      <c r="I54">
        <v>1.56396</v>
      </c>
      <c r="J54">
        <v>1.108E-2</v>
      </c>
      <c r="K54" t="s">
        <v>442</v>
      </c>
      <c r="L54">
        <v>0.15476000000000001</v>
      </c>
      <c r="M54">
        <v>1.9599999999999999E-3</v>
      </c>
      <c r="N54" t="s">
        <v>442</v>
      </c>
      <c r="O54">
        <v>4.4299999999999999E-3</v>
      </c>
      <c r="P54">
        <v>6.0000000000000002E-5</v>
      </c>
      <c r="Q54" t="s">
        <v>442</v>
      </c>
      <c r="R54">
        <v>0.11396000000000001</v>
      </c>
      <c r="S54">
        <v>6.4000000000000005E-4</v>
      </c>
      <c r="T54" t="s">
        <v>442</v>
      </c>
      <c r="U54">
        <v>9.6000000000000002E-4</v>
      </c>
      <c r="V54">
        <v>6.0000000000000002E-5</v>
      </c>
      <c r="W54" t="s">
        <v>439</v>
      </c>
      <c r="X54">
        <v>1.2529999999999999E-2</v>
      </c>
      <c r="Y54">
        <v>3.8999999999999999E-4</v>
      </c>
      <c r="Z54" t="s">
        <v>439</v>
      </c>
      <c r="AA54">
        <v>0.19647999999999999</v>
      </c>
      <c r="AB54">
        <v>1.6199999999999999E-3</v>
      </c>
      <c r="AC54" t="s">
        <v>442</v>
      </c>
      <c r="AD54">
        <v>0.49081999999999998</v>
      </c>
      <c r="AE54">
        <v>8.0400000000000003E-3</v>
      </c>
      <c r="AF54" t="s">
        <v>442</v>
      </c>
      <c r="AI54" t="s">
        <v>440</v>
      </c>
      <c r="AJ54">
        <v>29.357330000000001</v>
      </c>
      <c r="AK54">
        <v>0.30792999999999998</v>
      </c>
      <c r="AL54" t="s">
        <v>441</v>
      </c>
      <c r="AM54">
        <v>140.40181999999999</v>
      </c>
      <c r="AN54">
        <v>1.88483</v>
      </c>
      <c r="AO54" t="s">
        <v>442</v>
      </c>
      <c r="AP54">
        <v>5.2580000000000002E-2</v>
      </c>
      <c r="AQ54">
        <v>9.5E-4</v>
      </c>
      <c r="AR54" t="s">
        <v>442</v>
      </c>
      <c r="AS54">
        <v>1.29284</v>
      </c>
      <c r="AT54">
        <v>2.9440000000000001E-2</v>
      </c>
      <c r="AU54" t="s">
        <v>442</v>
      </c>
      <c r="AV54">
        <v>1.133E-2</v>
      </c>
      <c r="AW54">
        <v>3.6000000000000002E-4</v>
      </c>
      <c r="AX54" t="s">
        <v>442</v>
      </c>
      <c r="AY54">
        <v>-1.7899999999999999E-3</v>
      </c>
      <c r="AZ54">
        <v>2.3000000000000001E-4</v>
      </c>
      <c r="BA54" t="s">
        <v>439</v>
      </c>
      <c r="BB54">
        <v>3.1900000000000001E-3</v>
      </c>
      <c r="BC54">
        <v>3.3E-4</v>
      </c>
      <c r="BD54" t="s">
        <v>442</v>
      </c>
      <c r="BE54">
        <v>2.4000000000000001E-4</v>
      </c>
      <c r="BF54">
        <v>1.2E-4</v>
      </c>
      <c r="BG54" t="s">
        <v>439</v>
      </c>
      <c r="BH54">
        <v>7.6000000000000004E-4</v>
      </c>
      <c r="BI54">
        <v>1.3999999999999999E-4</v>
      </c>
      <c r="BJ54" t="s">
        <v>439</v>
      </c>
      <c r="BK54">
        <v>1.5200000000000001E-3</v>
      </c>
      <c r="BL54">
        <v>4.0000000000000003E-5</v>
      </c>
      <c r="BM54" t="s">
        <v>439</v>
      </c>
      <c r="BN54">
        <v>-1.2999999999999999E-4</v>
      </c>
      <c r="BO54">
        <v>1E-4</v>
      </c>
      <c r="BP54" t="s">
        <v>439</v>
      </c>
      <c r="BQ54">
        <v>3.81E-3</v>
      </c>
      <c r="BR54">
        <v>5.8E-4</v>
      </c>
      <c r="BS54" t="s">
        <v>442</v>
      </c>
      <c r="BV54" t="s">
        <v>440</v>
      </c>
      <c r="BW54">
        <v>-2.0513699999999999</v>
      </c>
      <c r="BX54">
        <v>2.7E-4</v>
      </c>
      <c r="BY54" t="s">
        <v>439</v>
      </c>
      <c r="BZ54">
        <v>4.82E-2</v>
      </c>
      <c r="CA54">
        <v>6.6E-4</v>
      </c>
      <c r="CB54" t="s">
        <v>442</v>
      </c>
      <c r="CC54">
        <v>6.2681199999999997</v>
      </c>
      <c r="CD54">
        <v>0.11004</v>
      </c>
      <c r="CE54" t="s">
        <v>442</v>
      </c>
      <c r="CF54">
        <v>6.10982</v>
      </c>
      <c r="CG54">
        <v>7.5679999999999997E-2</v>
      </c>
      <c r="CH54" t="s">
        <v>442</v>
      </c>
      <c r="CI54">
        <v>5.9684900000000001</v>
      </c>
      <c r="CJ54">
        <v>7.739E-2</v>
      </c>
      <c r="CK54" t="s">
        <v>442</v>
      </c>
      <c r="CL54">
        <v>1.1041799999999999</v>
      </c>
      <c r="CM54">
        <v>1.9720000000000001E-2</v>
      </c>
      <c r="CN54" t="s">
        <v>442</v>
      </c>
      <c r="CO54">
        <v>298.25331</v>
      </c>
      <c r="CP54">
        <v>12.13311</v>
      </c>
      <c r="CQ54" t="s">
        <v>442</v>
      </c>
      <c r="CR54">
        <v>3.0291199999999998</v>
      </c>
      <c r="CS54">
        <v>0.12604000000000001</v>
      </c>
      <c r="CT54" t="s">
        <v>442</v>
      </c>
      <c r="CU54">
        <v>3.6127899999999999</v>
      </c>
      <c r="CV54">
        <v>0.18407000000000001</v>
      </c>
      <c r="CW54" t="s">
        <v>442</v>
      </c>
      <c r="CX54">
        <v>97.683480000000003</v>
      </c>
      <c r="CY54">
        <v>5.2190700000000003</v>
      </c>
      <c r="CZ54" t="s">
        <v>442</v>
      </c>
      <c r="DA54">
        <v>74.760499999999993</v>
      </c>
      <c r="DB54">
        <v>3.3576299999999999</v>
      </c>
      <c r="DC54" t="s">
        <v>442</v>
      </c>
      <c r="DD54">
        <v>297.15537999999998</v>
      </c>
      <c r="DE54">
        <v>11.21561</v>
      </c>
      <c r="DF54" t="s">
        <v>442</v>
      </c>
      <c r="DG54">
        <v>22.514959999999999</v>
      </c>
      <c r="DH54">
        <v>1.2656400000000001</v>
      </c>
      <c r="DI54" t="s">
        <v>442</v>
      </c>
      <c r="DJ54">
        <v>0.15901000000000001</v>
      </c>
      <c r="DK54">
        <v>1.2359999999999999E-2</v>
      </c>
      <c r="DL54" t="s">
        <v>442</v>
      </c>
      <c r="DM54">
        <v>5.5199999999999997E-3</v>
      </c>
      <c r="DN54">
        <v>4.8000000000000001E-4</v>
      </c>
      <c r="DO54" t="s">
        <v>442</v>
      </c>
      <c r="DP54">
        <v>0.22201000000000001</v>
      </c>
      <c r="DQ54">
        <v>1.0290000000000001E-2</v>
      </c>
      <c r="DR54" t="s">
        <v>442</v>
      </c>
      <c r="DS54">
        <v>0.71916999999999998</v>
      </c>
      <c r="DT54">
        <v>4.4929999999999998E-2</v>
      </c>
      <c r="DU54" t="s">
        <v>442</v>
      </c>
      <c r="DV54">
        <v>10.53313</v>
      </c>
      <c r="DW54">
        <v>0.71499999999999997</v>
      </c>
      <c r="DX54" t="s">
        <v>442</v>
      </c>
      <c r="DY54">
        <v>0.20238</v>
      </c>
      <c r="DZ54">
        <v>1.558E-2</v>
      </c>
      <c r="EA54" t="s">
        <v>442</v>
      </c>
      <c r="EB54">
        <v>0.60507999999999995</v>
      </c>
      <c r="EC54">
        <v>3.6670000000000001E-2</v>
      </c>
      <c r="ED54" t="s">
        <v>442</v>
      </c>
      <c r="EE54">
        <v>6.6807999999999996</v>
      </c>
      <c r="EF54">
        <v>0.51576999999999995</v>
      </c>
      <c r="EG54" t="s">
        <v>442</v>
      </c>
      <c r="EH54">
        <v>1354.3766499999999</v>
      </c>
      <c r="EI54">
        <v>101.28834000000001</v>
      </c>
      <c r="EJ54" t="s">
        <v>442</v>
      </c>
      <c r="EM54" t="s">
        <v>440</v>
      </c>
      <c r="EN54">
        <v>33.4925</v>
      </c>
      <c r="EO54">
        <v>2.8925100000000001</v>
      </c>
      <c r="EP54" t="s">
        <v>442</v>
      </c>
      <c r="ES54" t="s">
        <v>440</v>
      </c>
      <c r="ET54">
        <v>412.34557999999998</v>
      </c>
      <c r="EU54">
        <v>10.058479999999999</v>
      </c>
      <c r="EV54" t="s">
        <v>442</v>
      </c>
      <c r="EW54">
        <v>0.12137000000000001</v>
      </c>
      <c r="EX54">
        <v>1.8339999999999999E-2</v>
      </c>
      <c r="EY54" t="s">
        <v>442</v>
      </c>
      <c r="EZ54">
        <v>359.64618999999999</v>
      </c>
      <c r="FA54">
        <v>8.85886</v>
      </c>
      <c r="FB54" t="s">
        <v>442</v>
      </c>
      <c r="FC54">
        <v>2.86449</v>
      </c>
      <c r="FD54">
        <v>0.20305000000000001</v>
      </c>
      <c r="FE54" t="s">
        <v>442</v>
      </c>
      <c r="FF54">
        <v>4.3844200000000004</v>
      </c>
      <c r="FG54">
        <v>0.17977000000000001</v>
      </c>
      <c r="FH54" t="s">
        <v>441</v>
      </c>
      <c r="FK54" t="s">
        <v>440</v>
      </c>
      <c r="FN54" t="s">
        <v>440</v>
      </c>
      <c r="FO54">
        <v>33.096580000000003</v>
      </c>
      <c r="FP54">
        <v>0.10194</v>
      </c>
      <c r="FQ54" t="s">
        <v>441</v>
      </c>
      <c r="FT54" t="s">
        <v>440</v>
      </c>
      <c r="FX54">
        <v>53</v>
      </c>
    </row>
    <row r="55" spans="2:180" x14ac:dyDescent="0.2">
      <c r="B55" t="s">
        <v>121</v>
      </c>
      <c r="C55">
        <v>0.23444999999999999</v>
      </c>
      <c r="D55">
        <v>2.65E-3</v>
      </c>
      <c r="E55" t="s">
        <v>442</v>
      </c>
      <c r="F55">
        <v>1.4930000000000001E-2</v>
      </c>
      <c r="G55">
        <v>8.5999999999999998E-4</v>
      </c>
      <c r="H55" t="s">
        <v>439</v>
      </c>
      <c r="I55">
        <v>2.38504</v>
      </c>
      <c r="J55">
        <v>3.8940000000000002E-2</v>
      </c>
      <c r="K55" t="s">
        <v>442</v>
      </c>
      <c r="L55">
        <v>8.0089999999999995E-2</v>
      </c>
      <c r="M55">
        <v>1.4499999999999999E-3</v>
      </c>
      <c r="N55" t="s">
        <v>442</v>
      </c>
      <c r="O55">
        <v>4.1599999999999996E-3</v>
      </c>
      <c r="P55">
        <v>9.0000000000000006E-5</v>
      </c>
      <c r="Q55" t="s">
        <v>442</v>
      </c>
      <c r="R55">
        <v>0.13966999999999999</v>
      </c>
      <c r="S55">
        <v>3.16E-3</v>
      </c>
      <c r="T55" t="s">
        <v>442</v>
      </c>
      <c r="U55">
        <v>1.0399999999999999E-3</v>
      </c>
      <c r="V55">
        <v>8.0000000000000007E-5</v>
      </c>
      <c r="W55" t="s">
        <v>439</v>
      </c>
      <c r="X55">
        <v>1.251E-2</v>
      </c>
      <c r="Y55">
        <v>6.4999999999999997E-4</v>
      </c>
      <c r="Z55" t="s">
        <v>439</v>
      </c>
      <c r="AA55">
        <v>0.10881</v>
      </c>
      <c r="AB55">
        <v>3.2200000000000002E-3</v>
      </c>
      <c r="AC55" t="s">
        <v>442</v>
      </c>
      <c r="AD55">
        <v>0.76026000000000005</v>
      </c>
      <c r="AE55">
        <v>1.5599999999999999E-2</v>
      </c>
      <c r="AF55" t="s">
        <v>442</v>
      </c>
      <c r="AI55" t="s">
        <v>440</v>
      </c>
      <c r="AJ55">
        <v>43.957120000000003</v>
      </c>
      <c r="AK55">
        <v>0.62592000000000003</v>
      </c>
      <c r="AL55" t="s">
        <v>441</v>
      </c>
      <c r="AM55">
        <v>218.71601000000001</v>
      </c>
      <c r="AN55">
        <v>3.4864299999999999</v>
      </c>
      <c r="AO55" t="s">
        <v>442</v>
      </c>
      <c r="AP55">
        <v>8.523E-2</v>
      </c>
      <c r="AQ55">
        <v>2.0200000000000001E-3</v>
      </c>
      <c r="AR55" t="s">
        <v>442</v>
      </c>
      <c r="AS55">
        <v>1.4276800000000001</v>
      </c>
      <c r="AT55">
        <v>1.2160000000000001E-2</v>
      </c>
      <c r="AU55" t="s">
        <v>442</v>
      </c>
      <c r="AV55">
        <v>1.6219999999999998E-2</v>
      </c>
      <c r="AW55">
        <v>3.8999999999999999E-4</v>
      </c>
      <c r="AX55" t="s">
        <v>442</v>
      </c>
      <c r="AY55">
        <v>-3.7599999999999999E-3</v>
      </c>
      <c r="AZ55">
        <v>6.0000000000000002E-5</v>
      </c>
      <c r="BA55" t="s">
        <v>439</v>
      </c>
      <c r="BB55">
        <v>2.7000000000000001E-3</v>
      </c>
      <c r="BC55">
        <v>2.5000000000000001E-4</v>
      </c>
      <c r="BD55" t="s">
        <v>442</v>
      </c>
      <c r="BE55">
        <v>6.0999999999999997E-4</v>
      </c>
      <c r="BF55">
        <v>2.7E-4</v>
      </c>
      <c r="BG55" t="s">
        <v>439</v>
      </c>
      <c r="BH55">
        <v>5.5999999999999995E-4</v>
      </c>
      <c r="BI55">
        <v>1.2999999999999999E-4</v>
      </c>
      <c r="BJ55" t="s">
        <v>439</v>
      </c>
      <c r="BK55">
        <v>1.5E-3</v>
      </c>
      <c r="BL55">
        <v>1.0000000000000001E-5</v>
      </c>
      <c r="BM55" t="s">
        <v>439</v>
      </c>
      <c r="BN55">
        <v>-5.0000000000000002E-5</v>
      </c>
      <c r="BO55">
        <v>6.0000000000000002E-5</v>
      </c>
      <c r="BP55" t="s">
        <v>439</v>
      </c>
      <c r="BQ55">
        <v>7.9460000000000003E-2</v>
      </c>
      <c r="BR55">
        <v>1.9599999999999999E-3</v>
      </c>
      <c r="BS55" t="s">
        <v>442</v>
      </c>
      <c r="BV55" t="s">
        <v>440</v>
      </c>
      <c r="BW55">
        <v>-2.0512999999999999</v>
      </c>
      <c r="BX55">
        <v>2.3000000000000001E-4</v>
      </c>
      <c r="BY55" t="s">
        <v>439</v>
      </c>
      <c r="BZ55">
        <v>5.0799999999999998E-2</v>
      </c>
      <c r="CA55">
        <v>1.17E-3</v>
      </c>
      <c r="CB55" t="s">
        <v>442</v>
      </c>
      <c r="CC55">
        <v>9.9048800000000004</v>
      </c>
      <c r="CD55">
        <v>0.36336000000000002</v>
      </c>
      <c r="CE55" t="s">
        <v>442</v>
      </c>
      <c r="CF55">
        <v>9.6657899999999994</v>
      </c>
      <c r="CG55">
        <v>0.43480999999999997</v>
      </c>
      <c r="CH55" t="s">
        <v>442</v>
      </c>
      <c r="CI55">
        <v>9.2993199999999998</v>
      </c>
      <c r="CJ55">
        <v>0.34239999999999998</v>
      </c>
      <c r="CK55" t="s">
        <v>442</v>
      </c>
      <c r="CL55">
        <v>1.6648099999999999</v>
      </c>
      <c r="CM55">
        <v>4.8180000000000001E-2</v>
      </c>
      <c r="CN55" t="s">
        <v>442</v>
      </c>
      <c r="CO55">
        <v>447.30685</v>
      </c>
      <c r="CP55">
        <v>7.9080500000000002</v>
      </c>
      <c r="CQ55" t="s">
        <v>442</v>
      </c>
      <c r="CR55">
        <v>2.0879500000000002</v>
      </c>
      <c r="CS55">
        <v>3.1379999999999998E-2</v>
      </c>
      <c r="CT55" t="s">
        <v>442</v>
      </c>
      <c r="CU55">
        <v>1.83369</v>
      </c>
      <c r="CV55">
        <v>5.9650000000000002E-2</v>
      </c>
      <c r="CW55" t="s">
        <v>442</v>
      </c>
      <c r="CX55">
        <v>159.15243000000001</v>
      </c>
      <c r="CY55">
        <v>3.1413099999999998</v>
      </c>
      <c r="CZ55" t="s">
        <v>442</v>
      </c>
      <c r="DA55">
        <v>74.925600000000003</v>
      </c>
      <c r="DB55">
        <v>1.11642</v>
      </c>
      <c r="DC55" t="s">
        <v>442</v>
      </c>
      <c r="DD55">
        <v>455.15606000000002</v>
      </c>
      <c r="DE55">
        <v>6.3015800000000004</v>
      </c>
      <c r="DF55" t="s">
        <v>442</v>
      </c>
      <c r="DG55">
        <v>22.714559999999999</v>
      </c>
      <c r="DH55">
        <v>7.1309999999999998E-2</v>
      </c>
      <c r="DI55" t="s">
        <v>442</v>
      </c>
      <c r="DJ55">
        <v>7.1849999999999997E-2</v>
      </c>
      <c r="DK55">
        <v>1.32E-3</v>
      </c>
      <c r="DL55" t="s">
        <v>442</v>
      </c>
      <c r="DM55">
        <v>4.3E-3</v>
      </c>
      <c r="DN55">
        <v>2.4000000000000001E-4</v>
      </c>
      <c r="DO55" t="s">
        <v>442</v>
      </c>
      <c r="DP55">
        <v>0.14893999999999999</v>
      </c>
      <c r="DQ55">
        <v>2.5000000000000001E-3</v>
      </c>
      <c r="DR55" t="s">
        <v>442</v>
      </c>
      <c r="DS55">
        <v>1.1621900000000001</v>
      </c>
      <c r="DT55">
        <v>1.4599999999999999E-3</v>
      </c>
      <c r="DU55" t="s">
        <v>442</v>
      </c>
      <c r="DV55">
        <v>11.257989999999999</v>
      </c>
      <c r="DW55">
        <v>0.24601000000000001</v>
      </c>
      <c r="DX55" t="s">
        <v>442</v>
      </c>
      <c r="DY55">
        <v>0.33783999999999997</v>
      </c>
      <c r="DZ55">
        <v>1.6800000000000001E-3</v>
      </c>
      <c r="EA55" t="s">
        <v>442</v>
      </c>
      <c r="EB55">
        <v>1.8296699999999999</v>
      </c>
      <c r="EC55">
        <v>1.337E-2</v>
      </c>
      <c r="ED55" t="s">
        <v>442</v>
      </c>
      <c r="EE55">
        <v>9.0390899999999998</v>
      </c>
      <c r="EF55">
        <v>2.248E-2</v>
      </c>
      <c r="EG55" t="s">
        <v>442</v>
      </c>
      <c r="EH55">
        <v>2199.16815</v>
      </c>
      <c r="EI55">
        <v>46.869329999999998</v>
      </c>
      <c r="EJ55" t="s">
        <v>442</v>
      </c>
      <c r="EM55" t="s">
        <v>440</v>
      </c>
      <c r="EN55">
        <v>52.184049999999999</v>
      </c>
      <c r="EO55">
        <v>1.16195</v>
      </c>
      <c r="EP55" t="s">
        <v>442</v>
      </c>
      <c r="ES55" t="s">
        <v>440</v>
      </c>
      <c r="ET55">
        <v>623.87396000000001</v>
      </c>
      <c r="EU55">
        <v>8.0958900000000007</v>
      </c>
      <c r="EV55" t="s">
        <v>442</v>
      </c>
      <c r="EW55">
        <v>0.21332000000000001</v>
      </c>
      <c r="EX55">
        <v>3.022E-2</v>
      </c>
      <c r="EY55" t="s">
        <v>442</v>
      </c>
      <c r="EZ55">
        <v>362.01510999999999</v>
      </c>
      <c r="FA55">
        <v>4.4075499999999996</v>
      </c>
      <c r="FB55" t="s">
        <v>442</v>
      </c>
      <c r="FC55">
        <v>3.8444600000000002</v>
      </c>
      <c r="FD55">
        <v>0.34932999999999997</v>
      </c>
      <c r="FE55" t="s">
        <v>442</v>
      </c>
      <c r="FF55">
        <v>4.7804599999999997</v>
      </c>
      <c r="FG55">
        <v>0.21387</v>
      </c>
      <c r="FH55" t="s">
        <v>441</v>
      </c>
      <c r="FK55" t="s">
        <v>440</v>
      </c>
      <c r="FN55" t="s">
        <v>440</v>
      </c>
      <c r="FO55">
        <v>50.128540000000001</v>
      </c>
      <c r="FP55">
        <v>0.71531999999999996</v>
      </c>
      <c r="FQ55" t="s">
        <v>441</v>
      </c>
      <c r="FT55" t="s">
        <v>440</v>
      </c>
      <c r="FX55">
        <v>54</v>
      </c>
    </row>
    <row r="56" spans="2:180" x14ac:dyDescent="0.2">
      <c r="B56" t="s">
        <v>122</v>
      </c>
      <c r="C56">
        <v>0.31415999999999999</v>
      </c>
      <c r="D56">
        <v>5.0899999999999999E-3</v>
      </c>
      <c r="E56" t="s">
        <v>442</v>
      </c>
      <c r="F56">
        <v>1.4590000000000001E-2</v>
      </c>
      <c r="G56">
        <v>4.6699999999999997E-3</v>
      </c>
      <c r="H56" t="s">
        <v>439</v>
      </c>
      <c r="I56">
        <v>3.5887199999999999</v>
      </c>
      <c r="J56">
        <v>3.3300000000000003E-2</v>
      </c>
      <c r="K56" t="s">
        <v>442</v>
      </c>
      <c r="L56">
        <v>9.042E-2</v>
      </c>
      <c r="M56">
        <v>1.0300000000000001E-3</v>
      </c>
      <c r="N56" t="s">
        <v>442</v>
      </c>
      <c r="O56">
        <v>4.1099999999999999E-3</v>
      </c>
      <c r="P56">
        <v>6.9999999999999994E-5</v>
      </c>
      <c r="Q56" t="s">
        <v>442</v>
      </c>
      <c r="R56">
        <v>0.20108000000000001</v>
      </c>
      <c r="S56">
        <v>2.65E-3</v>
      </c>
      <c r="T56" t="s">
        <v>442</v>
      </c>
      <c r="U56">
        <v>1.2800000000000001E-3</v>
      </c>
      <c r="V56">
        <v>6.0000000000000002E-5</v>
      </c>
      <c r="W56" t="s">
        <v>439</v>
      </c>
      <c r="X56">
        <v>1.273E-2</v>
      </c>
      <c r="Y56">
        <v>3.8000000000000002E-4</v>
      </c>
      <c r="Z56" t="s">
        <v>439</v>
      </c>
      <c r="AA56">
        <v>0.12978000000000001</v>
      </c>
      <c r="AB56">
        <v>3.3800000000000002E-3</v>
      </c>
      <c r="AC56" t="s">
        <v>442</v>
      </c>
      <c r="AD56">
        <v>1.0079100000000001</v>
      </c>
      <c r="AE56">
        <v>5.4999999999999997E-3</v>
      </c>
      <c r="AF56" t="s">
        <v>442</v>
      </c>
      <c r="AI56" t="s">
        <v>440</v>
      </c>
      <c r="AJ56">
        <v>60.705719999999999</v>
      </c>
      <c r="AK56">
        <v>0.40256999999999998</v>
      </c>
      <c r="AL56" t="s">
        <v>441</v>
      </c>
      <c r="AM56">
        <v>290.44018</v>
      </c>
      <c r="AN56">
        <v>1.2108000000000001</v>
      </c>
      <c r="AO56" t="s">
        <v>442</v>
      </c>
      <c r="AP56">
        <v>0.13108</v>
      </c>
      <c r="AQ56">
        <v>7.1000000000000002E-4</v>
      </c>
      <c r="AR56" t="s">
        <v>442</v>
      </c>
      <c r="AS56">
        <v>1.7424599999999999</v>
      </c>
      <c r="AT56">
        <v>1.9220000000000001E-2</v>
      </c>
      <c r="AU56" t="s">
        <v>442</v>
      </c>
      <c r="AV56">
        <v>2.2190000000000001E-2</v>
      </c>
      <c r="AW56">
        <v>3.6999999999999999E-4</v>
      </c>
      <c r="AX56" t="s">
        <v>442</v>
      </c>
      <c r="AY56">
        <v>-2.5600000000000002E-3</v>
      </c>
      <c r="AZ56">
        <v>1.8000000000000001E-4</v>
      </c>
      <c r="BA56" t="s">
        <v>439</v>
      </c>
      <c r="BB56">
        <v>3.0000000000000001E-3</v>
      </c>
      <c r="BC56">
        <v>3.1E-4</v>
      </c>
      <c r="BD56" t="s">
        <v>442</v>
      </c>
      <c r="BE56">
        <v>5.1000000000000004E-4</v>
      </c>
      <c r="BF56">
        <v>1.1E-4</v>
      </c>
      <c r="BG56" t="s">
        <v>439</v>
      </c>
      <c r="BH56">
        <v>6.9999999999999999E-4</v>
      </c>
      <c r="BI56">
        <v>2.7999999999999998E-4</v>
      </c>
      <c r="BJ56" t="s">
        <v>439</v>
      </c>
      <c r="BK56">
        <v>1.5299999999999999E-3</v>
      </c>
      <c r="BL56">
        <v>1.0000000000000001E-5</v>
      </c>
      <c r="BM56" t="s">
        <v>439</v>
      </c>
      <c r="BN56">
        <v>-1.2999999999999999E-4</v>
      </c>
      <c r="BO56">
        <v>1.2999999999999999E-4</v>
      </c>
      <c r="BP56" t="s">
        <v>439</v>
      </c>
      <c r="BQ56">
        <v>5.45E-3</v>
      </c>
      <c r="BR56">
        <v>7.6999999999999996E-4</v>
      </c>
      <c r="BS56" t="s">
        <v>442</v>
      </c>
      <c r="BV56" t="s">
        <v>440</v>
      </c>
      <c r="BW56">
        <v>-2.0514399999999999</v>
      </c>
      <c r="BX56">
        <v>2.3000000000000001E-4</v>
      </c>
      <c r="BY56" t="s">
        <v>439</v>
      </c>
      <c r="BZ56">
        <v>9.9669999999999995E-2</v>
      </c>
      <c r="CA56">
        <v>2.0999999999999999E-3</v>
      </c>
      <c r="CB56" t="s">
        <v>442</v>
      </c>
      <c r="CC56">
        <v>11.920030000000001</v>
      </c>
      <c r="CD56">
        <v>0.11706</v>
      </c>
      <c r="CE56" t="s">
        <v>442</v>
      </c>
      <c r="CF56">
        <v>12.45387</v>
      </c>
      <c r="CG56">
        <v>0.14504</v>
      </c>
      <c r="CH56" t="s">
        <v>442</v>
      </c>
      <c r="CI56">
        <v>11.94614</v>
      </c>
      <c r="CJ56">
        <v>0.13885</v>
      </c>
      <c r="CK56" t="s">
        <v>442</v>
      </c>
      <c r="CL56">
        <v>2.5006400000000002</v>
      </c>
      <c r="CM56">
        <v>1.264E-2</v>
      </c>
      <c r="CN56" t="s">
        <v>442</v>
      </c>
      <c r="CO56">
        <v>677.63090999999997</v>
      </c>
      <c r="CP56">
        <v>34.559980000000003</v>
      </c>
      <c r="CQ56" t="s">
        <v>442</v>
      </c>
      <c r="CR56">
        <v>1.5402899999999999</v>
      </c>
      <c r="CS56">
        <v>8.9260000000000006E-2</v>
      </c>
      <c r="CT56" t="s">
        <v>442</v>
      </c>
      <c r="CU56">
        <v>2.8477999999999999</v>
      </c>
      <c r="CV56">
        <v>0.15462999999999999</v>
      </c>
      <c r="CW56" t="s">
        <v>442</v>
      </c>
      <c r="CX56">
        <v>195.74615</v>
      </c>
      <c r="CY56">
        <v>10.59412</v>
      </c>
      <c r="CZ56" t="s">
        <v>442</v>
      </c>
      <c r="DA56">
        <v>137.87325999999999</v>
      </c>
      <c r="DB56">
        <v>6.6596900000000003</v>
      </c>
      <c r="DC56" t="s">
        <v>442</v>
      </c>
      <c r="DD56">
        <v>673.63165000000004</v>
      </c>
      <c r="DE56">
        <v>19.958120000000001</v>
      </c>
      <c r="DF56" t="s">
        <v>442</v>
      </c>
      <c r="DG56">
        <v>26.115860000000001</v>
      </c>
      <c r="DH56">
        <v>0.96611000000000002</v>
      </c>
      <c r="DI56" t="s">
        <v>442</v>
      </c>
      <c r="DJ56">
        <v>6.9610000000000005E-2</v>
      </c>
      <c r="DK56">
        <v>1.128E-2</v>
      </c>
      <c r="DL56" t="s">
        <v>442</v>
      </c>
      <c r="DM56">
        <v>7.1900000000000002E-3</v>
      </c>
      <c r="DN56">
        <v>9.7000000000000005E-4</v>
      </c>
      <c r="DO56" t="s">
        <v>442</v>
      </c>
      <c r="DP56">
        <v>0.32380999999999999</v>
      </c>
      <c r="DQ56">
        <v>1.0699999999999999E-2</v>
      </c>
      <c r="DR56" t="s">
        <v>442</v>
      </c>
      <c r="DS56">
        <v>1.00786</v>
      </c>
      <c r="DT56">
        <v>5.8749999999999997E-2</v>
      </c>
      <c r="DU56" t="s">
        <v>442</v>
      </c>
      <c r="DV56">
        <v>9.0236199999999993</v>
      </c>
      <c r="DW56">
        <v>0.41121999999999997</v>
      </c>
      <c r="DX56" t="s">
        <v>442</v>
      </c>
      <c r="DY56">
        <v>0.39983999999999997</v>
      </c>
      <c r="DZ56">
        <v>9.8399999999999998E-3</v>
      </c>
      <c r="EA56" t="s">
        <v>442</v>
      </c>
      <c r="EB56">
        <v>0.40078999999999998</v>
      </c>
      <c r="EC56">
        <v>1.5140000000000001E-2</v>
      </c>
      <c r="ED56" t="s">
        <v>442</v>
      </c>
      <c r="EE56">
        <v>13.54477</v>
      </c>
      <c r="EF56">
        <v>0.65378000000000003</v>
      </c>
      <c r="EG56" t="s">
        <v>442</v>
      </c>
      <c r="EH56">
        <v>2654.4677099999999</v>
      </c>
      <c r="EI56">
        <v>146.76259999999999</v>
      </c>
      <c r="EJ56" t="s">
        <v>442</v>
      </c>
      <c r="EM56" t="s">
        <v>440</v>
      </c>
      <c r="EN56">
        <v>74.032690000000002</v>
      </c>
      <c r="EO56">
        <v>4.4335100000000001</v>
      </c>
      <c r="EP56" t="s">
        <v>442</v>
      </c>
      <c r="ES56" t="s">
        <v>440</v>
      </c>
      <c r="ET56">
        <v>962.48104999999998</v>
      </c>
      <c r="EU56">
        <v>17.011109999999999</v>
      </c>
      <c r="EV56" t="s">
        <v>442</v>
      </c>
      <c r="EW56">
        <v>0.27544999999999997</v>
      </c>
      <c r="EX56">
        <v>8.6400000000000001E-3</v>
      </c>
      <c r="EY56" t="s">
        <v>442</v>
      </c>
      <c r="EZ56">
        <v>245.09532999999999</v>
      </c>
      <c r="FA56">
        <v>2.2493400000000001</v>
      </c>
      <c r="FB56" t="s">
        <v>442</v>
      </c>
      <c r="FC56">
        <v>5.1064100000000003</v>
      </c>
      <c r="FD56">
        <v>0.27634999999999998</v>
      </c>
      <c r="FE56" t="s">
        <v>442</v>
      </c>
      <c r="FF56">
        <v>7.2463499999999996</v>
      </c>
      <c r="FG56">
        <v>0.37113000000000002</v>
      </c>
      <c r="FH56" t="s">
        <v>441</v>
      </c>
      <c r="FK56" t="s">
        <v>440</v>
      </c>
      <c r="FN56" t="s">
        <v>440</v>
      </c>
      <c r="FO56">
        <v>72.484830000000002</v>
      </c>
      <c r="FP56">
        <v>1.43164</v>
      </c>
      <c r="FQ56" t="s">
        <v>441</v>
      </c>
      <c r="FT56" t="s">
        <v>440</v>
      </c>
      <c r="FX56">
        <v>55</v>
      </c>
    </row>
    <row r="57" spans="2:180" x14ac:dyDescent="0.2">
      <c r="B57" t="s">
        <v>123</v>
      </c>
      <c r="C57">
        <v>0.25213000000000002</v>
      </c>
      <c r="D57">
        <v>5.5700000000000003E-3</v>
      </c>
      <c r="E57" t="s">
        <v>442</v>
      </c>
      <c r="F57">
        <v>1.44E-2</v>
      </c>
      <c r="G57">
        <v>2.0999999999999999E-3</v>
      </c>
      <c r="H57" t="s">
        <v>439</v>
      </c>
      <c r="I57">
        <v>2.8656000000000001</v>
      </c>
      <c r="J57">
        <v>4.3279999999999999E-2</v>
      </c>
      <c r="K57" t="s">
        <v>442</v>
      </c>
      <c r="L57">
        <v>6.9470000000000004E-2</v>
      </c>
      <c r="M57">
        <v>1.65E-3</v>
      </c>
      <c r="N57" t="s">
        <v>442</v>
      </c>
      <c r="O57">
        <v>9.7000000000000003E-3</v>
      </c>
      <c r="P57">
        <v>3.2000000000000003E-4</v>
      </c>
      <c r="Q57" t="s">
        <v>442</v>
      </c>
      <c r="R57">
        <v>0.15883</v>
      </c>
      <c r="S57">
        <v>2.5799999999999998E-3</v>
      </c>
      <c r="T57" t="s">
        <v>442</v>
      </c>
      <c r="U57">
        <v>1.34E-3</v>
      </c>
      <c r="V57">
        <v>5.0000000000000002E-5</v>
      </c>
      <c r="W57" t="s">
        <v>439</v>
      </c>
      <c r="X57">
        <v>1.357E-2</v>
      </c>
      <c r="Y57">
        <v>3.6999999999999999E-4</v>
      </c>
      <c r="Z57" t="s">
        <v>439</v>
      </c>
      <c r="AA57">
        <v>0.15236</v>
      </c>
      <c r="AB57">
        <v>2.1199999999999999E-3</v>
      </c>
      <c r="AC57" t="s">
        <v>442</v>
      </c>
      <c r="AD57">
        <v>0.85458000000000001</v>
      </c>
      <c r="AE57">
        <v>3.2299999999999998E-3</v>
      </c>
      <c r="AF57" t="s">
        <v>442</v>
      </c>
      <c r="AI57" t="s">
        <v>440</v>
      </c>
      <c r="AJ57">
        <v>70.106350000000006</v>
      </c>
      <c r="AK57">
        <v>1.9943200000000001</v>
      </c>
      <c r="AL57" t="s">
        <v>441</v>
      </c>
      <c r="AM57">
        <v>307.83255000000003</v>
      </c>
      <c r="AN57">
        <v>9.8912700000000005</v>
      </c>
      <c r="AO57" t="s">
        <v>442</v>
      </c>
      <c r="AP57">
        <v>0.1032</v>
      </c>
      <c r="AQ57">
        <v>2.4299999999999999E-3</v>
      </c>
      <c r="AR57" t="s">
        <v>442</v>
      </c>
      <c r="AS57">
        <v>1.40652</v>
      </c>
      <c r="AT57">
        <v>2.282E-2</v>
      </c>
      <c r="AU57" t="s">
        <v>442</v>
      </c>
      <c r="AV57">
        <v>2.1950000000000001E-2</v>
      </c>
      <c r="AW57">
        <v>1.2E-4</v>
      </c>
      <c r="AX57" t="s">
        <v>442</v>
      </c>
      <c r="AY57">
        <v>-3.3899999999999998E-3</v>
      </c>
      <c r="AZ57">
        <v>6.0000000000000002E-5</v>
      </c>
      <c r="BA57" t="s">
        <v>439</v>
      </c>
      <c r="BB57">
        <v>2.3999999999999998E-3</v>
      </c>
      <c r="BC57">
        <v>2.2000000000000001E-4</v>
      </c>
      <c r="BD57" t="s">
        <v>442</v>
      </c>
      <c r="BE57">
        <v>6.0999999999999997E-4</v>
      </c>
      <c r="BF57">
        <v>1.3999999999999999E-4</v>
      </c>
      <c r="BG57" t="s">
        <v>439</v>
      </c>
      <c r="BH57">
        <v>6.8000000000000005E-4</v>
      </c>
      <c r="BI57">
        <v>2.7999999999999998E-4</v>
      </c>
      <c r="BJ57" t="s">
        <v>439</v>
      </c>
      <c r="BK57">
        <v>1.5100000000000001E-3</v>
      </c>
      <c r="BL57">
        <v>0</v>
      </c>
      <c r="BM57" t="s">
        <v>439</v>
      </c>
      <c r="BN57">
        <v>-1.6000000000000001E-4</v>
      </c>
      <c r="BO57">
        <v>3.0000000000000001E-5</v>
      </c>
      <c r="BP57" t="s">
        <v>439</v>
      </c>
      <c r="BQ57">
        <v>6.1799999999999997E-3</v>
      </c>
      <c r="BR57">
        <v>3.6999999999999999E-4</v>
      </c>
      <c r="BS57" t="s">
        <v>442</v>
      </c>
      <c r="BV57" t="s">
        <v>440</v>
      </c>
      <c r="BW57">
        <v>-2.0513499999999998</v>
      </c>
      <c r="BX57">
        <v>4.2999999999999999E-4</v>
      </c>
      <c r="BY57" t="s">
        <v>439</v>
      </c>
      <c r="BZ57">
        <v>6.5509999999999999E-2</v>
      </c>
      <c r="CA57">
        <v>9.7999999999999997E-4</v>
      </c>
      <c r="CB57" t="s">
        <v>442</v>
      </c>
      <c r="CC57">
        <v>10.568110000000001</v>
      </c>
      <c r="CD57">
        <v>0.36153999999999997</v>
      </c>
      <c r="CE57" t="s">
        <v>442</v>
      </c>
      <c r="CF57">
        <v>10.777749999999999</v>
      </c>
      <c r="CG57">
        <v>0.19636999999999999</v>
      </c>
      <c r="CH57" t="s">
        <v>442</v>
      </c>
      <c r="CI57">
        <v>10.289020000000001</v>
      </c>
      <c r="CJ57">
        <v>0.16608000000000001</v>
      </c>
      <c r="CK57" t="s">
        <v>442</v>
      </c>
      <c r="CL57">
        <v>2.5045000000000002</v>
      </c>
      <c r="CM57">
        <v>3.3399999999999999E-2</v>
      </c>
      <c r="CN57" t="s">
        <v>442</v>
      </c>
      <c r="CO57">
        <v>631.00444000000005</v>
      </c>
      <c r="CP57">
        <v>6.8946699999999996</v>
      </c>
      <c r="CQ57" t="s">
        <v>442</v>
      </c>
      <c r="CR57">
        <v>1.6296600000000001</v>
      </c>
      <c r="CS57">
        <v>0.11792</v>
      </c>
      <c r="CT57" t="s">
        <v>442</v>
      </c>
      <c r="CU57">
        <v>3.0150299999999999</v>
      </c>
      <c r="CV57">
        <v>5.7029999999999997E-2</v>
      </c>
      <c r="CW57" t="s">
        <v>442</v>
      </c>
      <c r="CX57">
        <v>169.65450000000001</v>
      </c>
      <c r="CY57">
        <v>2.8597600000000001</v>
      </c>
      <c r="CZ57" t="s">
        <v>442</v>
      </c>
      <c r="DA57">
        <v>304.24603000000002</v>
      </c>
      <c r="DB57">
        <v>6.8878700000000004</v>
      </c>
      <c r="DC57" t="s">
        <v>442</v>
      </c>
      <c r="DD57">
        <v>517.09007999999994</v>
      </c>
      <c r="DE57">
        <v>9.9235000000000007</v>
      </c>
      <c r="DF57" t="s">
        <v>442</v>
      </c>
      <c r="DG57">
        <v>16.801079999999999</v>
      </c>
      <c r="DH57">
        <v>5.3589999999999999E-2</v>
      </c>
      <c r="DI57" t="s">
        <v>442</v>
      </c>
      <c r="DJ57">
        <v>7.1260000000000004E-2</v>
      </c>
      <c r="DK57">
        <v>4.9100000000000003E-3</v>
      </c>
      <c r="DL57" t="s">
        <v>442</v>
      </c>
      <c r="DM57">
        <v>5.9199999999999999E-3</v>
      </c>
      <c r="DN57">
        <v>6.6E-4</v>
      </c>
      <c r="DO57" t="s">
        <v>442</v>
      </c>
      <c r="DP57">
        <v>0.20332</v>
      </c>
      <c r="DQ57">
        <v>6.0000000000000001E-3</v>
      </c>
      <c r="DR57" t="s">
        <v>442</v>
      </c>
      <c r="DS57">
        <v>0.60992000000000002</v>
      </c>
      <c r="DT57">
        <v>9.6600000000000002E-3</v>
      </c>
      <c r="DU57" t="s">
        <v>442</v>
      </c>
      <c r="DV57">
        <v>5.5802800000000001</v>
      </c>
      <c r="DW57">
        <v>9.1560000000000002E-2</v>
      </c>
      <c r="DX57" t="s">
        <v>442</v>
      </c>
      <c r="DY57">
        <v>0.38278000000000001</v>
      </c>
      <c r="DZ57">
        <v>4.6100000000000004E-3</v>
      </c>
      <c r="EA57" t="s">
        <v>442</v>
      </c>
      <c r="EB57">
        <v>0.28492000000000001</v>
      </c>
      <c r="EC57">
        <v>1.1979999999999999E-2</v>
      </c>
      <c r="ED57" t="s">
        <v>442</v>
      </c>
      <c r="EE57">
        <v>11.195819999999999</v>
      </c>
      <c r="EF57">
        <v>2.3800000000000002E-2</v>
      </c>
      <c r="EG57" t="s">
        <v>442</v>
      </c>
      <c r="EH57">
        <v>2012.18506</v>
      </c>
      <c r="EI57">
        <v>17.876830000000002</v>
      </c>
      <c r="EJ57" t="s">
        <v>442</v>
      </c>
      <c r="EM57" t="s">
        <v>440</v>
      </c>
      <c r="EN57">
        <v>86.698419999999999</v>
      </c>
      <c r="EO57">
        <v>2.0925500000000001</v>
      </c>
      <c r="EP57" t="s">
        <v>442</v>
      </c>
      <c r="ES57" t="s">
        <v>440</v>
      </c>
      <c r="ET57">
        <v>947.22506999999996</v>
      </c>
      <c r="EU57">
        <v>68.841980000000007</v>
      </c>
      <c r="EV57" t="s">
        <v>442</v>
      </c>
      <c r="EW57">
        <v>0.17671000000000001</v>
      </c>
      <c r="EX57">
        <v>3.1829999999999997E-2</v>
      </c>
      <c r="EY57" t="s">
        <v>442</v>
      </c>
      <c r="EZ57">
        <v>125.1422</v>
      </c>
      <c r="FA57">
        <v>9.8561499999999995</v>
      </c>
      <c r="FB57" t="s">
        <v>442</v>
      </c>
      <c r="FC57">
        <v>4.1918800000000003</v>
      </c>
      <c r="FD57">
        <v>0.61426000000000003</v>
      </c>
      <c r="FE57" t="s">
        <v>442</v>
      </c>
      <c r="FF57">
        <v>5.4164199999999996</v>
      </c>
      <c r="FG57">
        <v>0.54249000000000003</v>
      </c>
      <c r="FH57" t="s">
        <v>441</v>
      </c>
      <c r="FK57" t="s">
        <v>440</v>
      </c>
      <c r="FN57" t="s">
        <v>440</v>
      </c>
      <c r="FO57">
        <v>88.547790000000006</v>
      </c>
      <c r="FP57">
        <v>9.5713600000000003</v>
      </c>
      <c r="FQ57" t="s">
        <v>441</v>
      </c>
      <c r="FT57" t="s">
        <v>440</v>
      </c>
      <c r="FX57">
        <v>56</v>
      </c>
    </row>
    <row r="58" spans="2:180" x14ac:dyDescent="0.2">
      <c r="B58" t="s">
        <v>124</v>
      </c>
      <c r="C58">
        <v>0.27992</v>
      </c>
      <c r="D58">
        <v>5.3699999999999998E-3</v>
      </c>
      <c r="E58" t="s">
        <v>442</v>
      </c>
      <c r="F58">
        <v>1.549E-2</v>
      </c>
      <c r="G58">
        <v>2.5799999999999998E-3</v>
      </c>
      <c r="H58" t="s">
        <v>439</v>
      </c>
      <c r="I58">
        <v>2.8882099999999999</v>
      </c>
      <c r="J58">
        <v>5.9479999999999998E-2</v>
      </c>
      <c r="K58" t="s">
        <v>442</v>
      </c>
      <c r="L58">
        <v>9.6009999999999998E-2</v>
      </c>
      <c r="M58">
        <v>2.8500000000000001E-3</v>
      </c>
      <c r="N58" t="s">
        <v>442</v>
      </c>
      <c r="O58">
        <v>4.0400000000000002E-3</v>
      </c>
      <c r="P58">
        <v>1.4999999999999999E-4</v>
      </c>
      <c r="Q58" t="s">
        <v>442</v>
      </c>
      <c r="R58">
        <v>0.15712000000000001</v>
      </c>
      <c r="S58">
        <v>3.2499999999999999E-3</v>
      </c>
      <c r="T58" t="s">
        <v>442</v>
      </c>
      <c r="U58">
        <v>1.07E-3</v>
      </c>
      <c r="V58">
        <v>5.0000000000000002E-5</v>
      </c>
      <c r="W58" t="s">
        <v>439</v>
      </c>
      <c r="X58">
        <v>1.295E-2</v>
      </c>
      <c r="Y58">
        <v>7.7999999999999999E-4</v>
      </c>
      <c r="Z58" t="s">
        <v>439</v>
      </c>
      <c r="AA58">
        <v>0.1231</v>
      </c>
      <c r="AB58">
        <v>3.7799999999999999E-3</v>
      </c>
      <c r="AC58" t="s">
        <v>442</v>
      </c>
      <c r="AD58">
        <v>1.0786500000000001</v>
      </c>
      <c r="AE58">
        <v>3.61E-2</v>
      </c>
      <c r="AF58" t="s">
        <v>442</v>
      </c>
      <c r="AI58" t="s">
        <v>440</v>
      </c>
      <c r="AJ58">
        <v>61.655760000000001</v>
      </c>
      <c r="AK58">
        <v>1.3984399999999999</v>
      </c>
      <c r="AL58" t="s">
        <v>441</v>
      </c>
      <c r="AM58">
        <v>326.51283999999998</v>
      </c>
      <c r="AN58">
        <v>7.3227200000000003</v>
      </c>
      <c r="AO58" t="s">
        <v>442</v>
      </c>
      <c r="AP58">
        <v>0.10266</v>
      </c>
      <c r="AQ58">
        <v>1.1199999999999999E-3</v>
      </c>
      <c r="AR58" t="s">
        <v>442</v>
      </c>
      <c r="AS58">
        <v>1.67092</v>
      </c>
      <c r="AT58">
        <v>3.7350000000000001E-2</v>
      </c>
      <c r="AU58" t="s">
        <v>442</v>
      </c>
      <c r="AV58">
        <v>2.503E-2</v>
      </c>
      <c r="AW58">
        <v>6.2E-4</v>
      </c>
      <c r="AX58" t="s">
        <v>442</v>
      </c>
      <c r="AY58">
        <v>-4.8000000000000001E-4</v>
      </c>
      <c r="AZ58">
        <v>4.0000000000000002E-4</v>
      </c>
      <c r="BA58" t="s">
        <v>439</v>
      </c>
      <c r="BB58">
        <v>3.9399999999999999E-3</v>
      </c>
      <c r="BC58">
        <v>1.8000000000000001E-4</v>
      </c>
      <c r="BD58" t="s">
        <v>442</v>
      </c>
      <c r="BE58">
        <v>8.4000000000000003E-4</v>
      </c>
      <c r="BF58">
        <v>3.6000000000000002E-4</v>
      </c>
      <c r="BG58" t="s">
        <v>439</v>
      </c>
      <c r="BH58">
        <v>5.5999999999999995E-4</v>
      </c>
      <c r="BI58">
        <v>2.0000000000000001E-4</v>
      </c>
      <c r="BJ58" t="s">
        <v>439</v>
      </c>
      <c r="BK58">
        <v>1.5E-3</v>
      </c>
      <c r="BL58">
        <v>2.0000000000000002E-5</v>
      </c>
      <c r="BM58" t="s">
        <v>439</v>
      </c>
      <c r="BN58">
        <v>-1.0000000000000001E-5</v>
      </c>
      <c r="BO58">
        <v>1.1E-4</v>
      </c>
      <c r="BP58" t="s">
        <v>439</v>
      </c>
      <c r="BQ58">
        <v>1.308E-2</v>
      </c>
      <c r="BR58">
        <v>1.4300000000000001E-3</v>
      </c>
      <c r="BS58" t="s">
        <v>442</v>
      </c>
      <c r="BV58" t="s">
        <v>440</v>
      </c>
      <c r="BW58">
        <v>-2.0517599999999998</v>
      </c>
      <c r="BX58">
        <v>7.2000000000000005E-4</v>
      </c>
      <c r="BY58" t="s">
        <v>439</v>
      </c>
      <c r="BZ58">
        <v>7.5319999999999998E-2</v>
      </c>
      <c r="CA58">
        <v>2.4299999999999999E-3</v>
      </c>
      <c r="CB58" t="s">
        <v>442</v>
      </c>
      <c r="CC58">
        <v>11.389670000000001</v>
      </c>
      <c r="CD58">
        <v>0.38740000000000002</v>
      </c>
      <c r="CE58" t="s">
        <v>442</v>
      </c>
      <c r="CF58">
        <v>12.191409999999999</v>
      </c>
      <c r="CG58">
        <v>0.2485</v>
      </c>
      <c r="CH58" t="s">
        <v>442</v>
      </c>
      <c r="CI58">
        <v>11.60615</v>
      </c>
      <c r="CJ58">
        <v>0.24759</v>
      </c>
      <c r="CK58" t="s">
        <v>442</v>
      </c>
      <c r="CL58">
        <v>2.6786099999999999</v>
      </c>
      <c r="CM58">
        <v>7.6490000000000002E-2</v>
      </c>
      <c r="CN58" t="s">
        <v>442</v>
      </c>
      <c r="CO58">
        <v>589.72251000000006</v>
      </c>
      <c r="CP58">
        <v>8.4959500000000006</v>
      </c>
      <c r="CQ58" t="s">
        <v>442</v>
      </c>
      <c r="CR58">
        <v>3.1143700000000001</v>
      </c>
      <c r="CS58">
        <v>7.4459999999999998E-2</v>
      </c>
      <c r="CT58" t="s">
        <v>442</v>
      </c>
      <c r="CU58">
        <v>4.8906400000000003</v>
      </c>
      <c r="CV58">
        <v>0.15143000000000001</v>
      </c>
      <c r="CW58" t="s">
        <v>442</v>
      </c>
      <c r="CX58">
        <v>242.62062</v>
      </c>
      <c r="CY58">
        <v>5.2135199999999999</v>
      </c>
      <c r="CZ58" t="s">
        <v>442</v>
      </c>
      <c r="DA58">
        <v>85.338539999999995</v>
      </c>
      <c r="DB58">
        <v>1.9950000000000001</v>
      </c>
      <c r="DC58" t="s">
        <v>442</v>
      </c>
      <c r="DD58">
        <v>459.68239999999997</v>
      </c>
      <c r="DE58">
        <v>10.688800000000001</v>
      </c>
      <c r="DF58" t="s">
        <v>442</v>
      </c>
      <c r="DG58">
        <v>37.929760000000002</v>
      </c>
      <c r="DH58">
        <v>0.84225000000000005</v>
      </c>
      <c r="DI58" t="s">
        <v>442</v>
      </c>
      <c r="DJ58">
        <v>9.196E-2</v>
      </c>
      <c r="DK58">
        <v>3.8400000000000001E-3</v>
      </c>
      <c r="DL58" t="s">
        <v>442</v>
      </c>
      <c r="DM58">
        <v>6.1700000000000001E-3</v>
      </c>
      <c r="DN58">
        <v>1.1800000000000001E-3</v>
      </c>
      <c r="DO58" t="s">
        <v>442</v>
      </c>
      <c r="DP58">
        <v>0.22659000000000001</v>
      </c>
      <c r="DQ58">
        <v>6.9800000000000001E-3</v>
      </c>
      <c r="DR58" t="s">
        <v>442</v>
      </c>
      <c r="DS58">
        <v>2.0299900000000002</v>
      </c>
      <c r="DT58">
        <v>2.0539999999999999E-2</v>
      </c>
      <c r="DU58" t="s">
        <v>442</v>
      </c>
      <c r="DV58">
        <v>13.690860000000001</v>
      </c>
      <c r="DW58">
        <v>0.20609</v>
      </c>
      <c r="DX58" t="s">
        <v>442</v>
      </c>
      <c r="DY58">
        <v>0.55142999999999998</v>
      </c>
      <c r="DZ58">
        <v>6.0600000000000003E-3</v>
      </c>
      <c r="EA58" t="s">
        <v>442</v>
      </c>
      <c r="EB58">
        <v>0.33776</v>
      </c>
      <c r="EC58">
        <v>1.281E-2</v>
      </c>
      <c r="ED58" t="s">
        <v>442</v>
      </c>
      <c r="EE58">
        <v>9.3849300000000007</v>
      </c>
      <c r="EF58">
        <v>8.7730000000000002E-2</v>
      </c>
      <c r="EG58" t="s">
        <v>442</v>
      </c>
      <c r="EH58">
        <v>2422.47741</v>
      </c>
      <c r="EI58">
        <v>31.890750000000001</v>
      </c>
      <c r="EJ58" t="s">
        <v>442</v>
      </c>
      <c r="EM58" t="s">
        <v>440</v>
      </c>
      <c r="EN58">
        <v>75.118160000000003</v>
      </c>
      <c r="EO58">
        <v>0.41975000000000001</v>
      </c>
      <c r="EP58" t="s">
        <v>442</v>
      </c>
      <c r="ES58" t="s">
        <v>440</v>
      </c>
      <c r="ET58">
        <v>811.65042000000005</v>
      </c>
      <c r="EU58">
        <v>24.703790000000001</v>
      </c>
      <c r="EV58" t="s">
        <v>442</v>
      </c>
      <c r="EW58">
        <v>0.13642000000000001</v>
      </c>
      <c r="EX58">
        <v>4.1799999999999997E-3</v>
      </c>
      <c r="EY58" t="s">
        <v>442</v>
      </c>
      <c r="EZ58">
        <v>133.16999000000001</v>
      </c>
      <c r="FA58">
        <v>0.64231000000000005</v>
      </c>
      <c r="FB58" t="s">
        <v>442</v>
      </c>
      <c r="FC58">
        <v>4.52135</v>
      </c>
      <c r="FD58">
        <v>0.21296000000000001</v>
      </c>
      <c r="FE58" t="s">
        <v>442</v>
      </c>
      <c r="FF58">
        <v>5.25197</v>
      </c>
      <c r="FG58">
        <v>0.22126999999999999</v>
      </c>
      <c r="FH58" t="s">
        <v>441</v>
      </c>
      <c r="FK58" t="s">
        <v>440</v>
      </c>
      <c r="FN58" t="s">
        <v>440</v>
      </c>
      <c r="FO58">
        <v>73.153570000000002</v>
      </c>
      <c r="FP58">
        <v>3.9059900000000001</v>
      </c>
      <c r="FQ58" t="s">
        <v>441</v>
      </c>
      <c r="FT58" t="s">
        <v>440</v>
      </c>
      <c r="FU58">
        <v>2</v>
      </c>
      <c r="FX58">
        <v>57</v>
      </c>
    </row>
    <row r="59" spans="2:180" x14ac:dyDescent="0.2">
      <c r="B59" t="s">
        <v>125</v>
      </c>
      <c r="C59">
        <v>1.20709</v>
      </c>
      <c r="D59">
        <v>1.2880000000000001E-2</v>
      </c>
      <c r="E59" t="s">
        <v>443</v>
      </c>
      <c r="F59">
        <v>1.2241</v>
      </c>
      <c r="G59">
        <v>1.5169999999999999E-2</v>
      </c>
      <c r="H59" t="s">
        <v>443</v>
      </c>
      <c r="I59">
        <v>1.1898</v>
      </c>
      <c r="J59">
        <v>9.3600000000000003E-3</v>
      </c>
      <c r="K59" t="s">
        <v>443</v>
      </c>
      <c r="L59">
        <v>1.23695</v>
      </c>
      <c r="M59">
        <v>1.078E-2</v>
      </c>
      <c r="N59" t="s">
        <v>443</v>
      </c>
      <c r="O59">
        <v>1.2167699999999999</v>
      </c>
      <c r="P59">
        <v>8.8599999999999998E-3</v>
      </c>
      <c r="Q59" t="s">
        <v>443</v>
      </c>
      <c r="R59">
        <v>1.1679900000000001</v>
      </c>
      <c r="S59">
        <v>1.4970000000000001E-2</v>
      </c>
      <c r="T59" t="s">
        <v>443</v>
      </c>
      <c r="U59">
        <v>1.18553</v>
      </c>
      <c r="V59">
        <v>2.5069999999999999E-2</v>
      </c>
      <c r="W59" t="s">
        <v>443</v>
      </c>
      <c r="X59">
        <v>1.1569700000000001</v>
      </c>
      <c r="Y59">
        <v>2.1610000000000001E-2</v>
      </c>
      <c r="Z59" t="s">
        <v>443</v>
      </c>
      <c r="AA59">
        <v>1.1792499999999999</v>
      </c>
      <c r="AB59">
        <v>2.4330000000000001E-2</v>
      </c>
      <c r="AC59" t="s">
        <v>443</v>
      </c>
      <c r="AD59">
        <v>1.18553</v>
      </c>
      <c r="AE59">
        <v>2.1669999999999998E-2</v>
      </c>
      <c r="AF59" t="s">
        <v>443</v>
      </c>
      <c r="AI59" t="s">
        <v>440</v>
      </c>
      <c r="AJ59">
        <v>1.18076</v>
      </c>
      <c r="AK59">
        <v>7.1799999999999998E-3</v>
      </c>
      <c r="AL59" t="s">
        <v>444</v>
      </c>
      <c r="AM59">
        <v>1.22603</v>
      </c>
      <c r="AN59">
        <v>1.1350000000000001E-2</v>
      </c>
      <c r="AO59" t="s">
        <v>443</v>
      </c>
      <c r="AP59">
        <v>1.2080500000000001</v>
      </c>
      <c r="AQ59">
        <v>1.626E-2</v>
      </c>
      <c r="AR59" t="s">
        <v>443</v>
      </c>
      <c r="AS59">
        <v>4.0796000000000001</v>
      </c>
      <c r="AT59">
        <v>3.986E-2</v>
      </c>
      <c r="AU59" t="s">
        <v>443</v>
      </c>
      <c r="AV59">
        <v>1.18553</v>
      </c>
      <c r="AW59">
        <v>1.553E-2</v>
      </c>
      <c r="AX59" t="s">
        <v>443</v>
      </c>
      <c r="AY59">
        <v>1.1834899999999999</v>
      </c>
      <c r="AZ59">
        <v>1.366E-2</v>
      </c>
      <c r="BA59" t="s">
        <v>443</v>
      </c>
      <c r="BB59">
        <v>1.1995899999999999</v>
      </c>
      <c r="BC59">
        <v>9.8399999999999998E-3</v>
      </c>
      <c r="BD59" t="s">
        <v>443</v>
      </c>
      <c r="BE59">
        <v>1.2113799999999999</v>
      </c>
      <c r="BF59">
        <v>2.605E-2</v>
      </c>
      <c r="BG59" t="s">
        <v>443</v>
      </c>
      <c r="BH59">
        <v>1.20695</v>
      </c>
      <c r="BI59">
        <v>1.217E-2</v>
      </c>
      <c r="BJ59" t="s">
        <v>443</v>
      </c>
      <c r="BK59">
        <v>1.2591399999999999</v>
      </c>
      <c r="BL59">
        <v>7.7000000000000002E-3</v>
      </c>
      <c r="BM59" t="s">
        <v>443</v>
      </c>
      <c r="BN59">
        <v>1.2268300000000001</v>
      </c>
      <c r="BO59">
        <v>6.45E-3</v>
      </c>
      <c r="BP59" t="s">
        <v>443</v>
      </c>
      <c r="BQ59">
        <v>1.23143</v>
      </c>
      <c r="BR59">
        <v>1.01E-2</v>
      </c>
      <c r="BS59" t="s">
        <v>443</v>
      </c>
      <c r="BV59" t="s">
        <v>440</v>
      </c>
      <c r="BW59">
        <v>-1.14886</v>
      </c>
      <c r="BX59">
        <v>1.1900000000000001E-2</v>
      </c>
      <c r="BY59" t="s">
        <v>445</v>
      </c>
      <c r="BZ59">
        <v>1.1983600000000001</v>
      </c>
      <c r="CA59">
        <v>1.745E-2</v>
      </c>
      <c r="CB59" t="s">
        <v>443</v>
      </c>
      <c r="CC59">
        <v>1.1773400000000001</v>
      </c>
      <c r="CD59">
        <v>2.7279999999999999E-2</v>
      </c>
      <c r="CE59" t="s">
        <v>443</v>
      </c>
      <c r="CF59">
        <v>1.1635</v>
      </c>
      <c r="CG59">
        <v>1.9449999999999999E-2</v>
      </c>
      <c r="CH59" t="s">
        <v>443</v>
      </c>
      <c r="CI59">
        <v>1.18045</v>
      </c>
      <c r="CJ59">
        <v>2.24E-2</v>
      </c>
      <c r="CK59" t="s">
        <v>443</v>
      </c>
      <c r="CL59">
        <v>1.2592000000000001</v>
      </c>
      <c r="CM59">
        <v>1.9310000000000001E-2</v>
      </c>
      <c r="CN59" t="s">
        <v>443</v>
      </c>
      <c r="CO59">
        <v>7.57348</v>
      </c>
      <c r="CP59">
        <v>0.25683</v>
      </c>
      <c r="CQ59" t="s">
        <v>443</v>
      </c>
      <c r="CR59">
        <v>7.9845499999999996</v>
      </c>
      <c r="CS59">
        <v>0.20161000000000001</v>
      </c>
      <c r="CT59" t="s">
        <v>443</v>
      </c>
      <c r="CU59">
        <v>3.8689800000000001</v>
      </c>
      <c r="CV59">
        <v>0.11057</v>
      </c>
      <c r="CW59" t="s">
        <v>443</v>
      </c>
      <c r="CX59">
        <v>9.4427199999999996</v>
      </c>
      <c r="CY59">
        <v>0.83306000000000002</v>
      </c>
      <c r="CZ59" t="s">
        <v>443</v>
      </c>
      <c r="DA59">
        <v>1.2917400000000001</v>
      </c>
      <c r="DB59">
        <v>8.5370000000000001E-2</v>
      </c>
      <c r="DC59" t="s">
        <v>443</v>
      </c>
      <c r="DD59">
        <v>22.50695</v>
      </c>
      <c r="DE59">
        <v>0.69333</v>
      </c>
      <c r="DF59" t="s">
        <v>443</v>
      </c>
      <c r="DG59">
        <v>8.5479800000000008</v>
      </c>
      <c r="DH59">
        <v>0.34178999999999998</v>
      </c>
      <c r="DI59" t="s">
        <v>443</v>
      </c>
      <c r="DJ59">
        <v>1.1488100000000001</v>
      </c>
      <c r="DK59">
        <v>7.7439999999999995E-2</v>
      </c>
      <c r="DL59" t="s">
        <v>443</v>
      </c>
      <c r="DM59">
        <v>1.13106</v>
      </c>
      <c r="DN59">
        <v>5.0950000000000002E-2</v>
      </c>
      <c r="DO59" t="s">
        <v>443</v>
      </c>
      <c r="DP59">
        <v>1.1466799999999999</v>
      </c>
      <c r="DQ59">
        <v>7.2289999999999993E-2</v>
      </c>
      <c r="DR59" t="s">
        <v>443</v>
      </c>
      <c r="DS59">
        <v>1.1188499999999999</v>
      </c>
      <c r="DT59">
        <v>2.0199999999999999E-2</v>
      </c>
      <c r="DU59" t="s">
        <v>443</v>
      </c>
      <c r="DV59">
        <v>3.6233599999999999</v>
      </c>
      <c r="DW59">
        <v>0.15362999999999999</v>
      </c>
      <c r="DX59" t="s">
        <v>443</v>
      </c>
      <c r="DY59">
        <v>1.15069</v>
      </c>
      <c r="DZ59">
        <v>4.3740000000000001E-2</v>
      </c>
      <c r="EA59" t="s">
        <v>443</v>
      </c>
      <c r="EB59">
        <v>1.0480700000000001</v>
      </c>
      <c r="EC59">
        <v>7.8049999999999994E-2</v>
      </c>
      <c r="ED59" t="s">
        <v>443</v>
      </c>
      <c r="EE59">
        <v>1.14635</v>
      </c>
      <c r="EF59">
        <v>3.5180000000000003E-2</v>
      </c>
      <c r="EG59" t="s">
        <v>443</v>
      </c>
      <c r="EH59">
        <v>5.6512200000000004</v>
      </c>
      <c r="EI59">
        <v>0.42477999999999999</v>
      </c>
      <c r="EJ59" t="s">
        <v>443</v>
      </c>
      <c r="EM59" t="s">
        <v>440</v>
      </c>
      <c r="EN59">
        <v>1.2119500000000001</v>
      </c>
      <c r="EO59">
        <v>5.5230000000000001E-2</v>
      </c>
      <c r="EP59" t="s">
        <v>443</v>
      </c>
      <c r="ES59" t="s">
        <v>440</v>
      </c>
      <c r="ET59">
        <v>12.24098</v>
      </c>
      <c r="EU59">
        <v>0.10792</v>
      </c>
      <c r="EV59" t="s">
        <v>443</v>
      </c>
      <c r="EW59">
        <v>1.4674499999999999</v>
      </c>
      <c r="EX59">
        <v>6.4380000000000007E-2</v>
      </c>
      <c r="EY59" t="s">
        <v>443</v>
      </c>
      <c r="EZ59">
        <v>1.42238</v>
      </c>
      <c r="FA59">
        <v>3.0689999999999999E-2</v>
      </c>
      <c r="FB59" t="s">
        <v>443</v>
      </c>
      <c r="FC59">
        <v>2.0382400000000001</v>
      </c>
      <c r="FD59">
        <v>0.31738</v>
      </c>
      <c r="FE59" t="s">
        <v>443</v>
      </c>
      <c r="FF59">
        <v>5.1995899999999997</v>
      </c>
      <c r="FG59">
        <v>0.52780000000000005</v>
      </c>
      <c r="FH59" t="s">
        <v>444</v>
      </c>
      <c r="FK59" t="s">
        <v>440</v>
      </c>
      <c r="FN59" t="s">
        <v>440</v>
      </c>
      <c r="FO59">
        <v>1.321</v>
      </c>
      <c r="FP59">
        <v>5.1369999999999999E-2</v>
      </c>
      <c r="FQ59" t="s">
        <v>444</v>
      </c>
      <c r="FT59" t="s">
        <v>440</v>
      </c>
      <c r="FU59">
        <v>1</v>
      </c>
      <c r="FX59">
        <v>58</v>
      </c>
    </row>
    <row r="60" spans="2:180" x14ac:dyDescent="0.2">
      <c r="B60" t="s">
        <v>126</v>
      </c>
      <c r="C60">
        <v>5.0410000000000003E-2</v>
      </c>
      <c r="D60">
        <v>4.4600000000000004E-3</v>
      </c>
      <c r="E60" t="s">
        <v>439</v>
      </c>
      <c r="F60">
        <v>1.5630000000000002E-2</v>
      </c>
      <c r="G60">
        <v>3.96E-3</v>
      </c>
      <c r="H60" t="s">
        <v>439</v>
      </c>
      <c r="I60">
        <v>1.013E-2</v>
      </c>
      <c r="J60">
        <v>4.6999999999999999E-4</v>
      </c>
      <c r="K60" t="s">
        <v>439</v>
      </c>
      <c r="L60">
        <v>4.9100000000000003E-3</v>
      </c>
      <c r="M60">
        <v>1.5100000000000001E-3</v>
      </c>
      <c r="N60" t="s">
        <v>439</v>
      </c>
      <c r="O60">
        <v>3.13E-3</v>
      </c>
      <c r="P60">
        <v>4.0000000000000003E-5</v>
      </c>
      <c r="Q60" t="s">
        <v>439</v>
      </c>
      <c r="R60">
        <v>2.5229999999999999E-2</v>
      </c>
      <c r="S60">
        <v>3.8999999999999999E-4</v>
      </c>
      <c r="T60" t="s">
        <v>439</v>
      </c>
      <c r="U60">
        <v>8.3000000000000001E-4</v>
      </c>
      <c r="V60">
        <v>1.8000000000000001E-4</v>
      </c>
      <c r="W60" t="s">
        <v>439</v>
      </c>
      <c r="X60">
        <v>1.1650000000000001E-2</v>
      </c>
      <c r="Y60">
        <v>7.6000000000000004E-4</v>
      </c>
      <c r="Z60" t="s">
        <v>439</v>
      </c>
      <c r="AA60">
        <v>6.77E-3</v>
      </c>
      <c r="AB60">
        <v>6.0000000000000002E-5</v>
      </c>
      <c r="AC60" t="s">
        <v>439</v>
      </c>
      <c r="AD60">
        <v>8.4999999999999995E-4</v>
      </c>
      <c r="AE60">
        <v>3.4000000000000002E-4</v>
      </c>
      <c r="AF60" t="s">
        <v>439</v>
      </c>
      <c r="AI60" t="s">
        <v>440</v>
      </c>
      <c r="AJ60">
        <v>5.5440000000000003E-2</v>
      </c>
      <c r="AK60">
        <v>6.9999999999999994E-5</v>
      </c>
      <c r="AL60" t="s">
        <v>441</v>
      </c>
      <c r="AM60">
        <v>6.454E-2</v>
      </c>
      <c r="AN60">
        <v>1.1000000000000001E-3</v>
      </c>
      <c r="AO60" t="s">
        <v>439</v>
      </c>
      <c r="AP60">
        <v>-1.421E-2</v>
      </c>
      <c r="AQ60">
        <v>1.1E-4</v>
      </c>
      <c r="AR60" t="s">
        <v>439</v>
      </c>
      <c r="AS60">
        <v>4.478E-2</v>
      </c>
      <c r="AT60">
        <v>2.4199999999999998E-3</v>
      </c>
      <c r="AU60" t="s">
        <v>439</v>
      </c>
      <c r="AV60">
        <v>-1.9E-3</v>
      </c>
      <c r="AW60">
        <v>2.0000000000000002E-5</v>
      </c>
      <c r="AX60" t="s">
        <v>439</v>
      </c>
      <c r="AY60">
        <v>-5.4900000000000001E-3</v>
      </c>
      <c r="AZ60">
        <v>1.0000000000000001E-5</v>
      </c>
      <c r="BA60" t="s">
        <v>439</v>
      </c>
      <c r="BB60">
        <v>1.9599999999999999E-3</v>
      </c>
      <c r="BC60">
        <v>1E-4</v>
      </c>
      <c r="BD60" t="s">
        <v>439</v>
      </c>
      <c r="BE60">
        <v>7.5000000000000002E-4</v>
      </c>
      <c r="BF60">
        <v>2.2000000000000001E-4</v>
      </c>
      <c r="BG60" t="s">
        <v>439</v>
      </c>
      <c r="BH60">
        <v>5.5000000000000003E-4</v>
      </c>
      <c r="BI60">
        <v>1.2999999999999999E-4</v>
      </c>
      <c r="BJ60" t="s">
        <v>439</v>
      </c>
      <c r="BK60">
        <v>1.5900000000000001E-3</v>
      </c>
      <c r="BL60">
        <v>1.0000000000000001E-5</v>
      </c>
      <c r="BM60" t="s">
        <v>439</v>
      </c>
      <c r="BN60">
        <v>-4.0999999999999999E-4</v>
      </c>
      <c r="BO60">
        <v>8.0000000000000007E-5</v>
      </c>
      <c r="BP60" t="s">
        <v>439</v>
      </c>
      <c r="BQ60">
        <v>-4.3299999999999996E-3</v>
      </c>
      <c r="BR60">
        <v>4.8999999999999998E-4</v>
      </c>
      <c r="BS60" t="s">
        <v>439</v>
      </c>
      <c r="BV60" t="s">
        <v>440</v>
      </c>
      <c r="BW60">
        <v>-2.0498099999999999</v>
      </c>
      <c r="BX60">
        <v>9.2000000000000003E-4</v>
      </c>
      <c r="BY60" t="s">
        <v>439</v>
      </c>
      <c r="BZ60">
        <v>3.0100000000000001E-3</v>
      </c>
      <c r="CA60">
        <v>6.0000000000000002E-5</v>
      </c>
      <c r="CB60" t="s">
        <v>439</v>
      </c>
      <c r="CC60">
        <v>-3.712E-2</v>
      </c>
      <c r="CD60">
        <v>1.7000000000000001E-4</v>
      </c>
      <c r="CE60" t="s">
        <v>439</v>
      </c>
      <c r="CF60">
        <v>-1.406E-2</v>
      </c>
      <c r="CG60">
        <v>2.4000000000000001E-4</v>
      </c>
      <c r="CH60" t="s">
        <v>439</v>
      </c>
      <c r="CI60">
        <v>-4.6039999999999998E-2</v>
      </c>
      <c r="CJ60">
        <v>1.2999999999999999E-4</v>
      </c>
      <c r="CK60" t="s">
        <v>439</v>
      </c>
      <c r="CL60">
        <v>-8.8900000000000003E-3</v>
      </c>
      <c r="CM60">
        <v>8.0000000000000007E-5</v>
      </c>
      <c r="CN60" t="s">
        <v>439</v>
      </c>
      <c r="CO60">
        <v>-0.72016999999999998</v>
      </c>
      <c r="CP60">
        <v>1.9179999999999999E-2</v>
      </c>
      <c r="CQ60" t="s">
        <v>439</v>
      </c>
      <c r="CR60">
        <v>-7.22E-2</v>
      </c>
      <c r="CS60">
        <v>8.6499999999999997E-3</v>
      </c>
      <c r="CT60" t="s">
        <v>439</v>
      </c>
      <c r="CU60">
        <v>-0.15651999999999999</v>
      </c>
      <c r="CV60">
        <v>1.5200000000000001E-3</v>
      </c>
      <c r="CW60" t="s">
        <v>439</v>
      </c>
      <c r="CX60">
        <v>0.15365999999999999</v>
      </c>
      <c r="CY60">
        <v>0.4199</v>
      </c>
      <c r="CZ60" t="s">
        <v>439</v>
      </c>
      <c r="DA60">
        <v>-1.303E-2</v>
      </c>
      <c r="DB60">
        <v>1.686E-2</v>
      </c>
      <c r="DC60" t="s">
        <v>439</v>
      </c>
      <c r="DD60">
        <v>-0.91876000000000002</v>
      </c>
      <c r="DE60">
        <v>0.16137000000000001</v>
      </c>
      <c r="DF60" t="s">
        <v>439</v>
      </c>
      <c r="DG60">
        <v>0.69181000000000004</v>
      </c>
      <c r="DH60">
        <v>9.0370000000000006E-2</v>
      </c>
      <c r="DI60" t="s">
        <v>439</v>
      </c>
      <c r="DJ60">
        <v>-9.0299999999999998E-3</v>
      </c>
      <c r="DK60">
        <v>3.0699999999999998E-3</v>
      </c>
      <c r="DL60" t="s">
        <v>439</v>
      </c>
      <c r="DM60">
        <v>1.07E-3</v>
      </c>
      <c r="DN60">
        <v>1.6000000000000001E-4</v>
      </c>
      <c r="DO60" t="s">
        <v>439</v>
      </c>
      <c r="DP60">
        <v>-5.4000000000000003E-3</v>
      </c>
      <c r="DQ60">
        <v>5.2999999999999998E-4</v>
      </c>
      <c r="DR60" t="s">
        <v>439</v>
      </c>
      <c r="DS60">
        <v>-2.682E-2</v>
      </c>
      <c r="DT60">
        <v>4.8000000000000001E-4</v>
      </c>
      <c r="DU60" t="s">
        <v>439</v>
      </c>
      <c r="DV60">
        <v>-0.29287000000000002</v>
      </c>
      <c r="DW60">
        <v>1.75E-3</v>
      </c>
      <c r="DX60" t="s">
        <v>439</v>
      </c>
      <c r="DY60">
        <v>-6.2599999999999999E-3</v>
      </c>
      <c r="DZ60">
        <v>1.6000000000000001E-4</v>
      </c>
      <c r="EA60" t="s">
        <v>439</v>
      </c>
      <c r="EB60">
        <v>1.8800000000000001E-2</v>
      </c>
      <c r="EC60">
        <v>1.1800000000000001E-3</v>
      </c>
      <c r="ED60" t="s">
        <v>439</v>
      </c>
      <c r="EE60">
        <v>-1.7170000000000001E-2</v>
      </c>
      <c r="EF60">
        <v>1.5200000000000001E-3</v>
      </c>
      <c r="EG60" t="s">
        <v>439</v>
      </c>
      <c r="EH60">
        <v>9.1490000000000002E-2</v>
      </c>
      <c r="EI60">
        <v>3.2800000000000003E-2</v>
      </c>
      <c r="EJ60" t="s">
        <v>439</v>
      </c>
      <c r="EM60" t="s">
        <v>440</v>
      </c>
      <c r="EN60">
        <v>-1.009E-2</v>
      </c>
      <c r="EO60">
        <v>1.32E-3</v>
      </c>
      <c r="EP60" t="s">
        <v>439</v>
      </c>
      <c r="ES60" t="s">
        <v>440</v>
      </c>
      <c r="ET60">
        <v>1.42614</v>
      </c>
      <c r="EU60">
        <v>4.2860000000000002E-2</v>
      </c>
      <c r="EV60" t="s">
        <v>439</v>
      </c>
      <c r="EW60">
        <v>-8.1999999999999998E-4</v>
      </c>
      <c r="EX60">
        <v>4.4000000000000002E-4</v>
      </c>
      <c r="EY60" t="s">
        <v>439</v>
      </c>
      <c r="EZ60">
        <v>9.1999999999999998E-3</v>
      </c>
      <c r="FA60">
        <v>2.3900000000000002E-3</v>
      </c>
      <c r="FB60" t="s">
        <v>439</v>
      </c>
      <c r="FC60">
        <v>0.18847</v>
      </c>
      <c r="FD60">
        <v>9.5880000000000007E-2</v>
      </c>
      <c r="FE60" t="s">
        <v>439</v>
      </c>
      <c r="FF60">
        <v>1.9113899999999999</v>
      </c>
      <c r="FG60">
        <v>0.13750000000000001</v>
      </c>
      <c r="FH60" t="s">
        <v>441</v>
      </c>
      <c r="FK60" t="s">
        <v>440</v>
      </c>
      <c r="FN60" t="s">
        <v>440</v>
      </c>
      <c r="FO60">
        <v>4.9500000000000004E-3</v>
      </c>
      <c r="FP60">
        <v>3.2000000000000003E-4</v>
      </c>
      <c r="FQ60" t="s">
        <v>441</v>
      </c>
      <c r="FT60" t="s">
        <v>440</v>
      </c>
      <c r="FX60">
        <v>59</v>
      </c>
    </row>
    <row r="61" spans="2:180" x14ac:dyDescent="0.2">
      <c r="B61" t="s">
        <v>127</v>
      </c>
      <c r="C61">
        <v>0.19877</v>
      </c>
      <c r="D61">
        <v>2.99E-3</v>
      </c>
      <c r="E61" t="s">
        <v>442</v>
      </c>
      <c r="F61">
        <v>1.193E-2</v>
      </c>
      <c r="G61">
        <v>5.1999999999999995E-4</v>
      </c>
      <c r="H61" t="s">
        <v>439</v>
      </c>
      <c r="I61">
        <v>1.9153</v>
      </c>
      <c r="J61">
        <v>8.5900000000000004E-3</v>
      </c>
      <c r="K61" t="s">
        <v>442</v>
      </c>
      <c r="L61">
        <v>6.8510000000000001E-2</v>
      </c>
      <c r="M61">
        <v>1.8000000000000001E-4</v>
      </c>
      <c r="N61" t="s">
        <v>442</v>
      </c>
      <c r="O61">
        <v>3.9100000000000003E-3</v>
      </c>
      <c r="P61">
        <v>6.9999999999999994E-5</v>
      </c>
      <c r="Q61" t="s">
        <v>442</v>
      </c>
      <c r="R61">
        <v>0.11047999999999999</v>
      </c>
      <c r="S61">
        <v>3.13E-3</v>
      </c>
      <c r="T61" t="s">
        <v>442</v>
      </c>
      <c r="U61">
        <v>9.3000000000000005E-4</v>
      </c>
      <c r="V61">
        <v>3.0000000000000001E-5</v>
      </c>
      <c r="W61" t="s">
        <v>439</v>
      </c>
      <c r="X61">
        <v>1.21E-2</v>
      </c>
      <c r="Y61">
        <v>4.4999999999999999E-4</v>
      </c>
      <c r="Z61" t="s">
        <v>439</v>
      </c>
      <c r="AA61">
        <v>7.6759999999999995E-2</v>
      </c>
      <c r="AB61">
        <v>6.4999999999999997E-4</v>
      </c>
      <c r="AC61" t="s">
        <v>442</v>
      </c>
      <c r="AD61">
        <v>0.71184999999999998</v>
      </c>
      <c r="AE61">
        <v>5.4999999999999997E-3</v>
      </c>
      <c r="AF61" t="s">
        <v>442</v>
      </c>
      <c r="AI61" t="s">
        <v>440</v>
      </c>
      <c r="AJ61">
        <v>42.280099999999997</v>
      </c>
      <c r="AK61">
        <v>0.15615000000000001</v>
      </c>
      <c r="AL61" t="s">
        <v>441</v>
      </c>
      <c r="AM61">
        <v>186.63025999999999</v>
      </c>
      <c r="AN61">
        <v>2.0564300000000002</v>
      </c>
      <c r="AO61" t="s">
        <v>442</v>
      </c>
      <c r="AP61">
        <v>6.3509999999999997E-2</v>
      </c>
      <c r="AQ61">
        <v>1.01E-3</v>
      </c>
      <c r="AR61" t="s">
        <v>442</v>
      </c>
      <c r="AS61">
        <v>0.94455999999999996</v>
      </c>
      <c r="AT61">
        <v>3.0899999999999999E-3</v>
      </c>
      <c r="AU61" t="s">
        <v>442</v>
      </c>
      <c r="AV61">
        <v>1.299E-2</v>
      </c>
      <c r="AW61">
        <v>1.3999999999999999E-4</v>
      </c>
      <c r="AX61" t="s">
        <v>442</v>
      </c>
      <c r="AY61">
        <v>-3.15E-3</v>
      </c>
      <c r="AZ61">
        <v>6.9999999999999994E-5</v>
      </c>
      <c r="BA61" t="s">
        <v>439</v>
      </c>
      <c r="BB61">
        <v>3.3400000000000001E-3</v>
      </c>
      <c r="BC61">
        <v>3.3E-4</v>
      </c>
      <c r="BD61" t="s">
        <v>442</v>
      </c>
      <c r="BE61">
        <v>4.4000000000000002E-4</v>
      </c>
      <c r="BF61">
        <v>5.0000000000000002E-5</v>
      </c>
      <c r="BG61" t="s">
        <v>439</v>
      </c>
      <c r="BH61">
        <v>9.1E-4</v>
      </c>
      <c r="BI61">
        <v>2.7E-4</v>
      </c>
      <c r="BJ61" t="s">
        <v>439</v>
      </c>
      <c r="BK61">
        <v>1.6000000000000001E-3</v>
      </c>
      <c r="BL61">
        <v>5.0000000000000002E-5</v>
      </c>
      <c r="BM61" t="s">
        <v>439</v>
      </c>
      <c r="BN61">
        <v>-1.0000000000000001E-5</v>
      </c>
      <c r="BO61">
        <v>6.0000000000000002E-5</v>
      </c>
      <c r="BP61" t="s">
        <v>439</v>
      </c>
      <c r="BQ61">
        <v>6.6699999999999997E-3</v>
      </c>
      <c r="BR61">
        <v>2.2000000000000001E-4</v>
      </c>
      <c r="BS61" t="s">
        <v>442</v>
      </c>
      <c r="BV61" t="s">
        <v>440</v>
      </c>
      <c r="BW61">
        <v>-2.0523799999999999</v>
      </c>
      <c r="BX61">
        <v>5.8E-4</v>
      </c>
      <c r="BY61" t="s">
        <v>439</v>
      </c>
      <c r="BZ61">
        <v>7.0290000000000005E-2</v>
      </c>
      <c r="CA61">
        <v>1.1E-4</v>
      </c>
      <c r="CB61" t="s">
        <v>442</v>
      </c>
      <c r="CC61">
        <v>8.7117199999999997</v>
      </c>
      <c r="CD61">
        <v>0.13819999999999999</v>
      </c>
      <c r="CE61" t="s">
        <v>442</v>
      </c>
      <c r="CF61">
        <v>8.4682300000000001</v>
      </c>
      <c r="CG61">
        <v>7.1309999999999998E-2</v>
      </c>
      <c r="CH61" t="s">
        <v>442</v>
      </c>
      <c r="CI61">
        <v>8.2431300000000007</v>
      </c>
      <c r="CJ61">
        <v>7.5079999999999994E-2</v>
      </c>
      <c r="CK61" t="s">
        <v>442</v>
      </c>
      <c r="CL61">
        <v>1.62801</v>
      </c>
      <c r="CM61">
        <v>9.9500000000000005E-3</v>
      </c>
      <c r="CN61" t="s">
        <v>442</v>
      </c>
      <c r="CO61">
        <v>414.88249000000002</v>
      </c>
      <c r="CP61">
        <v>3.5713499999999998</v>
      </c>
      <c r="CQ61" t="s">
        <v>442</v>
      </c>
      <c r="CR61">
        <v>1.0706800000000001</v>
      </c>
      <c r="CS61">
        <v>1.806E-2</v>
      </c>
      <c r="CT61" t="s">
        <v>442</v>
      </c>
      <c r="CU61">
        <v>3.1187399999999998</v>
      </c>
      <c r="CV61">
        <v>6.9360000000000005E-2</v>
      </c>
      <c r="CW61" t="s">
        <v>442</v>
      </c>
      <c r="CX61">
        <v>194.95133000000001</v>
      </c>
      <c r="CY61">
        <v>3.2897699999999999</v>
      </c>
      <c r="CZ61" t="s">
        <v>442</v>
      </c>
      <c r="DA61">
        <v>57.975279999999998</v>
      </c>
      <c r="DB61">
        <v>1.9535400000000001</v>
      </c>
      <c r="DC61" t="s">
        <v>442</v>
      </c>
      <c r="DD61">
        <v>290.04111</v>
      </c>
      <c r="DE61">
        <v>7.7040300000000004</v>
      </c>
      <c r="DF61" t="s">
        <v>442</v>
      </c>
      <c r="DG61">
        <v>20.324380000000001</v>
      </c>
      <c r="DH61">
        <v>0.46631</v>
      </c>
      <c r="DI61" t="s">
        <v>442</v>
      </c>
      <c r="DJ61">
        <v>4.3720000000000002E-2</v>
      </c>
      <c r="DK61">
        <v>6.45E-3</v>
      </c>
      <c r="DL61" t="s">
        <v>442</v>
      </c>
      <c r="DM61">
        <v>4.2900000000000004E-3</v>
      </c>
      <c r="DN61">
        <v>5.9999999999999995E-4</v>
      </c>
      <c r="DO61" t="s">
        <v>442</v>
      </c>
      <c r="DP61">
        <v>0.16335</v>
      </c>
      <c r="DQ61">
        <v>6.7400000000000003E-3</v>
      </c>
      <c r="DR61" t="s">
        <v>442</v>
      </c>
      <c r="DS61">
        <v>0.52576999999999996</v>
      </c>
      <c r="DT61">
        <v>1.363E-2</v>
      </c>
      <c r="DU61" t="s">
        <v>442</v>
      </c>
      <c r="DV61">
        <v>4.3783700000000003</v>
      </c>
      <c r="DW61">
        <v>0.12023</v>
      </c>
      <c r="DX61" t="s">
        <v>442</v>
      </c>
      <c r="DY61">
        <v>0.45954</v>
      </c>
      <c r="DZ61">
        <v>9.1500000000000001E-3</v>
      </c>
      <c r="EA61" t="s">
        <v>442</v>
      </c>
      <c r="EB61">
        <v>0.46688000000000002</v>
      </c>
      <c r="EC61">
        <v>3.8500000000000001E-3</v>
      </c>
      <c r="ED61" t="s">
        <v>442</v>
      </c>
      <c r="EE61">
        <v>5.9454200000000004</v>
      </c>
      <c r="EF61">
        <v>0.12681000000000001</v>
      </c>
      <c r="EG61" t="s">
        <v>442</v>
      </c>
      <c r="EH61">
        <v>1727.2362900000001</v>
      </c>
      <c r="EI61">
        <v>40.408540000000002</v>
      </c>
      <c r="EJ61" t="s">
        <v>442</v>
      </c>
      <c r="EM61" t="s">
        <v>440</v>
      </c>
      <c r="EN61">
        <v>48.545879999999997</v>
      </c>
      <c r="EO61">
        <v>1.88103</v>
      </c>
      <c r="EP61" t="s">
        <v>442</v>
      </c>
      <c r="ES61" t="s">
        <v>440</v>
      </c>
      <c r="ET61">
        <v>571.42556999999999</v>
      </c>
      <c r="EU61">
        <v>9.4334000000000007</v>
      </c>
      <c r="EV61" t="s">
        <v>442</v>
      </c>
      <c r="EW61">
        <v>9.1200000000000003E-2</v>
      </c>
      <c r="EX61">
        <v>1.8030000000000001E-2</v>
      </c>
      <c r="EY61" t="s">
        <v>442</v>
      </c>
      <c r="EZ61">
        <v>80.660150000000002</v>
      </c>
      <c r="FA61">
        <v>1.7993300000000001</v>
      </c>
      <c r="FB61" t="s">
        <v>442</v>
      </c>
      <c r="FC61">
        <v>3.0101599999999999</v>
      </c>
      <c r="FD61">
        <v>0.25629000000000002</v>
      </c>
      <c r="FE61" t="s">
        <v>442</v>
      </c>
      <c r="FF61">
        <v>5.29453</v>
      </c>
      <c r="FG61">
        <v>0.40236</v>
      </c>
      <c r="FH61" t="s">
        <v>441</v>
      </c>
      <c r="FK61" t="s">
        <v>440</v>
      </c>
      <c r="FN61" t="s">
        <v>440</v>
      </c>
      <c r="FO61">
        <v>48.913519999999998</v>
      </c>
      <c r="FP61">
        <v>0.63529000000000002</v>
      </c>
      <c r="FQ61" t="s">
        <v>441</v>
      </c>
      <c r="FT61" t="s">
        <v>440</v>
      </c>
      <c r="FX61">
        <v>60</v>
      </c>
    </row>
    <row r="62" spans="2:180" x14ac:dyDescent="0.2">
      <c r="B62" t="s">
        <v>128</v>
      </c>
      <c r="C62">
        <v>6.93E-2</v>
      </c>
      <c r="D62">
        <v>1.9300000000000001E-3</v>
      </c>
      <c r="E62" t="s">
        <v>442</v>
      </c>
      <c r="F62">
        <v>1.2930000000000001E-2</v>
      </c>
      <c r="G62">
        <v>2.0799999999999998E-3</v>
      </c>
      <c r="H62" t="s">
        <v>439</v>
      </c>
      <c r="I62">
        <v>0.54152</v>
      </c>
      <c r="J62">
        <v>6.9199999999999999E-3</v>
      </c>
      <c r="K62" t="s">
        <v>442</v>
      </c>
      <c r="L62">
        <v>2.768E-2</v>
      </c>
      <c r="M62">
        <v>1.0200000000000001E-3</v>
      </c>
      <c r="N62" t="s">
        <v>442</v>
      </c>
      <c r="O62">
        <v>3.8899999999999998E-3</v>
      </c>
      <c r="P62">
        <v>6.9999999999999994E-5</v>
      </c>
      <c r="Q62" t="s">
        <v>442</v>
      </c>
      <c r="R62">
        <v>4.7129999999999998E-2</v>
      </c>
      <c r="S62">
        <v>1.0399999999999999E-3</v>
      </c>
      <c r="T62" t="s">
        <v>442</v>
      </c>
      <c r="U62">
        <v>4.8000000000000001E-4</v>
      </c>
      <c r="V62">
        <v>8.0000000000000007E-5</v>
      </c>
      <c r="W62" t="s">
        <v>439</v>
      </c>
      <c r="X62">
        <v>1.1129999999999999E-2</v>
      </c>
      <c r="Y62">
        <v>8.0000000000000007E-5</v>
      </c>
      <c r="Z62" t="s">
        <v>439</v>
      </c>
      <c r="AA62">
        <v>3.4849999999999999E-2</v>
      </c>
      <c r="AB62">
        <v>6.9999999999999999E-4</v>
      </c>
      <c r="AC62" t="s">
        <v>442</v>
      </c>
      <c r="AD62">
        <v>0.18526999999999999</v>
      </c>
      <c r="AE62">
        <v>3.32E-3</v>
      </c>
      <c r="AF62" t="s">
        <v>442</v>
      </c>
      <c r="AI62" t="s">
        <v>440</v>
      </c>
      <c r="AJ62">
        <v>13.585319999999999</v>
      </c>
      <c r="AK62">
        <v>0.38585999999999998</v>
      </c>
      <c r="AL62" t="s">
        <v>441</v>
      </c>
      <c r="AM62">
        <v>47.894379999999998</v>
      </c>
      <c r="AN62">
        <v>1.27016</v>
      </c>
      <c r="AO62" t="s">
        <v>442</v>
      </c>
      <c r="AP62">
        <v>8.4100000000000008E-3</v>
      </c>
      <c r="AQ62">
        <v>5.5999999999999995E-4</v>
      </c>
      <c r="AR62" t="s">
        <v>442</v>
      </c>
      <c r="AS62">
        <v>0.28566999999999998</v>
      </c>
      <c r="AT62">
        <v>6.3699999999999998E-3</v>
      </c>
      <c r="AU62" t="s">
        <v>442</v>
      </c>
      <c r="AV62">
        <v>2.3700000000000001E-3</v>
      </c>
      <c r="AW62">
        <v>3.0000000000000001E-5</v>
      </c>
      <c r="AX62" t="s">
        <v>442</v>
      </c>
      <c r="AY62">
        <v>-3.8800000000000002E-3</v>
      </c>
      <c r="AZ62">
        <v>1.2E-4</v>
      </c>
      <c r="BA62" t="s">
        <v>439</v>
      </c>
      <c r="BB62">
        <v>2.5400000000000002E-3</v>
      </c>
      <c r="BC62">
        <v>1.2E-4</v>
      </c>
      <c r="BD62" t="s">
        <v>442</v>
      </c>
      <c r="BE62">
        <v>6.0999999999999997E-4</v>
      </c>
      <c r="BF62">
        <v>2.7E-4</v>
      </c>
      <c r="BG62" t="s">
        <v>439</v>
      </c>
      <c r="BH62">
        <v>5.9999999999999995E-4</v>
      </c>
      <c r="BI62">
        <v>1.2E-4</v>
      </c>
      <c r="BJ62" t="s">
        <v>439</v>
      </c>
      <c r="BK62">
        <v>1.5200000000000001E-3</v>
      </c>
      <c r="BL62">
        <v>2.0000000000000002E-5</v>
      </c>
      <c r="BM62" t="s">
        <v>439</v>
      </c>
      <c r="BN62">
        <v>-3.6999999999999999E-4</v>
      </c>
      <c r="BO62">
        <v>1.2E-4</v>
      </c>
      <c r="BP62" t="s">
        <v>439</v>
      </c>
      <c r="BQ62">
        <v>-2.6199999999999999E-3</v>
      </c>
      <c r="BR62">
        <v>5.8E-4</v>
      </c>
      <c r="BS62" t="s">
        <v>439</v>
      </c>
      <c r="BV62" t="s">
        <v>440</v>
      </c>
      <c r="BW62">
        <v>-2.0521199999999999</v>
      </c>
      <c r="BX62">
        <v>3.8000000000000002E-4</v>
      </c>
      <c r="BY62" t="s">
        <v>439</v>
      </c>
      <c r="BZ62">
        <v>4.0529999999999997E-2</v>
      </c>
      <c r="CA62">
        <v>7.6999999999999996E-4</v>
      </c>
      <c r="CB62" t="s">
        <v>442</v>
      </c>
      <c r="CC62">
        <v>2.1901799999999998</v>
      </c>
      <c r="CD62">
        <v>2.087E-2</v>
      </c>
      <c r="CE62" t="s">
        <v>442</v>
      </c>
      <c r="CF62">
        <v>2.1155900000000001</v>
      </c>
      <c r="CG62">
        <v>3.9079999999999997E-2</v>
      </c>
      <c r="CH62" t="s">
        <v>442</v>
      </c>
      <c r="CI62">
        <v>2.2210000000000001</v>
      </c>
      <c r="CJ62">
        <v>2.962E-2</v>
      </c>
      <c r="CK62" t="s">
        <v>442</v>
      </c>
      <c r="CL62">
        <v>0.43983</v>
      </c>
      <c r="CM62">
        <v>9.2300000000000004E-3</v>
      </c>
      <c r="CN62" t="s">
        <v>442</v>
      </c>
      <c r="CO62">
        <v>114.18414</v>
      </c>
      <c r="CP62">
        <v>3.8753799999999998</v>
      </c>
      <c r="CQ62" t="s">
        <v>442</v>
      </c>
      <c r="CR62">
        <v>1.14754</v>
      </c>
      <c r="CS62">
        <v>6.3820000000000002E-2</v>
      </c>
      <c r="CT62" t="s">
        <v>442</v>
      </c>
      <c r="CU62">
        <v>1.91717</v>
      </c>
      <c r="CV62">
        <v>0.1134</v>
      </c>
      <c r="CW62" t="s">
        <v>442</v>
      </c>
      <c r="CX62">
        <v>64.220749999999995</v>
      </c>
      <c r="CY62">
        <v>2.7801499999999999</v>
      </c>
      <c r="CZ62" t="s">
        <v>442</v>
      </c>
      <c r="DA62">
        <v>18.427499999999998</v>
      </c>
      <c r="DB62">
        <v>0.78847</v>
      </c>
      <c r="DC62" t="s">
        <v>442</v>
      </c>
      <c r="DD62">
        <v>80.029309999999995</v>
      </c>
      <c r="DE62">
        <v>3.3945099999999999</v>
      </c>
      <c r="DF62" t="s">
        <v>442</v>
      </c>
      <c r="DG62">
        <v>11.51435</v>
      </c>
      <c r="DH62">
        <v>0.59499999999999997</v>
      </c>
      <c r="DI62" t="s">
        <v>442</v>
      </c>
      <c r="DJ62">
        <v>2.6120000000000001E-2</v>
      </c>
      <c r="DK62">
        <v>7.1999999999999998E-3</v>
      </c>
      <c r="DL62" t="s">
        <v>442</v>
      </c>
      <c r="DM62">
        <v>2.5899999999999999E-3</v>
      </c>
      <c r="DN62">
        <v>3.5E-4</v>
      </c>
      <c r="DO62" t="s">
        <v>439</v>
      </c>
      <c r="DP62">
        <v>0.15462000000000001</v>
      </c>
      <c r="DQ62">
        <v>1.072E-2</v>
      </c>
      <c r="DR62" t="s">
        <v>442</v>
      </c>
      <c r="DS62">
        <v>0.50392000000000003</v>
      </c>
      <c r="DT62">
        <v>2.589E-2</v>
      </c>
      <c r="DU62" t="s">
        <v>442</v>
      </c>
      <c r="DV62">
        <v>2.25387</v>
      </c>
      <c r="DW62">
        <v>0.14877000000000001</v>
      </c>
      <c r="DX62" t="s">
        <v>442</v>
      </c>
      <c r="DY62">
        <v>0.10851</v>
      </c>
      <c r="DZ62">
        <v>2.3999999999999998E-3</v>
      </c>
      <c r="EA62" t="s">
        <v>442</v>
      </c>
      <c r="EB62">
        <v>0.10007000000000001</v>
      </c>
      <c r="EC62">
        <v>3.3500000000000001E-3</v>
      </c>
      <c r="ED62" t="s">
        <v>442</v>
      </c>
      <c r="EE62">
        <v>2.0071099999999999</v>
      </c>
      <c r="EF62">
        <v>8.7540000000000007E-2</v>
      </c>
      <c r="EG62" t="s">
        <v>442</v>
      </c>
      <c r="EH62">
        <v>425.14416</v>
      </c>
      <c r="EI62">
        <v>19.13646</v>
      </c>
      <c r="EJ62" t="s">
        <v>442</v>
      </c>
      <c r="EM62" t="s">
        <v>440</v>
      </c>
      <c r="EN62">
        <v>14.748950000000001</v>
      </c>
      <c r="EO62">
        <v>0.91127999999999998</v>
      </c>
      <c r="EP62" t="s">
        <v>442</v>
      </c>
      <c r="ES62" t="s">
        <v>440</v>
      </c>
      <c r="ET62">
        <v>171.93289999999999</v>
      </c>
      <c r="EU62">
        <v>1.6667099999999999</v>
      </c>
      <c r="EV62" t="s">
        <v>442</v>
      </c>
      <c r="EW62">
        <v>2.1420000000000002E-2</v>
      </c>
      <c r="EX62">
        <v>4.62E-3</v>
      </c>
      <c r="EY62" t="s">
        <v>442</v>
      </c>
      <c r="EZ62">
        <v>14.489190000000001</v>
      </c>
      <c r="FA62">
        <v>0.23696999999999999</v>
      </c>
      <c r="FB62" t="s">
        <v>442</v>
      </c>
      <c r="FC62">
        <v>1.0423899999999999</v>
      </c>
      <c r="FD62">
        <v>0.15085000000000001</v>
      </c>
      <c r="FE62" t="s">
        <v>439</v>
      </c>
      <c r="FF62">
        <v>2.9893299999999998</v>
      </c>
      <c r="FG62">
        <v>0.43540000000000001</v>
      </c>
      <c r="FH62" t="s">
        <v>441</v>
      </c>
      <c r="FK62" t="s">
        <v>440</v>
      </c>
      <c r="FN62" t="s">
        <v>440</v>
      </c>
      <c r="FO62">
        <v>15.736470000000001</v>
      </c>
      <c r="FP62">
        <v>0.31855</v>
      </c>
      <c r="FQ62" t="s">
        <v>441</v>
      </c>
      <c r="FT62" t="s">
        <v>440</v>
      </c>
      <c r="FX62">
        <v>61</v>
      </c>
    </row>
    <row r="63" spans="2:180" x14ac:dyDescent="0.2">
      <c r="B63" t="s">
        <v>129</v>
      </c>
      <c r="C63">
        <v>4.65E-2</v>
      </c>
      <c r="D63">
        <v>1.58E-3</v>
      </c>
      <c r="E63" t="s">
        <v>439</v>
      </c>
      <c r="F63">
        <v>1.039E-2</v>
      </c>
      <c r="G63">
        <v>3.5000000000000001E-3</v>
      </c>
      <c r="H63" t="s">
        <v>439</v>
      </c>
      <c r="I63">
        <v>0.14226</v>
      </c>
      <c r="J63">
        <v>8.9999999999999998E-4</v>
      </c>
      <c r="K63" t="s">
        <v>442</v>
      </c>
      <c r="L63">
        <v>1.9689999999999999E-2</v>
      </c>
      <c r="M63">
        <v>9.3000000000000005E-4</v>
      </c>
      <c r="N63" t="s">
        <v>439</v>
      </c>
      <c r="O63">
        <v>3.49E-3</v>
      </c>
      <c r="P63">
        <v>4.0000000000000003E-5</v>
      </c>
      <c r="Q63" t="s">
        <v>439</v>
      </c>
      <c r="R63">
        <v>3.3750000000000002E-2</v>
      </c>
      <c r="S63">
        <v>8.5999999999999998E-4</v>
      </c>
      <c r="T63" t="s">
        <v>442</v>
      </c>
      <c r="U63">
        <v>5.2999999999999998E-4</v>
      </c>
      <c r="V63">
        <v>9.0000000000000006E-5</v>
      </c>
      <c r="W63" t="s">
        <v>439</v>
      </c>
      <c r="X63">
        <v>1.136E-2</v>
      </c>
      <c r="Y63">
        <v>4.8999999999999998E-4</v>
      </c>
      <c r="Z63" t="s">
        <v>439</v>
      </c>
      <c r="AA63">
        <v>3.0159999999999999E-2</v>
      </c>
      <c r="AB63">
        <v>8.0999999999999996E-4</v>
      </c>
      <c r="AC63" t="s">
        <v>442</v>
      </c>
      <c r="AD63">
        <v>4.6149999999999997E-2</v>
      </c>
      <c r="AE63">
        <v>2.8E-3</v>
      </c>
      <c r="AF63" t="s">
        <v>442</v>
      </c>
      <c r="AI63" t="s">
        <v>440</v>
      </c>
      <c r="AJ63">
        <v>7.6714099999999998</v>
      </c>
      <c r="AK63">
        <v>0.14157</v>
      </c>
      <c r="AL63" t="s">
        <v>441</v>
      </c>
      <c r="AM63">
        <v>13.30542</v>
      </c>
      <c r="AN63">
        <v>0.25758999999999999</v>
      </c>
      <c r="AO63" t="s">
        <v>442</v>
      </c>
      <c r="AP63">
        <v>-8.6599999999999993E-3</v>
      </c>
      <c r="AQ63">
        <v>1.9000000000000001E-4</v>
      </c>
      <c r="AR63" t="s">
        <v>439</v>
      </c>
      <c r="AS63">
        <v>0.1817</v>
      </c>
      <c r="AT63">
        <v>4.4799999999999996E-3</v>
      </c>
      <c r="AU63" t="s">
        <v>442</v>
      </c>
      <c r="AV63">
        <v>-3.4000000000000002E-4</v>
      </c>
      <c r="AW63">
        <v>3.0000000000000001E-5</v>
      </c>
      <c r="AX63" t="s">
        <v>439</v>
      </c>
      <c r="AY63">
        <v>-3.96E-3</v>
      </c>
      <c r="AZ63">
        <v>1.4999999999999999E-4</v>
      </c>
      <c r="BA63" t="s">
        <v>439</v>
      </c>
      <c r="BB63">
        <v>2.98E-3</v>
      </c>
      <c r="BC63">
        <v>2.2000000000000001E-4</v>
      </c>
      <c r="BD63" t="s">
        <v>442</v>
      </c>
      <c r="BE63">
        <v>4.6000000000000001E-4</v>
      </c>
      <c r="BF63">
        <v>1.2999999999999999E-4</v>
      </c>
      <c r="BG63" t="s">
        <v>439</v>
      </c>
      <c r="BH63">
        <v>3.8999999999999999E-4</v>
      </c>
      <c r="BI63">
        <v>1.2999999999999999E-4</v>
      </c>
      <c r="BJ63" t="s">
        <v>439</v>
      </c>
      <c r="BK63">
        <v>1.5E-3</v>
      </c>
      <c r="BL63">
        <v>0</v>
      </c>
      <c r="BM63" t="s">
        <v>439</v>
      </c>
      <c r="BN63">
        <v>-2.2000000000000001E-4</v>
      </c>
      <c r="BO63">
        <v>3.3E-4</v>
      </c>
      <c r="BP63" t="s">
        <v>439</v>
      </c>
      <c r="BQ63">
        <v>-7.3699999999999998E-3</v>
      </c>
      <c r="BR63">
        <v>3.2000000000000003E-4</v>
      </c>
      <c r="BS63" t="s">
        <v>439</v>
      </c>
      <c r="BV63" t="s">
        <v>440</v>
      </c>
      <c r="BW63">
        <v>-2.0521799999999999</v>
      </c>
      <c r="BX63">
        <v>5.8E-4</v>
      </c>
      <c r="BY63" t="s">
        <v>439</v>
      </c>
      <c r="BZ63">
        <v>9.8700000000000003E-3</v>
      </c>
      <c r="CA63">
        <v>1.3999999999999999E-4</v>
      </c>
      <c r="CB63" t="s">
        <v>442</v>
      </c>
      <c r="CC63">
        <v>0.52800000000000002</v>
      </c>
      <c r="CD63">
        <v>1.0749999999999999E-2</v>
      </c>
      <c r="CE63" t="s">
        <v>442</v>
      </c>
      <c r="CF63">
        <v>0.52403</v>
      </c>
      <c r="CG63">
        <v>1.9879999999999998E-2</v>
      </c>
      <c r="CH63" t="s">
        <v>442</v>
      </c>
      <c r="CI63">
        <v>0.51439000000000001</v>
      </c>
      <c r="CJ63">
        <v>1.6879999999999999E-2</v>
      </c>
      <c r="CK63" t="s">
        <v>442</v>
      </c>
      <c r="CL63">
        <v>9.5570000000000002E-2</v>
      </c>
      <c r="CM63">
        <v>3.7100000000000002E-3</v>
      </c>
      <c r="CN63" t="s">
        <v>442</v>
      </c>
      <c r="CO63">
        <v>37.951520000000002</v>
      </c>
      <c r="CP63">
        <v>0.77703999999999995</v>
      </c>
      <c r="CQ63" t="s">
        <v>442</v>
      </c>
      <c r="CR63">
        <v>0.53210000000000002</v>
      </c>
      <c r="CS63">
        <v>2.9199999999999999E-3</v>
      </c>
      <c r="CT63" t="s">
        <v>442</v>
      </c>
      <c r="CU63">
        <v>3.0017999999999998</v>
      </c>
      <c r="CV63">
        <v>7.8750000000000001E-2</v>
      </c>
      <c r="CW63" t="s">
        <v>442</v>
      </c>
      <c r="CX63">
        <v>21.208130000000001</v>
      </c>
      <c r="CY63">
        <v>0.69260999999999995</v>
      </c>
      <c r="CZ63" t="s">
        <v>442</v>
      </c>
      <c r="DA63">
        <v>18.30508</v>
      </c>
      <c r="DB63">
        <v>0.56479000000000001</v>
      </c>
      <c r="DC63" t="s">
        <v>442</v>
      </c>
      <c r="DD63">
        <v>21.419560000000001</v>
      </c>
      <c r="DE63">
        <v>0.47932999999999998</v>
      </c>
      <c r="DF63" t="s">
        <v>442</v>
      </c>
      <c r="DG63">
        <v>10.93365</v>
      </c>
      <c r="DH63">
        <v>0.12706999999999999</v>
      </c>
      <c r="DI63" t="s">
        <v>442</v>
      </c>
      <c r="DJ63">
        <v>1.206E-2</v>
      </c>
      <c r="DK63">
        <v>5.4299999999999999E-3</v>
      </c>
      <c r="DL63" t="s">
        <v>439</v>
      </c>
      <c r="DM63">
        <v>2.2899999999999999E-3</v>
      </c>
      <c r="DN63">
        <v>2.5000000000000001E-4</v>
      </c>
      <c r="DO63" t="s">
        <v>439</v>
      </c>
      <c r="DP63">
        <v>0.24229999999999999</v>
      </c>
      <c r="DQ63">
        <v>6.3200000000000001E-3</v>
      </c>
      <c r="DR63" t="s">
        <v>442</v>
      </c>
      <c r="DS63">
        <v>0.26783000000000001</v>
      </c>
      <c r="DT63">
        <v>8.6999999999999994E-3</v>
      </c>
      <c r="DU63" t="s">
        <v>442</v>
      </c>
      <c r="DV63">
        <v>2.54772</v>
      </c>
      <c r="DW63">
        <v>0.11146</v>
      </c>
      <c r="DX63" t="s">
        <v>442</v>
      </c>
      <c r="DY63">
        <v>1.9089999999999999E-2</v>
      </c>
      <c r="DZ63">
        <v>2.1000000000000001E-4</v>
      </c>
      <c r="EA63" t="s">
        <v>439</v>
      </c>
      <c r="EB63">
        <v>1.13913</v>
      </c>
      <c r="EC63">
        <v>2.1860000000000001E-2</v>
      </c>
      <c r="ED63" t="s">
        <v>442</v>
      </c>
      <c r="EE63">
        <v>0.65571999999999997</v>
      </c>
      <c r="EF63">
        <v>9.6699999999999998E-3</v>
      </c>
      <c r="EG63" t="s">
        <v>442</v>
      </c>
      <c r="EH63">
        <v>83.286010000000005</v>
      </c>
      <c r="EI63">
        <v>1.4175899999999999</v>
      </c>
      <c r="EJ63" t="s">
        <v>442</v>
      </c>
      <c r="EM63" t="s">
        <v>440</v>
      </c>
      <c r="EN63">
        <v>7.7101199999999999</v>
      </c>
      <c r="EO63">
        <v>0.19930999999999999</v>
      </c>
      <c r="EP63" t="s">
        <v>442</v>
      </c>
      <c r="ES63" t="s">
        <v>440</v>
      </c>
      <c r="ET63">
        <v>47.636369999999999</v>
      </c>
      <c r="EU63">
        <v>1.27406</v>
      </c>
      <c r="EV63" t="s">
        <v>442</v>
      </c>
      <c r="EW63">
        <v>8.0700000000000008E-3</v>
      </c>
      <c r="EX63">
        <v>2.0600000000000002E-3</v>
      </c>
      <c r="EY63" t="s">
        <v>442</v>
      </c>
      <c r="EZ63">
        <v>1.9394899999999999</v>
      </c>
      <c r="FA63">
        <v>0.19081000000000001</v>
      </c>
      <c r="FB63" t="s">
        <v>442</v>
      </c>
      <c r="FC63">
        <v>0.74899000000000004</v>
      </c>
      <c r="FD63">
        <v>0.25129000000000001</v>
      </c>
      <c r="FE63" t="s">
        <v>439</v>
      </c>
      <c r="FF63">
        <v>3.6095000000000002</v>
      </c>
      <c r="FG63">
        <v>0.35854000000000003</v>
      </c>
      <c r="FH63" t="s">
        <v>441</v>
      </c>
      <c r="FK63" t="s">
        <v>440</v>
      </c>
      <c r="FN63" t="s">
        <v>440</v>
      </c>
      <c r="FO63">
        <v>8.1219599999999996</v>
      </c>
      <c r="FP63">
        <v>0.24176</v>
      </c>
      <c r="FQ63" t="s">
        <v>441</v>
      </c>
      <c r="FT63" t="s">
        <v>440</v>
      </c>
      <c r="FX63">
        <v>62</v>
      </c>
    </row>
    <row r="64" spans="2:180" x14ac:dyDescent="0.2">
      <c r="B64" t="s">
        <v>130</v>
      </c>
      <c r="C64">
        <v>2.9899999999999999E-2</v>
      </c>
      <c r="D64">
        <v>1.2899999999999999E-3</v>
      </c>
      <c r="E64" t="s">
        <v>439</v>
      </c>
      <c r="F64">
        <v>6.7200000000000003E-3</v>
      </c>
      <c r="G64">
        <v>3.1099999999999999E-3</v>
      </c>
      <c r="H64" t="s">
        <v>439</v>
      </c>
      <c r="I64">
        <v>7.7200000000000005E-2</v>
      </c>
      <c r="J64">
        <v>1.67E-3</v>
      </c>
      <c r="K64" t="s">
        <v>442</v>
      </c>
      <c r="L64">
        <v>1.907E-2</v>
      </c>
      <c r="M64">
        <v>6.3000000000000003E-4</v>
      </c>
      <c r="N64" t="s">
        <v>439</v>
      </c>
      <c r="O64">
        <v>3.47E-3</v>
      </c>
      <c r="P64">
        <v>6.0000000000000002E-5</v>
      </c>
      <c r="Q64" t="s">
        <v>439</v>
      </c>
      <c r="R64">
        <v>3.6260000000000001E-2</v>
      </c>
      <c r="S64">
        <v>3.0000000000000001E-5</v>
      </c>
      <c r="T64" t="s">
        <v>442</v>
      </c>
      <c r="U64">
        <v>3.6000000000000002E-4</v>
      </c>
      <c r="V64">
        <v>8.0000000000000007E-5</v>
      </c>
      <c r="W64" t="s">
        <v>439</v>
      </c>
      <c r="X64">
        <v>1.0019999999999999E-2</v>
      </c>
      <c r="Y64">
        <v>3.0000000000000001E-5</v>
      </c>
      <c r="Z64" t="s">
        <v>439</v>
      </c>
      <c r="AA64">
        <v>1.5779999999999999E-2</v>
      </c>
      <c r="AB64">
        <v>2.7E-4</v>
      </c>
      <c r="AC64" t="s">
        <v>442</v>
      </c>
      <c r="AD64">
        <v>2.0379999999999999E-2</v>
      </c>
      <c r="AE64">
        <v>2.0400000000000001E-3</v>
      </c>
      <c r="AF64" t="s">
        <v>442</v>
      </c>
      <c r="AI64" t="s">
        <v>440</v>
      </c>
      <c r="AJ64">
        <v>1.35036</v>
      </c>
      <c r="AK64">
        <v>9.6500000000000006E-3</v>
      </c>
      <c r="AL64" t="s">
        <v>441</v>
      </c>
      <c r="AM64">
        <v>4.3588899999999997</v>
      </c>
      <c r="AN64">
        <v>7.0669999999999997E-2</v>
      </c>
      <c r="AO64" t="s">
        <v>442</v>
      </c>
      <c r="AP64">
        <v>-1.0789999999999999E-2</v>
      </c>
      <c r="AQ64">
        <v>1.0000000000000001E-5</v>
      </c>
      <c r="AR64" t="s">
        <v>439</v>
      </c>
      <c r="AS64">
        <v>0.12465</v>
      </c>
      <c r="AT64">
        <v>4.2700000000000004E-3</v>
      </c>
      <c r="AU64" t="s">
        <v>442</v>
      </c>
      <c r="AV64">
        <v>-9.7999999999999997E-4</v>
      </c>
      <c r="AW64">
        <v>4.0000000000000003E-5</v>
      </c>
      <c r="AX64" t="s">
        <v>439</v>
      </c>
      <c r="AY64">
        <v>-4.3299999999999996E-3</v>
      </c>
      <c r="AZ64">
        <v>2.0000000000000002E-5</v>
      </c>
      <c r="BA64" t="s">
        <v>439</v>
      </c>
      <c r="BB64">
        <v>2.3800000000000002E-3</v>
      </c>
      <c r="BC64">
        <v>5.0000000000000002E-5</v>
      </c>
      <c r="BD64" t="s">
        <v>442</v>
      </c>
      <c r="BE64">
        <v>2.0000000000000001E-4</v>
      </c>
      <c r="BF64">
        <v>1.1E-4</v>
      </c>
      <c r="BG64" t="s">
        <v>439</v>
      </c>
      <c r="BH64">
        <v>2.2000000000000001E-4</v>
      </c>
      <c r="BI64">
        <v>1.9000000000000001E-4</v>
      </c>
      <c r="BJ64" t="s">
        <v>439</v>
      </c>
      <c r="BK64">
        <v>1.47E-3</v>
      </c>
      <c r="BL64">
        <v>1.0000000000000001E-5</v>
      </c>
      <c r="BM64" t="s">
        <v>439</v>
      </c>
      <c r="BN64">
        <v>-5.0000000000000001E-4</v>
      </c>
      <c r="BO64">
        <v>9.0000000000000006E-5</v>
      </c>
      <c r="BP64" t="s">
        <v>439</v>
      </c>
      <c r="BQ64">
        <v>8.7000000000000001E-4</v>
      </c>
      <c r="BR64">
        <v>1.0399999999999999E-3</v>
      </c>
      <c r="BS64" t="s">
        <v>439</v>
      </c>
      <c r="BV64" t="s">
        <v>440</v>
      </c>
      <c r="BW64">
        <v>-2.0532300000000001</v>
      </c>
      <c r="BX64">
        <v>4.6000000000000001E-4</v>
      </c>
      <c r="BY64" t="s">
        <v>439</v>
      </c>
      <c r="BZ64">
        <v>9.1999999999999998E-3</v>
      </c>
      <c r="CA64">
        <v>1E-4</v>
      </c>
      <c r="CB64" t="s">
        <v>442</v>
      </c>
      <c r="CC64">
        <v>0.25580999999999998</v>
      </c>
      <c r="CD64">
        <v>3.65E-3</v>
      </c>
      <c r="CE64" t="s">
        <v>442</v>
      </c>
      <c r="CF64">
        <v>0.27073999999999998</v>
      </c>
      <c r="CG64">
        <v>3.3400000000000001E-3</v>
      </c>
      <c r="CH64" t="s">
        <v>442</v>
      </c>
      <c r="CI64">
        <v>0.24942</v>
      </c>
      <c r="CJ64">
        <v>1.1000000000000001E-3</v>
      </c>
      <c r="CK64" t="s">
        <v>442</v>
      </c>
      <c r="CL64">
        <v>4.9169999999999998E-2</v>
      </c>
      <c r="CM64">
        <v>1.01E-3</v>
      </c>
      <c r="CN64" t="s">
        <v>442</v>
      </c>
      <c r="CO64">
        <v>16.05368</v>
      </c>
      <c r="CP64">
        <v>0.35220000000000001</v>
      </c>
      <c r="CQ64" t="s">
        <v>442</v>
      </c>
      <c r="CR64">
        <v>0.86699000000000004</v>
      </c>
      <c r="CS64">
        <v>1.268E-2</v>
      </c>
      <c r="CT64" t="s">
        <v>442</v>
      </c>
      <c r="CU64">
        <v>3.4258899999999999</v>
      </c>
      <c r="CV64">
        <v>2.2069999999999999E-2</v>
      </c>
      <c r="CW64" t="s">
        <v>442</v>
      </c>
      <c r="CX64">
        <v>16.126729999999998</v>
      </c>
      <c r="CY64">
        <v>0.14895</v>
      </c>
      <c r="CZ64" t="s">
        <v>442</v>
      </c>
      <c r="DA64">
        <v>7.27806</v>
      </c>
      <c r="DB64">
        <v>8.7400000000000005E-2</v>
      </c>
      <c r="DC64" t="s">
        <v>442</v>
      </c>
      <c r="DD64">
        <v>9.8925400000000003</v>
      </c>
      <c r="DE64">
        <v>0.16574</v>
      </c>
      <c r="DF64" t="s">
        <v>442</v>
      </c>
      <c r="DG64">
        <v>18.884239999999998</v>
      </c>
      <c r="DH64">
        <v>0.39180999999999999</v>
      </c>
      <c r="DI64" t="s">
        <v>442</v>
      </c>
      <c r="DJ64">
        <v>2.2780000000000002E-2</v>
      </c>
      <c r="DK64">
        <v>7.8700000000000003E-3</v>
      </c>
      <c r="DL64" t="s">
        <v>439</v>
      </c>
      <c r="DM64">
        <v>2.5400000000000002E-3</v>
      </c>
      <c r="DN64">
        <v>1.6000000000000001E-4</v>
      </c>
      <c r="DO64" t="s">
        <v>439</v>
      </c>
      <c r="DP64">
        <v>0.13449</v>
      </c>
      <c r="DQ64">
        <v>2.4499999999999999E-3</v>
      </c>
      <c r="DR64" t="s">
        <v>442</v>
      </c>
      <c r="DS64">
        <v>7.5179999999999997E-2</v>
      </c>
      <c r="DT64">
        <v>2.81E-3</v>
      </c>
      <c r="DU64" t="s">
        <v>442</v>
      </c>
      <c r="DV64">
        <v>1.21557</v>
      </c>
      <c r="DW64">
        <v>2.9260000000000001E-2</v>
      </c>
      <c r="DX64" t="s">
        <v>442</v>
      </c>
      <c r="DY64">
        <v>1.383E-2</v>
      </c>
      <c r="DZ64">
        <v>1.4E-3</v>
      </c>
      <c r="EA64" t="s">
        <v>439</v>
      </c>
      <c r="EB64">
        <v>0.11144999999999999</v>
      </c>
      <c r="EC64">
        <v>2.7100000000000002E-3</v>
      </c>
      <c r="ED64" t="s">
        <v>442</v>
      </c>
      <c r="EE64">
        <v>0.49408999999999997</v>
      </c>
      <c r="EF64">
        <v>2.273E-2</v>
      </c>
      <c r="EG64" t="s">
        <v>442</v>
      </c>
      <c r="EH64">
        <v>37.388460000000002</v>
      </c>
      <c r="EI64">
        <v>0.80642000000000003</v>
      </c>
      <c r="EJ64" t="s">
        <v>442</v>
      </c>
      <c r="EM64" t="s">
        <v>440</v>
      </c>
      <c r="EN64">
        <v>1.3807400000000001</v>
      </c>
      <c r="EO64">
        <v>1.264E-2</v>
      </c>
      <c r="EP64" t="s">
        <v>442</v>
      </c>
      <c r="ES64" t="s">
        <v>440</v>
      </c>
      <c r="ET64">
        <v>22.235040000000001</v>
      </c>
      <c r="EU64">
        <v>9.2039999999999997E-2</v>
      </c>
      <c r="EV64" t="s">
        <v>442</v>
      </c>
      <c r="EW64">
        <v>1.39E-3</v>
      </c>
      <c r="EX64">
        <v>1.65E-3</v>
      </c>
      <c r="EY64" t="s">
        <v>439</v>
      </c>
      <c r="EZ64">
        <v>0.55186999999999997</v>
      </c>
      <c r="FA64">
        <v>3.875E-2</v>
      </c>
      <c r="FB64" t="s">
        <v>442</v>
      </c>
      <c r="FC64">
        <v>0.27332000000000001</v>
      </c>
      <c r="FD64">
        <v>6.5299999999999997E-2</v>
      </c>
      <c r="FE64" t="s">
        <v>439</v>
      </c>
      <c r="FF64">
        <v>1.72184</v>
      </c>
      <c r="FG64">
        <v>0.34625</v>
      </c>
      <c r="FH64" t="s">
        <v>441</v>
      </c>
      <c r="FK64" t="s">
        <v>440</v>
      </c>
      <c r="FN64" t="s">
        <v>440</v>
      </c>
      <c r="FO64">
        <v>1.45601</v>
      </c>
      <c r="FP64">
        <v>5.1670000000000001E-2</v>
      </c>
      <c r="FQ64" t="s">
        <v>441</v>
      </c>
      <c r="FT64" t="s">
        <v>440</v>
      </c>
      <c r="FX64">
        <v>63</v>
      </c>
    </row>
    <row r="65" spans="2:180" x14ac:dyDescent="0.2">
      <c r="B65" t="s">
        <v>131</v>
      </c>
      <c r="C65">
        <v>5.0999999999999997E-2</v>
      </c>
      <c r="D65">
        <v>8.0999999999999996E-4</v>
      </c>
      <c r="E65" t="s">
        <v>439</v>
      </c>
      <c r="F65">
        <v>1.2370000000000001E-2</v>
      </c>
      <c r="G65">
        <v>2.5200000000000001E-3</v>
      </c>
      <c r="H65" t="s">
        <v>439</v>
      </c>
      <c r="I65">
        <v>0.15834000000000001</v>
      </c>
      <c r="J65">
        <v>3.82E-3</v>
      </c>
      <c r="K65" t="s">
        <v>442</v>
      </c>
      <c r="L65">
        <v>6.4180000000000001E-2</v>
      </c>
      <c r="M65">
        <v>2.14E-3</v>
      </c>
      <c r="N65" t="s">
        <v>442</v>
      </c>
      <c r="O65">
        <v>8.1600000000000006E-3</v>
      </c>
      <c r="P65">
        <v>6.0000000000000002E-5</v>
      </c>
      <c r="Q65" t="s">
        <v>442</v>
      </c>
      <c r="R65">
        <v>6.6650000000000001E-2</v>
      </c>
      <c r="S65">
        <v>1.6999999999999999E-3</v>
      </c>
      <c r="T65" t="s">
        <v>442</v>
      </c>
      <c r="U65">
        <v>5.5000000000000003E-4</v>
      </c>
      <c r="V65">
        <v>3.0000000000000001E-5</v>
      </c>
      <c r="W65" t="s">
        <v>439</v>
      </c>
      <c r="X65">
        <v>1.1379999999999999E-2</v>
      </c>
      <c r="Y65">
        <v>1.2999999999999999E-4</v>
      </c>
      <c r="Z65" t="s">
        <v>439</v>
      </c>
      <c r="AA65">
        <v>2.5360000000000001E-2</v>
      </c>
      <c r="AB65">
        <v>1.8000000000000001E-4</v>
      </c>
      <c r="AC65" t="s">
        <v>442</v>
      </c>
      <c r="AD65">
        <v>0.13355</v>
      </c>
      <c r="AE65">
        <v>3.5699999999999998E-3</v>
      </c>
      <c r="AF65" t="s">
        <v>442</v>
      </c>
      <c r="AI65" t="s">
        <v>440</v>
      </c>
      <c r="AJ65">
        <v>7.6579499999999996</v>
      </c>
      <c r="AK65">
        <v>9.4329999999999997E-2</v>
      </c>
      <c r="AL65" t="s">
        <v>441</v>
      </c>
      <c r="AM65">
        <v>18.930810000000001</v>
      </c>
      <c r="AN65">
        <v>8.3150000000000002E-2</v>
      </c>
      <c r="AO65" t="s">
        <v>442</v>
      </c>
      <c r="AP65">
        <v>-8.8599999999999998E-3</v>
      </c>
      <c r="AQ65">
        <v>3.0000000000000001E-5</v>
      </c>
      <c r="AR65" t="s">
        <v>439</v>
      </c>
      <c r="AS65">
        <v>0.27433000000000002</v>
      </c>
      <c r="AT65">
        <v>3.62E-3</v>
      </c>
      <c r="AU65" t="s">
        <v>442</v>
      </c>
      <c r="AV65">
        <v>1.0399999999999999E-3</v>
      </c>
      <c r="AW65">
        <v>1.4999999999999999E-4</v>
      </c>
      <c r="AX65" t="s">
        <v>439</v>
      </c>
      <c r="AY65">
        <v>-2.96E-3</v>
      </c>
      <c r="AZ65">
        <v>6.9999999999999994E-5</v>
      </c>
      <c r="BA65" t="s">
        <v>439</v>
      </c>
      <c r="BB65">
        <v>3.0500000000000002E-3</v>
      </c>
      <c r="BC65">
        <v>9.0000000000000006E-5</v>
      </c>
      <c r="BD65" t="s">
        <v>442</v>
      </c>
      <c r="BE65">
        <v>5.4000000000000001E-4</v>
      </c>
      <c r="BF65">
        <v>4.0000000000000003E-5</v>
      </c>
      <c r="BG65" t="s">
        <v>439</v>
      </c>
      <c r="BH65">
        <v>6.2E-4</v>
      </c>
      <c r="BI65">
        <v>2.3000000000000001E-4</v>
      </c>
      <c r="BJ65" t="s">
        <v>439</v>
      </c>
      <c r="BK65">
        <v>1.49E-3</v>
      </c>
      <c r="BL65">
        <v>1.0000000000000001E-5</v>
      </c>
      <c r="BM65" t="s">
        <v>439</v>
      </c>
      <c r="BN65">
        <v>-3.4000000000000002E-4</v>
      </c>
      <c r="BO65">
        <v>6.0000000000000002E-5</v>
      </c>
      <c r="BP65" t="s">
        <v>439</v>
      </c>
      <c r="BQ65">
        <v>-1.2800000000000001E-3</v>
      </c>
      <c r="BR65">
        <v>1.3999999999999999E-4</v>
      </c>
      <c r="BS65" t="s">
        <v>439</v>
      </c>
      <c r="BV65" t="s">
        <v>440</v>
      </c>
      <c r="BW65">
        <v>-2.0522999999999998</v>
      </c>
      <c r="BX65">
        <v>4.4000000000000002E-4</v>
      </c>
      <c r="BY65" t="s">
        <v>439</v>
      </c>
      <c r="BZ65">
        <v>7.0200000000000002E-3</v>
      </c>
      <c r="CA65">
        <v>1.1E-4</v>
      </c>
      <c r="CB65" t="s">
        <v>442</v>
      </c>
      <c r="CC65">
        <v>0.64154</v>
      </c>
      <c r="CD65">
        <v>1.2500000000000001E-2</v>
      </c>
      <c r="CE65" t="s">
        <v>442</v>
      </c>
      <c r="CF65">
        <v>0.66102000000000005</v>
      </c>
      <c r="CG65">
        <v>1.209E-2</v>
      </c>
      <c r="CH65" t="s">
        <v>442</v>
      </c>
      <c r="CI65">
        <v>0.64959999999999996</v>
      </c>
      <c r="CJ65">
        <v>9.5499999999999995E-3</v>
      </c>
      <c r="CK65" t="s">
        <v>442</v>
      </c>
      <c r="CL65">
        <v>9.3880000000000005E-2</v>
      </c>
      <c r="CM65">
        <v>1.6100000000000001E-3</v>
      </c>
      <c r="CN65" t="s">
        <v>442</v>
      </c>
      <c r="CO65">
        <v>56.172080000000001</v>
      </c>
      <c r="CP65">
        <v>1.73705</v>
      </c>
      <c r="CQ65" t="s">
        <v>442</v>
      </c>
      <c r="CR65">
        <v>2.61809</v>
      </c>
      <c r="CS65">
        <v>0.10299</v>
      </c>
      <c r="CT65" t="s">
        <v>442</v>
      </c>
      <c r="CU65">
        <v>3.27033</v>
      </c>
      <c r="CV65">
        <v>7.5670000000000001E-2</v>
      </c>
      <c r="CW65" t="s">
        <v>442</v>
      </c>
      <c r="CX65">
        <v>26.440850000000001</v>
      </c>
      <c r="CY65">
        <v>1.33324</v>
      </c>
      <c r="CZ65" t="s">
        <v>442</v>
      </c>
      <c r="DA65">
        <v>17.582840000000001</v>
      </c>
      <c r="DB65">
        <v>0.53602000000000005</v>
      </c>
      <c r="DC65" t="s">
        <v>442</v>
      </c>
      <c r="DD65">
        <v>23.41479</v>
      </c>
      <c r="DE65">
        <v>0.71064000000000005</v>
      </c>
      <c r="DF65" t="s">
        <v>442</v>
      </c>
      <c r="DG65">
        <v>29.837510000000002</v>
      </c>
      <c r="DH65">
        <v>0.82133999999999996</v>
      </c>
      <c r="DI65" t="s">
        <v>442</v>
      </c>
      <c r="DJ65">
        <v>0.13483999999999999</v>
      </c>
      <c r="DK65">
        <v>8.9300000000000004E-3</v>
      </c>
      <c r="DL65" t="s">
        <v>442</v>
      </c>
      <c r="DM65">
        <v>5.6600000000000001E-3</v>
      </c>
      <c r="DN65">
        <v>5.1000000000000004E-4</v>
      </c>
      <c r="DO65" t="s">
        <v>442</v>
      </c>
      <c r="DP65">
        <v>1.09962</v>
      </c>
      <c r="DQ65">
        <v>3.2890000000000003E-2</v>
      </c>
      <c r="DR65" t="s">
        <v>442</v>
      </c>
      <c r="DS65">
        <v>0.94474000000000002</v>
      </c>
      <c r="DT65">
        <v>1.9959999999999999E-2</v>
      </c>
      <c r="DU65" t="s">
        <v>442</v>
      </c>
      <c r="DV65">
        <v>6.6734499999999999</v>
      </c>
      <c r="DW65">
        <v>0.26935999999999999</v>
      </c>
      <c r="DX65" t="s">
        <v>442</v>
      </c>
      <c r="DY65">
        <v>5.8360000000000002E-2</v>
      </c>
      <c r="DZ65">
        <v>3.0799999999999998E-3</v>
      </c>
      <c r="EA65" t="s">
        <v>442</v>
      </c>
      <c r="EB65">
        <v>1.14727</v>
      </c>
      <c r="EC65">
        <v>6.3719999999999999E-2</v>
      </c>
      <c r="ED65" t="s">
        <v>442</v>
      </c>
      <c r="EE65">
        <v>1.5938399999999999</v>
      </c>
      <c r="EF65">
        <v>5.9979999999999999E-2</v>
      </c>
      <c r="EG65" t="s">
        <v>442</v>
      </c>
      <c r="EH65">
        <v>195.86340000000001</v>
      </c>
      <c r="EI65">
        <v>7.5201799999999999</v>
      </c>
      <c r="EJ65" t="s">
        <v>442</v>
      </c>
      <c r="EM65" t="s">
        <v>440</v>
      </c>
      <c r="EN65">
        <v>7.4592200000000002</v>
      </c>
      <c r="EO65">
        <v>0.27059</v>
      </c>
      <c r="EP65" t="s">
        <v>442</v>
      </c>
      <c r="ES65" t="s">
        <v>440</v>
      </c>
      <c r="ET65">
        <v>54.215409999999999</v>
      </c>
      <c r="EU65">
        <v>0.21007999999999999</v>
      </c>
      <c r="EV65" t="s">
        <v>442</v>
      </c>
      <c r="EW65">
        <v>5.1200000000000004E-3</v>
      </c>
      <c r="EX65">
        <v>2.4599999999999999E-3</v>
      </c>
      <c r="EY65" t="s">
        <v>439</v>
      </c>
      <c r="EZ65">
        <v>4.3703000000000003</v>
      </c>
      <c r="FA65">
        <v>0.13780000000000001</v>
      </c>
      <c r="FB65" t="s">
        <v>442</v>
      </c>
      <c r="FC65">
        <v>0.41037000000000001</v>
      </c>
      <c r="FD65">
        <v>0.16805999999999999</v>
      </c>
      <c r="FE65" t="s">
        <v>439</v>
      </c>
      <c r="FF65">
        <v>2.9718599999999999</v>
      </c>
      <c r="FG65">
        <v>0.38027</v>
      </c>
      <c r="FH65" t="s">
        <v>441</v>
      </c>
      <c r="FK65" t="s">
        <v>440</v>
      </c>
      <c r="FN65" t="s">
        <v>440</v>
      </c>
      <c r="FO65">
        <v>7.5735299999999999</v>
      </c>
      <c r="FP65">
        <v>0.16547000000000001</v>
      </c>
      <c r="FQ65" t="s">
        <v>441</v>
      </c>
      <c r="FT65" t="s">
        <v>440</v>
      </c>
      <c r="FX65">
        <v>64</v>
      </c>
    </row>
    <row r="66" spans="2:180" x14ac:dyDescent="0.2">
      <c r="B66" t="s">
        <v>132</v>
      </c>
      <c r="C66">
        <v>0.27605000000000002</v>
      </c>
      <c r="D66">
        <v>8.8000000000000003E-4</v>
      </c>
      <c r="E66" t="e">
        <f>IF((ABS($C$66-$C$58)/(($C$66+$C$58)/2)) &lt;#REF!, "Dp","Df")</f>
        <v>#REF!</v>
      </c>
      <c r="F66">
        <v>1.6299999999999999E-2</v>
      </c>
      <c r="G66">
        <v>1.9400000000000001E-3</v>
      </c>
      <c r="H66" t="e">
        <f>IF((ABS($F$66-$F$58)/(($F$66+$F$58)/2)) &lt;#REF!, "Dp","Df")</f>
        <v>#REF!</v>
      </c>
      <c r="I66">
        <v>2.8549099999999998</v>
      </c>
      <c r="J66">
        <v>2.3900000000000001E-2</v>
      </c>
      <c r="K66" t="e">
        <f>IF((ABS($I$66-$I$58)/(($I$66+$I$58)/2)) &lt;#REF!, "Dp","Df")</f>
        <v>#REF!</v>
      </c>
      <c r="L66">
        <v>9.0789999999999996E-2</v>
      </c>
      <c r="M66">
        <v>1.5E-3</v>
      </c>
      <c r="N66" t="e">
        <f>IF((ABS($L$66-$L$58)/(($L$66+$L$58)/2)) &lt;#REF!, "Dp","Df")</f>
        <v>#REF!</v>
      </c>
      <c r="O66">
        <v>3.9899999999999996E-3</v>
      </c>
      <c r="P66">
        <v>3.0000000000000001E-5</v>
      </c>
      <c r="Q66" t="e">
        <f>IF((ABS($O$66-$O$58)/(($O$66+$O$58)/2)) &lt;#REF!, "Dp","Df")</f>
        <v>#REF!</v>
      </c>
      <c r="R66">
        <v>0.15983</v>
      </c>
      <c r="S66">
        <v>1.91E-3</v>
      </c>
      <c r="T66" t="e">
        <f>IF((ABS($R$66-$R$58)/(($R$66+$R$58)/2)) &lt;#REF!, "Dp","Df")</f>
        <v>#REF!</v>
      </c>
      <c r="U66">
        <v>9.6000000000000002E-4</v>
      </c>
      <c r="V66">
        <v>6.0000000000000002E-5</v>
      </c>
      <c r="W66" t="e">
        <f>IF((ABS($U$66-$U$58)/(($U$66+$U$58)/2)) &lt;#REF!, "Dp","Df")</f>
        <v>#REF!</v>
      </c>
      <c r="X66">
        <v>1.159E-2</v>
      </c>
      <c r="Y66">
        <v>2.5000000000000001E-4</v>
      </c>
      <c r="Z66" t="e">
        <f>IF((ABS($X$66-$X$58)/(($X$66+$X$58)/2)) &lt;#REF!, "Dp","Df")</f>
        <v>#REF!</v>
      </c>
      <c r="AA66">
        <v>0.12192</v>
      </c>
      <c r="AB66">
        <v>1.1999999999999999E-3</v>
      </c>
      <c r="AC66" t="e">
        <f>IF((ABS($AA$66-$AA$58)/(($AA$66+$AA$58)/2)) &lt;#REF!, "Dp","Df")</f>
        <v>#REF!</v>
      </c>
      <c r="AD66">
        <v>1.0741799999999999</v>
      </c>
      <c r="AE66">
        <v>1.5129999999999999E-2</v>
      </c>
      <c r="AF66" t="e">
        <f>IF((ABS($AD$66-$AD$58)/(($AD$66+$AD$58)/2)) &lt;#REF!, "Dp","Df")</f>
        <v>#REF!</v>
      </c>
      <c r="AI66" t="e">
        <f>IF((ABS($AG$66-$AG$58)/(($AG$66+$AG$58)/2)) &lt;#REF!, "Dp","Df")</f>
        <v>#DIV/0!</v>
      </c>
      <c r="AJ66">
        <v>61.711489999999998</v>
      </c>
      <c r="AK66">
        <v>0.62151999999999996</v>
      </c>
      <c r="AL66" t="e">
        <f>IF((ABS($AJ$66-$AJ$58)/(($AJ$66+$AJ$58)/2)) &lt;#REF!, "Dp","Df")</f>
        <v>#REF!</v>
      </c>
      <c r="AM66">
        <v>326.33713</v>
      </c>
      <c r="AN66">
        <v>3.6192199999999999</v>
      </c>
      <c r="AO66" t="e">
        <f>IF((ABS($AM$66-$AM$58)/(($AM$66+$AM$58)/2)) &lt;#REF!, "Dp","Df")</f>
        <v>#REF!</v>
      </c>
      <c r="AP66">
        <v>0.10277</v>
      </c>
      <c r="AQ66">
        <v>2.49E-3</v>
      </c>
      <c r="AR66" t="e">
        <f>IF((ABS($AP$66-$AP$58)/(($AP$66+$AP$58)/2)) &lt;#REF!, "Dp","Df")</f>
        <v>#REF!</v>
      </c>
      <c r="AS66">
        <v>1.68004</v>
      </c>
      <c r="AT66">
        <v>2.078E-2</v>
      </c>
      <c r="AU66" t="e">
        <f>IF((ABS($AS$66-$AS$58)/(($AS$66+$AS$58)/2)) &lt;#REF!, "Dp","Df")</f>
        <v>#REF!</v>
      </c>
      <c r="AV66">
        <v>2.5610000000000001E-2</v>
      </c>
      <c r="AW66">
        <v>1.1299999999999999E-3</v>
      </c>
      <c r="AX66" t="e">
        <f>IF((ABS($AV$66-$AV$58)/(($AV$66+$AV$58)/2)) &lt;#REF!, "Dp","Df")</f>
        <v>#REF!</v>
      </c>
      <c r="AY66">
        <v>-5.2999999999999998E-4</v>
      </c>
      <c r="AZ66">
        <v>3.2000000000000003E-4</v>
      </c>
      <c r="BA66" t="e">
        <f>IF((ABS($AY$66-$AY$58)/(($AY$66+$AY$58)/2)) &lt;#REF!, "Dp","Df")</f>
        <v>#REF!</v>
      </c>
      <c r="BB66">
        <v>3.9399999999999999E-3</v>
      </c>
      <c r="BC66">
        <v>1.6000000000000001E-4</v>
      </c>
      <c r="BD66" t="e">
        <f>IF((ABS($BB$66-$BB$58)/(($BB$66+$BB$58)/2)) &lt;#REF!, "Dp","Df")</f>
        <v>#REF!</v>
      </c>
      <c r="BE66">
        <v>2.7E-4</v>
      </c>
      <c r="BF66">
        <v>6.0000000000000002E-5</v>
      </c>
      <c r="BG66" t="e">
        <f>IF((ABS($BE$66-$BE$58)/(($BE$66+$BE$58)/2)) &lt;#REF!, "Dp","Df")</f>
        <v>#REF!</v>
      </c>
      <c r="BH66">
        <v>5.9000000000000003E-4</v>
      </c>
      <c r="BI66">
        <v>2.5999999999999998E-4</v>
      </c>
      <c r="BJ66" t="e">
        <f>IF((ABS($BH$66-$BH$58)/(($BH$66+$BH$58)/2)) &lt;#REF!, "Dp","Df")</f>
        <v>#REF!</v>
      </c>
      <c r="BK66">
        <v>1.5E-3</v>
      </c>
      <c r="BL66">
        <v>2.0000000000000002E-5</v>
      </c>
      <c r="BM66" t="e">
        <f>IF((ABS($BK$66-$BK$58)/(($BK$66+$BK$58)/2)) &lt;#REF!, "Dp","Df")</f>
        <v>#REF!</v>
      </c>
      <c r="BN66">
        <v>-8.0000000000000007E-5</v>
      </c>
      <c r="BO66">
        <v>1E-4</v>
      </c>
      <c r="BP66" t="e">
        <f>IF((ABS($BN$66-$BN$58)/(($BN$66+$BN$58)/2)) &lt;#REF!, "Dp","Df")</f>
        <v>#REF!</v>
      </c>
      <c r="BQ66">
        <v>1.0919999999999999E-2</v>
      </c>
      <c r="BR66">
        <v>2.9999999999999997E-4</v>
      </c>
      <c r="BS66" t="e">
        <f>IF((ABS($BQ$66-$BQ$58)/(($BQ$66+$BQ$58)/2)) &lt;#REF!, "Dp","Df")</f>
        <v>#REF!</v>
      </c>
      <c r="BV66" t="e">
        <f>IF((ABS($BT$66-$BT$58)/(($BT$66+$BT$58)/2)) &lt;#REF!, "Dp","Df")</f>
        <v>#DIV/0!</v>
      </c>
      <c r="BW66">
        <v>-2.0529600000000001</v>
      </c>
      <c r="BX66">
        <v>3.2000000000000003E-4</v>
      </c>
      <c r="BY66" t="e">
        <f>IF((ABS($BW$66-$BW$58)/(($BW$66+$BW$58)/2)) &lt;#REF!, "Dp","Df")</f>
        <v>#REF!</v>
      </c>
      <c r="BZ66">
        <v>7.5590000000000004E-2</v>
      </c>
      <c r="CA66">
        <v>5.0000000000000001E-4</v>
      </c>
      <c r="CB66" t="e">
        <f>IF((ABS($BZ$66-$BZ$58)/(($BZ$66+$BZ$58)/2)) &lt;#REF!, "Dp","Df")</f>
        <v>#REF!</v>
      </c>
      <c r="CC66">
        <v>11.298999999999999</v>
      </c>
      <c r="CD66">
        <v>4.6739999999999997E-2</v>
      </c>
      <c r="CE66" t="e">
        <f>IF((ABS($CC$66-$CC$58)/(($CC$66+$CC$58)/2)) &lt;#REF!, "Dp","Df")</f>
        <v>#REF!</v>
      </c>
      <c r="CF66">
        <v>12.221590000000001</v>
      </c>
      <c r="CG66">
        <v>0.24976000000000001</v>
      </c>
      <c r="CH66" t="e">
        <f>IF((ABS($CF$66-$CF$58)/(($CF$66+$CF$58)/2)) &lt;#REF!, "Dp","Df")</f>
        <v>#REF!</v>
      </c>
      <c r="CI66">
        <v>11.48442</v>
      </c>
      <c r="CJ66">
        <v>0.14452999999999999</v>
      </c>
      <c r="CK66" t="e">
        <f>IF((ABS($CI$66-$CI$58)/(($CI$66+$CI$58)/2)) &lt;#REF!, "Dp","Df")</f>
        <v>#REF!</v>
      </c>
      <c r="CL66">
        <v>2.65828</v>
      </c>
      <c r="CM66">
        <v>3.4259999999999999E-2</v>
      </c>
      <c r="CN66" t="e">
        <f>IF((ABS($CL$66-$CL$58)/(($CL$66+$CL$58)/2)) &lt;#REF!, "Dp","Df")</f>
        <v>#REF!</v>
      </c>
      <c r="CO66">
        <v>597.16007999999999</v>
      </c>
      <c r="CP66">
        <v>17.770140000000001</v>
      </c>
      <c r="CQ66" t="e">
        <f>IF((ABS($CO$66-$CO$58)/(($CO$66+$CO$58)/2)) &lt;#REF!, "Dp","Df")</f>
        <v>#REF!</v>
      </c>
      <c r="CR66">
        <v>3.1553499999999999</v>
      </c>
      <c r="CS66">
        <v>7.6509999999999995E-2</v>
      </c>
      <c r="CT66" t="e">
        <f>IF((ABS($CR$66-$CR$58)/(($CR$66+$CR$58)/2)) &lt;#REF!, "Dp","Df")</f>
        <v>#REF!</v>
      </c>
      <c r="CU66">
        <v>4.8850800000000003</v>
      </c>
      <c r="CV66">
        <v>0.14438000000000001</v>
      </c>
      <c r="CW66" t="e">
        <f>IF((ABS($CU$66-$CU$58)/(($CU$66+$CU$58)/2)) &lt;#REF!, "Dp","Df")</f>
        <v>#REF!</v>
      </c>
      <c r="CX66">
        <v>246.50960000000001</v>
      </c>
      <c r="CY66">
        <v>5.0031400000000001</v>
      </c>
      <c r="CZ66" t="e">
        <f>IF((ABS($CX$66-$CX$58)/(($CX$66+$CX$58)/2)) &lt;#REF!, "Dp","Df")</f>
        <v>#REF!</v>
      </c>
      <c r="DA66">
        <v>86.342140000000001</v>
      </c>
      <c r="DB66">
        <v>1.6106400000000001</v>
      </c>
      <c r="DC66" t="e">
        <f>IF((ABS($DA$66-$DA$58)/(($DA$66+$DA$58)/2)) &lt;#REF!, "Dp","Df")</f>
        <v>#REF!</v>
      </c>
      <c r="DD66">
        <v>459.36802</v>
      </c>
      <c r="DE66">
        <v>3.6571199999999999</v>
      </c>
      <c r="DF66" t="e">
        <f>IF((ABS($DD$66-$DD$58)/(($DD$66+$DD$58)/2)) &lt;#REF!, "Dp","Df")</f>
        <v>#REF!</v>
      </c>
      <c r="DG66">
        <v>38.760530000000003</v>
      </c>
      <c r="DH66">
        <v>0.73501000000000005</v>
      </c>
      <c r="DI66" t="e">
        <f>IF((ABS($DG$66-$DG$58)/(($DG$66+$DG$58)/2)) &lt;#REF!, "Dp","Df")</f>
        <v>#REF!</v>
      </c>
      <c r="DJ66">
        <v>9.0389999999999998E-2</v>
      </c>
      <c r="DK66">
        <v>1.6789999999999999E-2</v>
      </c>
      <c r="DL66" t="e">
        <f>IF((ABS($DJ$66-$DJ$58)/(($DJ$66+$DJ$58)/2)) &lt;#REF!, "Dp","Df")</f>
        <v>#REF!</v>
      </c>
      <c r="DM66">
        <v>7.3800000000000003E-3</v>
      </c>
      <c r="DN66">
        <v>1.8600000000000001E-3</v>
      </c>
      <c r="DO66" t="e">
        <f>IF((ABS($DM$66-$DM$58)/(($DM$66+$DM$58)/2)) &lt;#REF!, "Dp","Df")</f>
        <v>#REF!</v>
      </c>
      <c r="DP66">
        <v>0.22541</v>
      </c>
      <c r="DQ66">
        <v>7.6499999999999997E-3</v>
      </c>
      <c r="DR66" t="e">
        <f>IF((ABS($DP$66-$DP$58)/(($DP$66+$DP$58)/2)) &lt;#REF!, "Dp","Df")</f>
        <v>#REF!</v>
      </c>
      <c r="DS66">
        <v>2.0216599999999998</v>
      </c>
      <c r="DT66">
        <v>3.7229999999999999E-2</v>
      </c>
      <c r="DU66" t="e">
        <f>IF((ABS($DS$66-$DS$58)/(($DS$66+$DS$58)/2)) &lt;#REF!, "Dp","Df")</f>
        <v>#REF!</v>
      </c>
      <c r="DV66">
        <v>13.96707</v>
      </c>
      <c r="DW66">
        <v>0.48927999999999999</v>
      </c>
      <c r="DX66" t="e">
        <f>IF((ABS($DV$66-$DV$58)/(($DV$66+$DV$58)/2)) &lt;#REF!, "Dp","Df")</f>
        <v>#REF!</v>
      </c>
      <c r="DY66">
        <v>0.56030999999999997</v>
      </c>
      <c r="DZ66">
        <v>1.137E-2</v>
      </c>
      <c r="EA66" t="e">
        <f>IF((ABS($DY$66-$DY$58)/(($DY$66+$DY$58)/2)) &lt;#REF!, "Dp","Df")</f>
        <v>#REF!</v>
      </c>
      <c r="EB66">
        <v>0.34722999999999998</v>
      </c>
      <c r="EC66">
        <v>5.1000000000000004E-3</v>
      </c>
      <c r="ED66" t="e">
        <f>IF((ABS($EB$66-$EB$58)/(($EB$66+$EB$58)/2)) &lt;#REF!, "Dp","Df")</f>
        <v>#REF!</v>
      </c>
      <c r="EE66">
        <v>9.4171200000000006</v>
      </c>
      <c r="EF66">
        <v>0.15348000000000001</v>
      </c>
      <c r="EG66" t="e">
        <f>IF((ABS($EE$66-$EE$58)/(($EE$66+$EE$58)/2)) &lt;#REF!, "Dp","Df")</f>
        <v>#REF!</v>
      </c>
      <c r="EH66">
        <v>2446.22075</v>
      </c>
      <c r="EI66">
        <v>41.621600000000001</v>
      </c>
      <c r="EJ66" t="e">
        <f>IF((ABS($EH$66-$EH$58)/(($EH$66+$EH$58)/2)) &lt;#REF!, "Dp","Df")</f>
        <v>#REF!</v>
      </c>
      <c r="EM66" t="e">
        <f>IF((ABS($EK$66-$EK$58)/(($EK$66+$EK$58)/2)) &lt;#REF!, "Dp","Df")</f>
        <v>#DIV/0!</v>
      </c>
      <c r="EN66">
        <v>75.247789999999995</v>
      </c>
      <c r="EO66">
        <v>1.2781800000000001</v>
      </c>
      <c r="EP66" t="e">
        <f>IF((ABS($EN$66-$EN$58)/(($EN$66+$EN$58)/2)) &lt;#REF!, "Dp","Df")</f>
        <v>#REF!</v>
      </c>
      <c r="ES66" t="e">
        <f>IF((ABS($EQ$66-$EQ$58)/(($EQ$66+$EQ$58)/2)) &lt;#REF!, "Dp","Df")</f>
        <v>#DIV/0!</v>
      </c>
      <c r="ET66">
        <v>828.83</v>
      </c>
      <c r="EU66">
        <v>8.4327500000000004</v>
      </c>
      <c r="EV66" t="e">
        <f>IF((ABS($ET$66-$ET$58)/(($ET$66+$ET$58)/2)) &lt;#REF!, "Dp","Df")</f>
        <v>#REF!</v>
      </c>
      <c r="EW66">
        <v>0.12981000000000001</v>
      </c>
      <c r="EX66">
        <v>2.81E-3</v>
      </c>
      <c r="EY66" t="e">
        <f>IF((ABS($EW$66-$EW$58)/(($EW$66+$EW$58)/2)) &lt;#REF!, "Dp","Df")</f>
        <v>#REF!</v>
      </c>
      <c r="EZ66">
        <v>135.28629000000001</v>
      </c>
      <c r="FA66">
        <v>1.0756300000000001</v>
      </c>
      <c r="FB66" t="e">
        <f>IF((ABS($EZ$66-$EZ$58)/(($EZ$66+$EZ$58)/2)) &lt;#REF!, "Dp","Df")</f>
        <v>#REF!</v>
      </c>
      <c r="FC66">
        <v>4.3601099999999997</v>
      </c>
      <c r="FD66">
        <v>0.22144</v>
      </c>
      <c r="FE66" t="e">
        <f>IF((ABS($FC$66-$FC$58)/(($FC$66+$FC$58)/2)) &lt;#REF!, "Dp","Df")</f>
        <v>#REF!</v>
      </c>
      <c r="FF66">
        <v>6.1318799999999998</v>
      </c>
      <c r="FG66">
        <v>0.13552</v>
      </c>
      <c r="FH66" t="e">
        <f>IF((ABS($FF$66-$FF$58)/(($FF$66+$FF$58)/2)) &lt;#REF!, "Dp","Df")</f>
        <v>#REF!</v>
      </c>
      <c r="FK66" t="e">
        <f>IF((ABS($FI$66-$FI$58)/(($FI$66+$FI$58)/2)) &lt;#REF!, "Dp","Df")</f>
        <v>#DIV/0!</v>
      </c>
      <c r="FN66" t="e">
        <f>IF((ABS($FL$66-$FL$58)/(($FL$66+$FL$58)/2)) &lt;#REF!, "Dp","Df")</f>
        <v>#DIV/0!</v>
      </c>
      <c r="FO66">
        <v>74.682540000000003</v>
      </c>
      <c r="FP66">
        <v>1.57203</v>
      </c>
      <c r="FQ66" t="e">
        <f>IF((ABS($FO$66-$FO$58)/(($FO$66+$FO$58)/2)) &lt;#REF!, "Dp","Df")</f>
        <v>#REF!</v>
      </c>
      <c r="FT66" t="e">
        <f>IF((ABS($FR$66-$FR$58)/(($FR$66+$FR$58)/2)) &lt;#REF!, "Dp","Df")</f>
        <v>#DIV/0!</v>
      </c>
      <c r="FU66">
        <v>2</v>
      </c>
      <c r="FX66">
        <v>65</v>
      </c>
    </row>
    <row r="67" spans="2:180" x14ac:dyDescent="0.2">
      <c r="B67" t="s">
        <v>133</v>
      </c>
      <c r="C67">
        <v>5.7639999999999997E-2</v>
      </c>
      <c r="D67">
        <v>2.49E-3</v>
      </c>
      <c r="E67" t="s">
        <v>439</v>
      </c>
      <c r="F67">
        <v>1.375E-2</v>
      </c>
      <c r="G67">
        <v>1.1800000000000001E-3</v>
      </c>
      <c r="H67" t="s">
        <v>439</v>
      </c>
      <c r="I67">
        <v>0.30806</v>
      </c>
      <c r="J67">
        <v>5.1399999999999996E-3</v>
      </c>
      <c r="K67" t="s">
        <v>442</v>
      </c>
      <c r="L67">
        <v>0.10274999999999999</v>
      </c>
      <c r="M67">
        <v>2.6199999999999999E-3</v>
      </c>
      <c r="N67" t="s">
        <v>442</v>
      </c>
      <c r="O67">
        <v>4.7999999999999996E-3</v>
      </c>
      <c r="P67">
        <v>9.0000000000000006E-5</v>
      </c>
      <c r="Q67" t="s">
        <v>442</v>
      </c>
      <c r="R67">
        <v>7.6499999999999999E-2</v>
      </c>
      <c r="S67">
        <v>1.4499999999999999E-3</v>
      </c>
      <c r="T67" t="s">
        <v>442</v>
      </c>
      <c r="U67">
        <v>5.4000000000000001E-4</v>
      </c>
      <c r="V67">
        <v>1E-4</v>
      </c>
      <c r="W67" t="s">
        <v>439</v>
      </c>
      <c r="X67">
        <v>1.108E-2</v>
      </c>
      <c r="Y67">
        <v>3.0000000000000001E-5</v>
      </c>
      <c r="Z67" t="s">
        <v>439</v>
      </c>
      <c r="AA67">
        <v>4.2209999999999998E-2</v>
      </c>
      <c r="AB67">
        <v>2.7999999999999998E-4</v>
      </c>
      <c r="AC67" t="s">
        <v>442</v>
      </c>
      <c r="AD67">
        <v>0.32450000000000001</v>
      </c>
      <c r="AE67">
        <v>1.273E-2</v>
      </c>
      <c r="AF67" t="s">
        <v>442</v>
      </c>
      <c r="AI67" t="s">
        <v>440</v>
      </c>
      <c r="AJ67">
        <v>9.3619199999999996</v>
      </c>
      <c r="AK67">
        <v>0.18656</v>
      </c>
      <c r="AL67" t="s">
        <v>441</v>
      </c>
      <c r="AM67">
        <v>42.849139999999998</v>
      </c>
      <c r="AN67">
        <v>0.91622999999999999</v>
      </c>
      <c r="AO67" t="s">
        <v>442</v>
      </c>
      <c r="AP67">
        <v>-2.7399999999999998E-3</v>
      </c>
      <c r="AQ67">
        <v>2.2000000000000001E-4</v>
      </c>
      <c r="AR67" t="s">
        <v>439</v>
      </c>
      <c r="AS67">
        <v>0.40284999999999999</v>
      </c>
      <c r="AT67">
        <v>7.4099999999999999E-3</v>
      </c>
      <c r="AU67" t="s">
        <v>442</v>
      </c>
      <c r="AV67">
        <v>5.0400000000000002E-3</v>
      </c>
      <c r="AW67">
        <v>4.2999999999999999E-4</v>
      </c>
      <c r="AX67" t="s">
        <v>442</v>
      </c>
      <c r="AY67">
        <v>-1.14E-3</v>
      </c>
      <c r="AZ67">
        <v>2.1000000000000001E-4</v>
      </c>
      <c r="BA67" t="s">
        <v>439</v>
      </c>
      <c r="BB67">
        <v>4.5300000000000002E-3</v>
      </c>
      <c r="BC67">
        <v>1.2E-4</v>
      </c>
      <c r="BD67" t="s">
        <v>442</v>
      </c>
      <c r="BE67">
        <v>9.3000000000000005E-4</v>
      </c>
      <c r="BF67">
        <v>1.8000000000000001E-4</v>
      </c>
      <c r="BG67" t="s">
        <v>439</v>
      </c>
      <c r="BH67">
        <v>8.1999999999999998E-4</v>
      </c>
      <c r="BI67">
        <v>5.2999999999999998E-4</v>
      </c>
      <c r="BJ67" t="s">
        <v>439</v>
      </c>
      <c r="BK67">
        <v>1.5299999999999999E-3</v>
      </c>
      <c r="BL67">
        <v>4.0000000000000003E-5</v>
      </c>
      <c r="BM67" t="s">
        <v>439</v>
      </c>
      <c r="BN67">
        <v>-1.8000000000000001E-4</v>
      </c>
      <c r="BO67">
        <v>1.8000000000000001E-4</v>
      </c>
      <c r="BP67" t="s">
        <v>439</v>
      </c>
      <c r="BQ67">
        <v>6.5100000000000002E-3</v>
      </c>
      <c r="BR67">
        <v>2.7E-4</v>
      </c>
      <c r="BS67" t="s">
        <v>442</v>
      </c>
      <c r="BV67" t="s">
        <v>440</v>
      </c>
      <c r="BW67">
        <v>-2.05328</v>
      </c>
      <c r="BX67">
        <v>4.8000000000000001E-4</v>
      </c>
      <c r="BY67" t="s">
        <v>439</v>
      </c>
      <c r="BZ67">
        <v>9.7800000000000005E-3</v>
      </c>
      <c r="CA67">
        <v>1.3999999999999999E-4</v>
      </c>
      <c r="CB67" t="s">
        <v>442</v>
      </c>
      <c r="CC67">
        <v>1.4257200000000001</v>
      </c>
      <c r="CD67">
        <v>3.1269999999999999E-2</v>
      </c>
      <c r="CE67" t="s">
        <v>442</v>
      </c>
      <c r="CF67">
        <v>1.4109400000000001</v>
      </c>
      <c r="CG67">
        <v>2.7879999999999999E-2</v>
      </c>
      <c r="CH67" t="s">
        <v>442</v>
      </c>
      <c r="CI67">
        <v>1.44123</v>
      </c>
      <c r="CJ67">
        <v>4.1980000000000003E-2</v>
      </c>
      <c r="CK67" t="s">
        <v>442</v>
      </c>
      <c r="CL67">
        <v>0.22944000000000001</v>
      </c>
      <c r="CM67">
        <v>7.77E-3</v>
      </c>
      <c r="CN67" t="s">
        <v>442</v>
      </c>
      <c r="CO67">
        <v>112.34761</v>
      </c>
      <c r="CP67">
        <v>2.4946199999999998</v>
      </c>
      <c r="CQ67" t="s">
        <v>442</v>
      </c>
      <c r="CR67">
        <v>3.2760099999999999</v>
      </c>
      <c r="CS67">
        <v>0.12781999999999999</v>
      </c>
      <c r="CT67" t="s">
        <v>442</v>
      </c>
      <c r="CU67">
        <v>5.5405199999999999</v>
      </c>
      <c r="CV67">
        <v>0.15855</v>
      </c>
      <c r="CW67" t="s">
        <v>442</v>
      </c>
      <c r="CX67">
        <v>51.250990000000002</v>
      </c>
      <c r="CY67">
        <v>1.94689</v>
      </c>
      <c r="CZ67" t="s">
        <v>442</v>
      </c>
      <c r="DA67">
        <v>30.752220000000001</v>
      </c>
      <c r="DB67">
        <v>0.80923</v>
      </c>
      <c r="DC67" t="s">
        <v>442</v>
      </c>
      <c r="DD67">
        <v>40.095399999999998</v>
      </c>
      <c r="DE67">
        <v>1.10562</v>
      </c>
      <c r="DF67" t="s">
        <v>442</v>
      </c>
      <c r="DG67">
        <v>48.736759999999997</v>
      </c>
      <c r="DH67">
        <v>1.4617800000000001</v>
      </c>
      <c r="DI67" t="s">
        <v>442</v>
      </c>
      <c r="DJ67">
        <v>0.25219000000000003</v>
      </c>
      <c r="DK67">
        <v>1.5810000000000001E-2</v>
      </c>
      <c r="DL67" t="s">
        <v>442</v>
      </c>
      <c r="DM67">
        <v>6.4200000000000004E-3</v>
      </c>
      <c r="DN67">
        <v>4.2000000000000002E-4</v>
      </c>
      <c r="DO67" t="s">
        <v>442</v>
      </c>
      <c r="DP67">
        <v>0.95669000000000004</v>
      </c>
      <c r="DQ67">
        <v>9.7000000000000003E-3</v>
      </c>
      <c r="DR67" t="s">
        <v>442</v>
      </c>
      <c r="DS67">
        <v>1.2191099999999999</v>
      </c>
      <c r="DT67">
        <v>3.8420000000000003E-2</v>
      </c>
      <c r="DU67" t="s">
        <v>442</v>
      </c>
      <c r="DV67">
        <v>7.3859000000000004</v>
      </c>
      <c r="DW67">
        <v>0.21909000000000001</v>
      </c>
      <c r="DX67" t="s">
        <v>442</v>
      </c>
      <c r="DY67">
        <v>0.13270999999999999</v>
      </c>
      <c r="DZ67">
        <v>8.3000000000000001E-4</v>
      </c>
      <c r="EA67" t="s">
        <v>442</v>
      </c>
      <c r="EB67">
        <v>1.09206</v>
      </c>
      <c r="EC67">
        <v>3.4709999999999998E-2</v>
      </c>
      <c r="ED67" t="s">
        <v>442</v>
      </c>
      <c r="EE67">
        <v>4.35175</v>
      </c>
      <c r="EF67">
        <v>0.12169000000000001</v>
      </c>
      <c r="EG67" t="s">
        <v>442</v>
      </c>
      <c r="EH67">
        <v>437.87799000000001</v>
      </c>
      <c r="EI67">
        <v>9.1984499999999993</v>
      </c>
      <c r="EJ67" t="s">
        <v>442</v>
      </c>
      <c r="EM67" t="s">
        <v>440</v>
      </c>
      <c r="EN67">
        <v>9.4700100000000003</v>
      </c>
      <c r="EO67">
        <v>0.34078000000000003</v>
      </c>
      <c r="EP67" t="s">
        <v>442</v>
      </c>
      <c r="ES67" t="s">
        <v>440</v>
      </c>
      <c r="ET67">
        <v>116.9836</v>
      </c>
      <c r="EU67">
        <v>4.3117700000000001</v>
      </c>
      <c r="EV67" t="s">
        <v>442</v>
      </c>
      <c r="EW67">
        <v>4.6600000000000001E-3</v>
      </c>
      <c r="EX67">
        <v>1.64E-3</v>
      </c>
      <c r="EY67" t="s">
        <v>439</v>
      </c>
      <c r="EZ67">
        <v>8.3508899999999997</v>
      </c>
      <c r="FA67">
        <v>0.47216999999999998</v>
      </c>
      <c r="FB67" t="s">
        <v>442</v>
      </c>
      <c r="FC67">
        <v>0.17460999999999999</v>
      </c>
      <c r="FD67">
        <v>6.9639999999999994E-2</v>
      </c>
      <c r="FE67" t="s">
        <v>439</v>
      </c>
      <c r="FF67">
        <v>2.00936</v>
      </c>
      <c r="FG67">
        <v>0.35489999999999999</v>
      </c>
      <c r="FH67" t="s">
        <v>441</v>
      </c>
      <c r="FK67" t="s">
        <v>440</v>
      </c>
      <c r="FN67" t="s">
        <v>440</v>
      </c>
      <c r="FO67">
        <v>9.8936700000000002</v>
      </c>
      <c r="FP67">
        <v>0.36512</v>
      </c>
      <c r="FQ67" t="s">
        <v>441</v>
      </c>
      <c r="FT67" t="s">
        <v>440</v>
      </c>
      <c r="FX67">
        <v>66</v>
      </c>
    </row>
    <row r="68" spans="2:180" x14ac:dyDescent="0.2">
      <c r="B68" t="s">
        <v>134</v>
      </c>
      <c r="C68">
        <v>8.7179999999999994E-2</v>
      </c>
      <c r="D68">
        <v>7.7999999999999999E-4</v>
      </c>
      <c r="E68" t="s">
        <v>442</v>
      </c>
      <c r="F68">
        <v>1.2789999999999999E-2</v>
      </c>
      <c r="G68">
        <v>1.8500000000000001E-3</v>
      </c>
      <c r="H68" t="s">
        <v>439</v>
      </c>
      <c r="I68">
        <v>0.48909999999999998</v>
      </c>
      <c r="J68">
        <v>7.3200000000000001E-3</v>
      </c>
      <c r="K68" t="s">
        <v>442</v>
      </c>
      <c r="L68">
        <v>0.11756</v>
      </c>
      <c r="M68">
        <v>1.23E-3</v>
      </c>
      <c r="N68" t="s">
        <v>442</v>
      </c>
      <c r="O68">
        <v>4.4400000000000004E-3</v>
      </c>
      <c r="P68">
        <v>4.0000000000000003E-5</v>
      </c>
      <c r="Q68" t="s">
        <v>442</v>
      </c>
      <c r="R68">
        <v>5.1130000000000002E-2</v>
      </c>
      <c r="S68">
        <v>1.0399999999999999E-3</v>
      </c>
      <c r="T68" t="s">
        <v>442</v>
      </c>
      <c r="U68">
        <v>6.7000000000000002E-4</v>
      </c>
      <c r="V68">
        <v>4.0000000000000003E-5</v>
      </c>
      <c r="W68" t="s">
        <v>439</v>
      </c>
      <c r="X68">
        <v>1.1599999999999999E-2</v>
      </c>
      <c r="Y68">
        <v>3.1E-4</v>
      </c>
      <c r="Z68" t="s">
        <v>439</v>
      </c>
      <c r="AA68">
        <v>5.6849999999999998E-2</v>
      </c>
      <c r="AB68">
        <v>1.7099999999999999E-3</v>
      </c>
      <c r="AC68" t="s">
        <v>442</v>
      </c>
      <c r="AD68">
        <v>0.54452</v>
      </c>
      <c r="AE68">
        <v>3.7100000000000002E-3</v>
      </c>
      <c r="AF68" t="s">
        <v>442</v>
      </c>
      <c r="AI68" t="s">
        <v>440</v>
      </c>
      <c r="AJ68">
        <v>53.92098</v>
      </c>
      <c r="AK68">
        <v>0.79664999999999997</v>
      </c>
      <c r="AL68" t="s">
        <v>441</v>
      </c>
      <c r="AM68">
        <v>66.007819999999995</v>
      </c>
      <c r="AN68">
        <v>0.77122000000000002</v>
      </c>
      <c r="AO68" t="s">
        <v>442</v>
      </c>
      <c r="AP68">
        <v>4.2100000000000002E-3</v>
      </c>
      <c r="AQ68">
        <v>6.6E-4</v>
      </c>
      <c r="AR68" t="s">
        <v>442</v>
      </c>
      <c r="AS68">
        <v>1.41154</v>
      </c>
      <c r="AT68">
        <v>2.879E-2</v>
      </c>
      <c r="AU68" t="s">
        <v>442</v>
      </c>
      <c r="AV68">
        <v>5.6800000000000002E-3</v>
      </c>
      <c r="AW68">
        <v>4.8000000000000001E-4</v>
      </c>
      <c r="AX68" t="s">
        <v>442</v>
      </c>
      <c r="AY68">
        <v>-1.23E-3</v>
      </c>
      <c r="AZ68">
        <v>1.6000000000000001E-4</v>
      </c>
      <c r="BA68" t="s">
        <v>439</v>
      </c>
      <c r="BB68">
        <v>3.7399999999999998E-3</v>
      </c>
      <c r="BC68">
        <v>5.0000000000000002E-5</v>
      </c>
      <c r="BD68" t="s">
        <v>442</v>
      </c>
      <c r="BE68">
        <v>6.7000000000000002E-4</v>
      </c>
      <c r="BF68">
        <v>2.2000000000000001E-4</v>
      </c>
      <c r="BG68" t="s">
        <v>439</v>
      </c>
      <c r="BH68">
        <v>9.7000000000000005E-4</v>
      </c>
      <c r="BI68">
        <v>5.1999999999999995E-4</v>
      </c>
      <c r="BJ68" t="s">
        <v>439</v>
      </c>
      <c r="BK68">
        <v>1.5399999999999999E-3</v>
      </c>
      <c r="BL68">
        <v>3.0000000000000001E-5</v>
      </c>
      <c r="BM68" t="s">
        <v>439</v>
      </c>
      <c r="BN68">
        <v>-1.1E-4</v>
      </c>
      <c r="BO68">
        <v>1E-4</v>
      </c>
      <c r="BP68" t="s">
        <v>439</v>
      </c>
      <c r="BQ68">
        <v>-7.2399999999999999E-3</v>
      </c>
      <c r="BR68">
        <v>1.6000000000000001E-4</v>
      </c>
      <c r="BS68" t="s">
        <v>439</v>
      </c>
      <c r="BV68" t="s">
        <v>440</v>
      </c>
      <c r="BW68">
        <v>-2.0530499999999998</v>
      </c>
      <c r="BX68">
        <v>2.7999999999999998E-4</v>
      </c>
      <c r="BY68" t="s">
        <v>439</v>
      </c>
      <c r="BZ68">
        <v>1.349E-2</v>
      </c>
      <c r="CA68">
        <v>1.4999999999999999E-4</v>
      </c>
      <c r="CB68" t="s">
        <v>442</v>
      </c>
      <c r="CC68">
        <v>2.1876699999999998</v>
      </c>
      <c r="CD68">
        <v>3.3020000000000001E-2</v>
      </c>
      <c r="CE68" t="s">
        <v>442</v>
      </c>
      <c r="CF68">
        <v>2.1417000000000002</v>
      </c>
      <c r="CG68">
        <v>2.6929999999999999E-2</v>
      </c>
      <c r="CH68" t="s">
        <v>442</v>
      </c>
      <c r="CI68">
        <v>2.24857</v>
      </c>
      <c r="CJ68">
        <v>2.0199999999999999E-2</v>
      </c>
      <c r="CK68" t="s">
        <v>442</v>
      </c>
      <c r="CL68">
        <v>0.23216000000000001</v>
      </c>
      <c r="CM68">
        <v>2.5300000000000001E-3</v>
      </c>
      <c r="CN68" t="s">
        <v>442</v>
      </c>
      <c r="CO68">
        <v>179.14243999999999</v>
      </c>
      <c r="CP68">
        <v>0.45274999999999999</v>
      </c>
      <c r="CQ68" t="s">
        <v>442</v>
      </c>
      <c r="CR68">
        <v>10.86238</v>
      </c>
      <c r="CS68">
        <v>0.11869</v>
      </c>
      <c r="CT68" t="s">
        <v>442</v>
      </c>
      <c r="CU68">
        <v>6.1031700000000004</v>
      </c>
      <c r="CV68">
        <v>7.2220000000000006E-2</v>
      </c>
      <c r="CW68" t="s">
        <v>442</v>
      </c>
      <c r="CX68">
        <v>74.127790000000005</v>
      </c>
      <c r="CY68">
        <v>1.31579</v>
      </c>
      <c r="CZ68" t="s">
        <v>442</v>
      </c>
      <c r="DA68">
        <v>50.275570000000002</v>
      </c>
      <c r="DB68">
        <v>0.51544999999999996</v>
      </c>
      <c r="DC68" t="s">
        <v>442</v>
      </c>
      <c r="DD68">
        <v>50.89188</v>
      </c>
      <c r="DE68">
        <v>1.0408599999999999</v>
      </c>
      <c r="DF68" t="s">
        <v>442</v>
      </c>
      <c r="DG68">
        <v>40.213859999999997</v>
      </c>
      <c r="DH68">
        <v>1.01355</v>
      </c>
      <c r="DI68" t="s">
        <v>442</v>
      </c>
      <c r="DJ68">
        <v>0.16772999999999999</v>
      </c>
      <c r="DK68">
        <v>1.2109999999999999E-2</v>
      </c>
      <c r="DL68" t="s">
        <v>442</v>
      </c>
      <c r="DM68">
        <v>4.4799999999999996E-3</v>
      </c>
      <c r="DN68">
        <v>2.5000000000000001E-4</v>
      </c>
      <c r="DO68" t="s">
        <v>442</v>
      </c>
      <c r="DP68">
        <v>0.63934000000000002</v>
      </c>
      <c r="DQ68">
        <v>1.8599999999999998E-2</v>
      </c>
      <c r="DR68" t="s">
        <v>442</v>
      </c>
      <c r="DS68">
        <v>1.23227</v>
      </c>
      <c r="DT68">
        <v>4.2840000000000003E-2</v>
      </c>
      <c r="DU68" t="s">
        <v>442</v>
      </c>
      <c r="DV68">
        <v>18.903649999999999</v>
      </c>
      <c r="DW68">
        <v>0.34450999999999998</v>
      </c>
      <c r="DX68" t="s">
        <v>442</v>
      </c>
      <c r="DY68">
        <v>0.16553000000000001</v>
      </c>
      <c r="DZ68">
        <v>4.2399999999999998E-3</v>
      </c>
      <c r="EA68" t="s">
        <v>442</v>
      </c>
      <c r="EB68">
        <v>0.70713999999999999</v>
      </c>
      <c r="EC68">
        <v>4.7219999999999998E-2</v>
      </c>
      <c r="ED68" t="s">
        <v>442</v>
      </c>
      <c r="EE68">
        <v>5.3043699999999996</v>
      </c>
      <c r="EF68">
        <v>5.178E-2</v>
      </c>
      <c r="EG68" t="s">
        <v>442</v>
      </c>
      <c r="EH68">
        <v>728.00351000000001</v>
      </c>
      <c r="EI68">
        <v>12.780099999999999</v>
      </c>
      <c r="EJ68" t="s">
        <v>442</v>
      </c>
      <c r="EM68" t="s">
        <v>440</v>
      </c>
      <c r="EN68">
        <v>63.788910000000001</v>
      </c>
      <c r="EO68">
        <v>1.2779700000000001</v>
      </c>
      <c r="EP68" t="s">
        <v>442</v>
      </c>
      <c r="ES68" t="s">
        <v>440</v>
      </c>
      <c r="ET68">
        <v>187.55969999999999</v>
      </c>
      <c r="EU68">
        <v>5.4631299999999996</v>
      </c>
      <c r="EV68" t="s">
        <v>442</v>
      </c>
      <c r="EW68">
        <v>8.9200000000000008E-3</v>
      </c>
      <c r="EX68">
        <v>5.0299999999999997E-3</v>
      </c>
      <c r="EY68" t="s">
        <v>442</v>
      </c>
      <c r="EZ68">
        <v>11.51768</v>
      </c>
      <c r="FA68">
        <v>0.23968</v>
      </c>
      <c r="FB68" t="s">
        <v>442</v>
      </c>
      <c r="FC68">
        <v>1.6862200000000001</v>
      </c>
      <c r="FD68">
        <v>0.25020999999999999</v>
      </c>
      <c r="FE68" t="s">
        <v>439</v>
      </c>
      <c r="FF68">
        <v>6.4329200000000002</v>
      </c>
      <c r="FG68">
        <v>0.49374000000000001</v>
      </c>
      <c r="FH68" t="s">
        <v>441</v>
      </c>
      <c r="FK68" t="s">
        <v>440</v>
      </c>
      <c r="FN68" t="s">
        <v>440</v>
      </c>
      <c r="FO68">
        <v>62.341299999999997</v>
      </c>
      <c r="FP68">
        <v>1.34616</v>
      </c>
      <c r="FQ68" t="s">
        <v>441</v>
      </c>
      <c r="FT68" t="s">
        <v>440</v>
      </c>
      <c r="FX68">
        <v>67</v>
      </c>
    </row>
    <row r="69" spans="2:180" x14ac:dyDescent="0.2">
      <c r="B69" t="s">
        <v>135</v>
      </c>
      <c r="C69">
        <v>0.10057000000000001</v>
      </c>
      <c r="D69">
        <v>1.39E-3</v>
      </c>
      <c r="E69" t="s">
        <v>442</v>
      </c>
      <c r="F69">
        <v>1.384E-2</v>
      </c>
      <c r="G69">
        <v>1.2800000000000001E-3</v>
      </c>
      <c r="H69" t="s">
        <v>439</v>
      </c>
      <c r="I69">
        <v>0.83596000000000004</v>
      </c>
      <c r="J69">
        <v>1.46E-2</v>
      </c>
      <c r="K69" t="s">
        <v>442</v>
      </c>
      <c r="L69">
        <v>6.9059999999999996E-2</v>
      </c>
      <c r="M69">
        <v>4.6000000000000001E-4</v>
      </c>
      <c r="N69" t="s">
        <v>442</v>
      </c>
      <c r="O69">
        <v>3.7599999999999999E-3</v>
      </c>
      <c r="P69">
        <v>5.0000000000000002E-5</v>
      </c>
      <c r="Q69" t="s">
        <v>442</v>
      </c>
      <c r="R69">
        <v>8.4529999999999994E-2</v>
      </c>
      <c r="S69">
        <v>8.8000000000000003E-4</v>
      </c>
      <c r="T69" t="s">
        <v>442</v>
      </c>
      <c r="U69">
        <v>7.1000000000000002E-4</v>
      </c>
      <c r="V69">
        <v>1.4999999999999999E-4</v>
      </c>
      <c r="W69" t="s">
        <v>439</v>
      </c>
      <c r="X69">
        <v>1.155E-2</v>
      </c>
      <c r="Y69">
        <v>4.0000000000000003E-5</v>
      </c>
      <c r="Z69" t="s">
        <v>439</v>
      </c>
      <c r="AA69">
        <v>8.2239999999999994E-2</v>
      </c>
      <c r="AB69">
        <v>1.0499999999999999E-3</v>
      </c>
      <c r="AC69" t="s">
        <v>442</v>
      </c>
      <c r="AD69">
        <v>0.88207999999999998</v>
      </c>
      <c r="AE69">
        <v>1.6230000000000001E-2</v>
      </c>
      <c r="AF69" t="s">
        <v>442</v>
      </c>
      <c r="AI69" t="s">
        <v>440</v>
      </c>
      <c r="AJ69">
        <v>22.68272</v>
      </c>
      <c r="AK69">
        <v>0.53841000000000006</v>
      </c>
      <c r="AL69" t="s">
        <v>441</v>
      </c>
      <c r="AM69">
        <v>117.41715000000001</v>
      </c>
      <c r="AN69">
        <v>2.4160900000000001</v>
      </c>
      <c r="AO69" t="s">
        <v>442</v>
      </c>
      <c r="AP69">
        <v>1.469E-2</v>
      </c>
      <c r="AQ69">
        <v>2.3000000000000001E-4</v>
      </c>
      <c r="AR69" t="s">
        <v>442</v>
      </c>
      <c r="AS69">
        <v>0.80771999999999999</v>
      </c>
      <c r="AT69">
        <v>8.9899999999999997E-3</v>
      </c>
      <c r="AU69" t="s">
        <v>442</v>
      </c>
      <c r="AV69">
        <v>1.4659999999999999E-2</v>
      </c>
      <c r="AW69">
        <v>5.0000000000000002E-5</v>
      </c>
      <c r="AX69" t="s">
        <v>442</v>
      </c>
      <c r="AY69">
        <v>1.192E-2</v>
      </c>
      <c r="AZ69">
        <v>5.1000000000000004E-4</v>
      </c>
      <c r="BA69" t="s">
        <v>442</v>
      </c>
      <c r="BB69">
        <v>7.0099999999999997E-3</v>
      </c>
      <c r="BC69">
        <v>3.8999999999999999E-4</v>
      </c>
      <c r="BD69" t="s">
        <v>442</v>
      </c>
      <c r="BE69">
        <v>5.1000000000000004E-4</v>
      </c>
      <c r="BF69">
        <v>3.0000000000000001E-5</v>
      </c>
      <c r="BG69" t="s">
        <v>439</v>
      </c>
      <c r="BH69">
        <v>9.7999999999999997E-4</v>
      </c>
      <c r="BI69">
        <v>3.2000000000000003E-4</v>
      </c>
      <c r="BJ69" t="s">
        <v>439</v>
      </c>
      <c r="BK69">
        <v>1.5100000000000001E-3</v>
      </c>
      <c r="BL69">
        <v>2.0000000000000002E-5</v>
      </c>
      <c r="BM69" t="s">
        <v>439</v>
      </c>
      <c r="BN69">
        <v>-2.5999999999999998E-4</v>
      </c>
      <c r="BO69">
        <v>5.0000000000000002E-5</v>
      </c>
      <c r="BP69" t="s">
        <v>439</v>
      </c>
      <c r="BQ69">
        <v>3.0100000000000001E-3</v>
      </c>
      <c r="BR69">
        <v>6.0999999999999997E-4</v>
      </c>
      <c r="BS69" t="s">
        <v>442</v>
      </c>
      <c r="BV69" t="s">
        <v>440</v>
      </c>
      <c r="BW69">
        <v>-2.05288</v>
      </c>
      <c r="BX69">
        <v>3.6999999999999999E-4</v>
      </c>
      <c r="BY69" t="s">
        <v>439</v>
      </c>
      <c r="BZ69">
        <v>1.6580000000000001E-2</v>
      </c>
      <c r="CA69">
        <v>1.8000000000000001E-4</v>
      </c>
      <c r="CB69" t="s">
        <v>442</v>
      </c>
      <c r="CC69">
        <v>3.6805599999999998</v>
      </c>
      <c r="CD69">
        <v>9.2609999999999998E-2</v>
      </c>
      <c r="CE69" t="s">
        <v>442</v>
      </c>
      <c r="CF69">
        <v>3.6278800000000002</v>
      </c>
      <c r="CG69">
        <v>8.1180000000000002E-2</v>
      </c>
      <c r="CH69" t="s">
        <v>442</v>
      </c>
      <c r="CI69">
        <v>3.8349500000000001</v>
      </c>
      <c r="CJ69">
        <v>5.0279999999999998E-2</v>
      </c>
      <c r="CK69" t="s">
        <v>442</v>
      </c>
      <c r="CL69">
        <v>0.42459999999999998</v>
      </c>
      <c r="CM69">
        <v>2.7499999999999998E-3</v>
      </c>
      <c r="CN69" t="s">
        <v>442</v>
      </c>
      <c r="CO69">
        <v>301.62047999999999</v>
      </c>
      <c r="CP69">
        <v>1.47241</v>
      </c>
      <c r="CQ69" t="s">
        <v>442</v>
      </c>
      <c r="CR69">
        <v>2.6997499999999999</v>
      </c>
      <c r="CS69">
        <v>8.4399999999999996E-3</v>
      </c>
      <c r="CT69" t="s">
        <v>442</v>
      </c>
      <c r="CU69">
        <v>2.6451099999999999</v>
      </c>
      <c r="CV69">
        <v>5.5E-2</v>
      </c>
      <c r="CW69" t="s">
        <v>442</v>
      </c>
      <c r="CX69">
        <v>122.7067</v>
      </c>
      <c r="CY69">
        <v>0.65549000000000002</v>
      </c>
      <c r="CZ69" t="s">
        <v>442</v>
      </c>
      <c r="DA69">
        <v>66.497919999999993</v>
      </c>
      <c r="DB69">
        <v>7.7030000000000001E-2</v>
      </c>
      <c r="DC69" t="s">
        <v>442</v>
      </c>
      <c r="DD69">
        <v>73.048990000000003</v>
      </c>
      <c r="DE69">
        <v>0.30108000000000001</v>
      </c>
      <c r="DF69" t="s">
        <v>442</v>
      </c>
      <c r="DG69">
        <v>21.674309999999998</v>
      </c>
      <c r="DH69">
        <v>7.9670000000000005E-2</v>
      </c>
      <c r="DI69" t="s">
        <v>442</v>
      </c>
      <c r="DJ69">
        <v>0.10545</v>
      </c>
      <c r="DK69">
        <v>1.457E-2</v>
      </c>
      <c r="DL69" t="s">
        <v>442</v>
      </c>
      <c r="DM69">
        <v>4.7400000000000003E-3</v>
      </c>
      <c r="DN69">
        <v>1.01E-3</v>
      </c>
      <c r="DO69" t="s">
        <v>442</v>
      </c>
      <c r="DP69">
        <v>0.26484000000000002</v>
      </c>
      <c r="DQ69">
        <v>1.167E-2</v>
      </c>
      <c r="DR69" t="s">
        <v>442</v>
      </c>
      <c r="DS69">
        <v>0.88583999999999996</v>
      </c>
      <c r="DT69">
        <v>8.5000000000000006E-3</v>
      </c>
      <c r="DU69" t="s">
        <v>442</v>
      </c>
      <c r="DV69">
        <v>3.8824000000000001</v>
      </c>
      <c r="DW69">
        <v>2.35E-2</v>
      </c>
      <c r="DX69" t="s">
        <v>442</v>
      </c>
      <c r="DY69">
        <v>0.2379</v>
      </c>
      <c r="DZ69">
        <v>1.83E-3</v>
      </c>
      <c r="EA69" t="s">
        <v>442</v>
      </c>
      <c r="EB69">
        <v>0.33957999999999999</v>
      </c>
      <c r="EC69">
        <v>1.444E-2</v>
      </c>
      <c r="ED69" t="s">
        <v>442</v>
      </c>
      <c r="EE69">
        <v>7.0072400000000004</v>
      </c>
      <c r="EF69">
        <v>3.1370000000000002E-2</v>
      </c>
      <c r="EG69" t="s">
        <v>442</v>
      </c>
      <c r="EH69">
        <v>1140.6495199999999</v>
      </c>
      <c r="EI69">
        <v>9.8711000000000002</v>
      </c>
      <c r="EJ69" t="s">
        <v>442</v>
      </c>
      <c r="EM69" t="s">
        <v>440</v>
      </c>
      <c r="EN69">
        <v>26.811050000000002</v>
      </c>
      <c r="EO69">
        <v>0.35594999999999999</v>
      </c>
      <c r="EP69" t="s">
        <v>442</v>
      </c>
      <c r="ES69" t="s">
        <v>440</v>
      </c>
      <c r="ET69">
        <v>310.95738</v>
      </c>
      <c r="EU69">
        <v>2.85412</v>
      </c>
      <c r="EV69" t="s">
        <v>442</v>
      </c>
      <c r="EW69">
        <v>1.031E-2</v>
      </c>
      <c r="EX69">
        <v>2.2899999999999999E-3</v>
      </c>
      <c r="EY69" t="s">
        <v>442</v>
      </c>
      <c r="EZ69">
        <v>21.55498</v>
      </c>
      <c r="FA69">
        <v>0.33056999999999997</v>
      </c>
      <c r="FB69" t="s">
        <v>442</v>
      </c>
      <c r="FC69">
        <v>0.76893999999999996</v>
      </c>
      <c r="FD69">
        <v>9.9589999999999998E-2</v>
      </c>
      <c r="FE69" t="s">
        <v>439</v>
      </c>
      <c r="FF69">
        <v>4.0550300000000004</v>
      </c>
      <c r="FG69">
        <v>0.16108</v>
      </c>
      <c r="FH69" t="s">
        <v>441</v>
      </c>
      <c r="FK69" t="s">
        <v>440</v>
      </c>
      <c r="FN69" t="s">
        <v>440</v>
      </c>
      <c r="FO69">
        <v>26.443809999999999</v>
      </c>
      <c r="FP69">
        <v>0.55559999999999998</v>
      </c>
      <c r="FQ69" t="s">
        <v>441</v>
      </c>
      <c r="FT69" t="s">
        <v>440</v>
      </c>
      <c r="FX69">
        <v>68</v>
      </c>
    </row>
    <row r="70" spans="2:180" x14ac:dyDescent="0.2">
      <c r="B70" t="s">
        <v>136</v>
      </c>
      <c r="C70">
        <v>0.31379000000000001</v>
      </c>
      <c r="D70">
        <v>1.6800000000000001E-3</v>
      </c>
      <c r="E70" t="s">
        <v>442</v>
      </c>
      <c r="F70">
        <v>1.363E-2</v>
      </c>
      <c r="G70">
        <v>1.3600000000000001E-3</v>
      </c>
      <c r="H70" t="s">
        <v>439</v>
      </c>
      <c r="I70">
        <v>4.1081099999999999</v>
      </c>
      <c r="J70">
        <v>4.5500000000000002E-3</v>
      </c>
      <c r="K70" t="s">
        <v>442</v>
      </c>
      <c r="L70">
        <v>0.11018</v>
      </c>
      <c r="M70">
        <v>6.9999999999999999E-4</v>
      </c>
      <c r="N70" t="s">
        <v>442</v>
      </c>
      <c r="O70">
        <v>3.6099999999999999E-3</v>
      </c>
      <c r="P70">
        <v>8.0000000000000007E-5</v>
      </c>
      <c r="Q70" t="s">
        <v>442</v>
      </c>
      <c r="R70">
        <v>0.25106000000000001</v>
      </c>
      <c r="S70">
        <v>2.5300000000000001E-3</v>
      </c>
      <c r="T70" t="s">
        <v>442</v>
      </c>
      <c r="U70">
        <v>1.2600000000000001E-3</v>
      </c>
      <c r="V70">
        <v>6.9999999999999994E-5</v>
      </c>
      <c r="W70" t="s">
        <v>439</v>
      </c>
      <c r="X70">
        <v>1.2840000000000001E-2</v>
      </c>
      <c r="Y70">
        <v>1E-4</v>
      </c>
      <c r="Z70" t="s">
        <v>439</v>
      </c>
      <c r="AA70">
        <v>0.41399000000000002</v>
      </c>
      <c r="AB70">
        <v>2.7299999999999998E-3</v>
      </c>
      <c r="AC70" t="s">
        <v>442</v>
      </c>
      <c r="AD70">
        <v>2.38225</v>
      </c>
      <c r="AE70">
        <v>2.043E-2</v>
      </c>
      <c r="AF70" t="s">
        <v>442</v>
      </c>
      <c r="AI70" t="s">
        <v>440</v>
      </c>
      <c r="AJ70">
        <v>41.809759999999997</v>
      </c>
      <c r="AK70">
        <v>0.75851000000000002</v>
      </c>
      <c r="AL70" t="s">
        <v>441</v>
      </c>
      <c r="AM70">
        <v>217.20903999999999</v>
      </c>
      <c r="AN70">
        <v>5.0094399999999997</v>
      </c>
      <c r="AO70" t="s">
        <v>442</v>
      </c>
      <c r="AP70">
        <v>0.12908</v>
      </c>
      <c r="AQ70">
        <v>1.8699999999999999E-3</v>
      </c>
      <c r="AR70" t="s">
        <v>442</v>
      </c>
      <c r="AS70">
        <v>2.3668100000000001</v>
      </c>
      <c r="AT70">
        <v>3.3309999999999999E-2</v>
      </c>
      <c r="AU70" t="s">
        <v>442</v>
      </c>
      <c r="AV70">
        <v>1.4919999999999999E-2</v>
      </c>
      <c r="AW70">
        <v>2.2000000000000001E-4</v>
      </c>
      <c r="AX70" t="s">
        <v>442</v>
      </c>
      <c r="AY70">
        <v>-3.6800000000000001E-3</v>
      </c>
      <c r="AZ70">
        <v>1.1E-4</v>
      </c>
      <c r="BA70" t="s">
        <v>439</v>
      </c>
      <c r="BB70">
        <v>2.5400000000000002E-3</v>
      </c>
      <c r="BC70">
        <v>1.2999999999999999E-4</v>
      </c>
      <c r="BD70" t="s">
        <v>442</v>
      </c>
      <c r="BE70">
        <v>4.8999999999999998E-4</v>
      </c>
      <c r="BF70">
        <v>2.0000000000000001E-4</v>
      </c>
      <c r="BG70" t="s">
        <v>439</v>
      </c>
      <c r="BH70">
        <v>2.7E-4</v>
      </c>
      <c r="BI70">
        <v>5.0000000000000002E-5</v>
      </c>
      <c r="BJ70" t="s">
        <v>439</v>
      </c>
      <c r="BK70">
        <v>1.5E-3</v>
      </c>
      <c r="BL70">
        <v>1.0000000000000001E-5</v>
      </c>
      <c r="BM70" t="s">
        <v>439</v>
      </c>
      <c r="BN70">
        <v>-2.0000000000000001E-4</v>
      </c>
      <c r="BO70">
        <v>1.1E-4</v>
      </c>
      <c r="BP70" t="s">
        <v>439</v>
      </c>
      <c r="BQ70">
        <v>6.1620000000000001E-2</v>
      </c>
      <c r="BR70">
        <v>5.9000000000000003E-4</v>
      </c>
      <c r="BS70" t="s">
        <v>442</v>
      </c>
      <c r="BV70" t="s">
        <v>440</v>
      </c>
      <c r="BW70">
        <v>-2.0531700000000002</v>
      </c>
      <c r="BX70">
        <v>1.1E-4</v>
      </c>
      <c r="BY70" t="s">
        <v>439</v>
      </c>
      <c r="BZ70">
        <v>8.5080000000000003E-2</v>
      </c>
      <c r="CA70">
        <v>5.0000000000000001E-4</v>
      </c>
      <c r="CB70" t="s">
        <v>442</v>
      </c>
      <c r="CC70">
        <v>14.098599999999999</v>
      </c>
      <c r="CD70">
        <v>0.35894999999999999</v>
      </c>
      <c r="CE70" t="s">
        <v>442</v>
      </c>
      <c r="CF70">
        <v>13.7746</v>
      </c>
      <c r="CG70">
        <v>0.35198000000000002</v>
      </c>
      <c r="CH70" t="s">
        <v>442</v>
      </c>
      <c r="CI70">
        <v>14.14954</v>
      </c>
      <c r="CJ70">
        <v>0.35178999999999999</v>
      </c>
      <c r="CK70" t="s">
        <v>442</v>
      </c>
      <c r="CL70">
        <v>1.68468</v>
      </c>
      <c r="CM70">
        <v>3.15E-2</v>
      </c>
      <c r="CN70" t="s">
        <v>442</v>
      </c>
      <c r="CO70">
        <v>911.87855999999999</v>
      </c>
      <c r="CP70">
        <v>25.87003</v>
      </c>
      <c r="CQ70" t="s">
        <v>442</v>
      </c>
      <c r="CR70">
        <v>1.2205699999999999</v>
      </c>
      <c r="CS70">
        <v>2.6450000000000001E-2</v>
      </c>
      <c r="CT70" t="s">
        <v>442</v>
      </c>
      <c r="CU70">
        <v>2.1713300000000002</v>
      </c>
      <c r="CV70">
        <v>8.7359999999999993E-2</v>
      </c>
      <c r="CW70" t="s">
        <v>442</v>
      </c>
      <c r="CX70">
        <v>276.19974999999999</v>
      </c>
      <c r="CY70">
        <v>7.8199399999999999</v>
      </c>
      <c r="CZ70" t="s">
        <v>442</v>
      </c>
      <c r="DA70">
        <v>156.76996</v>
      </c>
      <c r="DB70">
        <v>4.8150300000000001</v>
      </c>
      <c r="DC70" t="s">
        <v>442</v>
      </c>
      <c r="DD70">
        <v>227.54944</v>
      </c>
      <c r="DE70">
        <v>4.0285700000000002</v>
      </c>
      <c r="DF70" t="s">
        <v>442</v>
      </c>
      <c r="DG70">
        <v>19.592829999999999</v>
      </c>
      <c r="DH70">
        <v>0.57867000000000002</v>
      </c>
      <c r="DI70" t="s">
        <v>442</v>
      </c>
      <c r="DJ70">
        <v>4.7039999999999998E-2</v>
      </c>
      <c r="DK70">
        <v>9.4599999999999997E-3</v>
      </c>
      <c r="DL70" t="s">
        <v>442</v>
      </c>
      <c r="DM70">
        <v>4.3899999999999998E-3</v>
      </c>
      <c r="DN70">
        <v>1.0499999999999999E-3</v>
      </c>
      <c r="DO70" t="s">
        <v>442</v>
      </c>
      <c r="DP70">
        <v>0.29144999999999999</v>
      </c>
      <c r="DQ70">
        <v>1.3339999999999999E-2</v>
      </c>
      <c r="DR70" t="s">
        <v>442</v>
      </c>
      <c r="DS70">
        <v>2.3747799999999999</v>
      </c>
      <c r="DT70">
        <v>4.6370000000000001E-2</v>
      </c>
      <c r="DU70" t="s">
        <v>442</v>
      </c>
      <c r="DV70">
        <v>3.7331699999999999</v>
      </c>
      <c r="DW70">
        <v>8.9969999999999994E-2</v>
      </c>
      <c r="DX70" t="s">
        <v>442</v>
      </c>
      <c r="DY70">
        <v>0.48041</v>
      </c>
      <c r="DZ70">
        <v>1.6789999999999999E-2</v>
      </c>
      <c r="EA70" t="s">
        <v>442</v>
      </c>
      <c r="EB70">
        <v>0.23754</v>
      </c>
      <c r="EC70">
        <v>6.0400000000000002E-3</v>
      </c>
      <c r="ED70" t="s">
        <v>442</v>
      </c>
      <c r="EE70">
        <v>17.366209999999999</v>
      </c>
      <c r="EF70">
        <v>0.57286000000000004</v>
      </c>
      <c r="EG70" t="s">
        <v>442</v>
      </c>
      <c r="EH70">
        <v>3631.4115400000001</v>
      </c>
      <c r="EI70">
        <v>98.880489999999995</v>
      </c>
      <c r="EJ70" t="s">
        <v>442</v>
      </c>
      <c r="EM70" t="s">
        <v>440</v>
      </c>
      <c r="EN70">
        <v>48.306229999999999</v>
      </c>
      <c r="EO70">
        <v>1.67388</v>
      </c>
      <c r="EP70" t="s">
        <v>442</v>
      </c>
      <c r="ES70" t="s">
        <v>440</v>
      </c>
      <c r="ET70">
        <v>1387.3139799999999</v>
      </c>
      <c r="EU70">
        <v>42.142240000000001</v>
      </c>
      <c r="EV70" t="s">
        <v>442</v>
      </c>
      <c r="EW70">
        <v>0.17008999999999999</v>
      </c>
      <c r="EX70">
        <v>5.7020000000000001E-2</v>
      </c>
      <c r="EY70" t="s">
        <v>442</v>
      </c>
      <c r="EZ70">
        <v>41.245130000000003</v>
      </c>
      <c r="FA70">
        <v>1.0511200000000001</v>
      </c>
      <c r="FB70" t="s">
        <v>442</v>
      </c>
      <c r="FC70">
        <v>0.64624000000000004</v>
      </c>
      <c r="FD70">
        <v>0.19170000000000001</v>
      </c>
      <c r="FE70" t="s">
        <v>439</v>
      </c>
      <c r="FF70">
        <v>2.8450199999999999</v>
      </c>
      <c r="FG70">
        <v>0.36570000000000003</v>
      </c>
      <c r="FH70" t="s">
        <v>441</v>
      </c>
      <c r="FK70" t="s">
        <v>440</v>
      </c>
      <c r="FN70" t="s">
        <v>440</v>
      </c>
      <c r="FO70">
        <v>49.19509</v>
      </c>
      <c r="FP70">
        <v>1.9596800000000001</v>
      </c>
      <c r="FQ70" t="s">
        <v>441</v>
      </c>
      <c r="FT70" t="s">
        <v>440</v>
      </c>
      <c r="FX70">
        <v>69</v>
      </c>
    </row>
    <row r="71" spans="2:180" x14ac:dyDescent="0.2">
      <c r="B71" t="s">
        <v>137</v>
      </c>
      <c r="C71">
        <v>0.20877999999999999</v>
      </c>
      <c r="D71">
        <v>3.46E-3</v>
      </c>
      <c r="E71" t="s">
        <v>442</v>
      </c>
      <c r="F71">
        <v>1.341E-2</v>
      </c>
      <c r="G71">
        <v>1.64E-3</v>
      </c>
      <c r="H71" t="s">
        <v>439</v>
      </c>
      <c r="I71">
        <v>2.35846</v>
      </c>
      <c r="J71">
        <v>3.5580000000000001E-2</v>
      </c>
      <c r="K71" t="s">
        <v>442</v>
      </c>
      <c r="L71">
        <v>7.689E-2</v>
      </c>
      <c r="M71">
        <v>1.92E-3</v>
      </c>
      <c r="N71" t="s">
        <v>442</v>
      </c>
      <c r="O71">
        <v>3.3600000000000001E-3</v>
      </c>
      <c r="P71">
        <v>5.0000000000000002E-5</v>
      </c>
      <c r="Q71" t="s">
        <v>439</v>
      </c>
      <c r="R71">
        <v>0.17685000000000001</v>
      </c>
      <c r="S71">
        <v>2.0699999999999998E-3</v>
      </c>
      <c r="T71" t="s">
        <v>442</v>
      </c>
      <c r="U71">
        <v>9.8999999999999999E-4</v>
      </c>
      <c r="V71">
        <v>6.9999999999999994E-5</v>
      </c>
      <c r="W71" t="s">
        <v>439</v>
      </c>
      <c r="X71">
        <v>1.247E-2</v>
      </c>
      <c r="Y71">
        <v>6.4999999999999997E-4</v>
      </c>
      <c r="Z71" t="s">
        <v>439</v>
      </c>
      <c r="AA71">
        <v>0.22877</v>
      </c>
      <c r="AB71">
        <v>1.4499999999999999E-3</v>
      </c>
      <c r="AC71" t="s">
        <v>442</v>
      </c>
      <c r="AD71">
        <v>1.78487</v>
      </c>
      <c r="AE71">
        <v>3.1460000000000002E-2</v>
      </c>
      <c r="AF71" t="s">
        <v>442</v>
      </c>
      <c r="AI71" t="s">
        <v>440</v>
      </c>
      <c r="AJ71">
        <v>36.501730000000002</v>
      </c>
      <c r="AK71">
        <v>0.55447000000000002</v>
      </c>
      <c r="AL71" t="s">
        <v>441</v>
      </c>
      <c r="AM71">
        <v>222.34289999999999</v>
      </c>
      <c r="AN71">
        <v>1.8080000000000001</v>
      </c>
      <c r="AO71" t="s">
        <v>442</v>
      </c>
      <c r="AP71">
        <v>6.8409999999999999E-2</v>
      </c>
      <c r="AQ71">
        <v>1E-3</v>
      </c>
      <c r="AR71" t="s">
        <v>442</v>
      </c>
      <c r="AS71">
        <v>1.35869</v>
      </c>
      <c r="AT71">
        <v>4.8999999999999998E-3</v>
      </c>
      <c r="AU71" t="s">
        <v>442</v>
      </c>
      <c r="AV71">
        <v>1.362E-2</v>
      </c>
      <c r="AW71">
        <v>1.9000000000000001E-4</v>
      </c>
      <c r="AX71" t="s">
        <v>442</v>
      </c>
      <c r="AY71">
        <v>-4.6600000000000001E-3</v>
      </c>
      <c r="AZ71">
        <v>3.0000000000000001E-5</v>
      </c>
      <c r="BA71" t="s">
        <v>439</v>
      </c>
      <c r="BB71">
        <v>1.9599999999999999E-3</v>
      </c>
      <c r="BC71">
        <v>1.4999999999999999E-4</v>
      </c>
      <c r="BD71" t="s">
        <v>439</v>
      </c>
      <c r="BE71">
        <v>2.9999999999999997E-4</v>
      </c>
      <c r="BF71">
        <v>3.5E-4</v>
      </c>
      <c r="BG71" t="s">
        <v>439</v>
      </c>
      <c r="BH71">
        <v>4.0000000000000002E-4</v>
      </c>
      <c r="BI71">
        <v>1.3999999999999999E-4</v>
      </c>
      <c r="BJ71" t="s">
        <v>439</v>
      </c>
      <c r="BK71">
        <v>1.5200000000000001E-3</v>
      </c>
      <c r="BL71">
        <v>2.0000000000000002E-5</v>
      </c>
      <c r="BM71" t="s">
        <v>439</v>
      </c>
      <c r="BN71">
        <v>-2.7E-4</v>
      </c>
      <c r="BO71">
        <v>1.2E-4</v>
      </c>
      <c r="BP71" t="s">
        <v>439</v>
      </c>
      <c r="BQ71">
        <v>3.2870000000000003E-2</v>
      </c>
      <c r="BR71">
        <v>5.9999999999999995E-4</v>
      </c>
      <c r="BS71" t="s">
        <v>442</v>
      </c>
      <c r="BV71" t="s">
        <v>440</v>
      </c>
      <c r="BW71">
        <v>-2.0531799999999998</v>
      </c>
      <c r="BX71">
        <v>6.0999999999999997E-4</v>
      </c>
      <c r="BY71" t="s">
        <v>439</v>
      </c>
      <c r="BZ71">
        <v>4.7789999999999999E-2</v>
      </c>
      <c r="CA71">
        <v>5.4000000000000001E-4</v>
      </c>
      <c r="CB71" t="s">
        <v>442</v>
      </c>
      <c r="CC71">
        <v>9.8158700000000003</v>
      </c>
      <c r="CD71">
        <v>5.9200000000000003E-2</v>
      </c>
      <c r="CE71" t="s">
        <v>442</v>
      </c>
      <c r="CF71">
        <v>9.6147799999999997</v>
      </c>
      <c r="CG71">
        <v>5.5019999999999999E-2</v>
      </c>
      <c r="CH71" t="s">
        <v>442</v>
      </c>
      <c r="CI71">
        <v>9.2514699999999994</v>
      </c>
      <c r="CJ71">
        <v>6.2880000000000005E-2</v>
      </c>
      <c r="CK71" t="s">
        <v>442</v>
      </c>
      <c r="CL71">
        <v>1.0857600000000001</v>
      </c>
      <c r="CM71">
        <v>7.0600000000000003E-3</v>
      </c>
      <c r="CN71" t="s">
        <v>442</v>
      </c>
      <c r="CO71">
        <v>650.18528000000003</v>
      </c>
      <c r="CP71">
        <v>3.9145500000000002</v>
      </c>
      <c r="CQ71" t="s">
        <v>442</v>
      </c>
      <c r="CR71">
        <v>1.0739799999999999</v>
      </c>
      <c r="CS71">
        <v>3.354E-2</v>
      </c>
      <c r="CT71" t="s">
        <v>442</v>
      </c>
      <c r="CU71">
        <v>1.83856</v>
      </c>
      <c r="CV71">
        <v>2.324E-2</v>
      </c>
      <c r="CW71" t="s">
        <v>442</v>
      </c>
      <c r="CX71">
        <v>225.78693000000001</v>
      </c>
      <c r="CY71">
        <v>2.0033099999999999</v>
      </c>
      <c r="CZ71" t="s">
        <v>442</v>
      </c>
      <c r="DA71">
        <v>135.96511000000001</v>
      </c>
      <c r="DB71">
        <v>2.9626399999999999</v>
      </c>
      <c r="DC71" t="s">
        <v>442</v>
      </c>
      <c r="DD71">
        <v>127.49164</v>
      </c>
      <c r="DE71">
        <v>1.6719900000000001</v>
      </c>
      <c r="DF71" t="s">
        <v>442</v>
      </c>
      <c r="DG71">
        <v>19.541409999999999</v>
      </c>
      <c r="DH71">
        <v>0.32345000000000002</v>
      </c>
      <c r="DI71" t="s">
        <v>442</v>
      </c>
      <c r="DJ71">
        <v>1.5709999999999998E-2</v>
      </c>
      <c r="DK71">
        <v>1.73E-3</v>
      </c>
      <c r="DL71" t="s">
        <v>439</v>
      </c>
      <c r="DM71">
        <v>6.0400000000000002E-3</v>
      </c>
      <c r="DN71">
        <v>6.0999999999999997E-4</v>
      </c>
      <c r="DO71" t="s">
        <v>442</v>
      </c>
      <c r="DP71">
        <v>0.23563000000000001</v>
      </c>
      <c r="DQ71">
        <v>3.0899999999999999E-3</v>
      </c>
      <c r="DR71" t="s">
        <v>442</v>
      </c>
      <c r="DS71">
        <v>1.38761</v>
      </c>
      <c r="DT71">
        <v>1.575E-2</v>
      </c>
      <c r="DU71" t="s">
        <v>442</v>
      </c>
      <c r="DV71">
        <v>3.0134799999999999</v>
      </c>
      <c r="DW71">
        <v>6.2719999999999998E-2</v>
      </c>
      <c r="DX71" t="s">
        <v>442</v>
      </c>
      <c r="DY71">
        <v>0.41699999999999998</v>
      </c>
      <c r="DZ71">
        <v>3.5999999999999999E-3</v>
      </c>
      <c r="EA71" t="s">
        <v>442</v>
      </c>
      <c r="EB71">
        <v>0.19422</v>
      </c>
      <c r="EC71">
        <v>4.45E-3</v>
      </c>
      <c r="ED71" t="s">
        <v>442</v>
      </c>
      <c r="EE71">
        <v>12.461309999999999</v>
      </c>
      <c r="EF71">
        <v>9.4490000000000005E-2</v>
      </c>
      <c r="EG71" t="s">
        <v>442</v>
      </c>
      <c r="EH71">
        <v>2624.9021899999998</v>
      </c>
      <c r="EI71">
        <v>19.92296</v>
      </c>
      <c r="EJ71" t="s">
        <v>442</v>
      </c>
      <c r="EM71" t="s">
        <v>440</v>
      </c>
      <c r="EN71">
        <v>42.887300000000003</v>
      </c>
      <c r="EO71">
        <v>0.67557999999999996</v>
      </c>
      <c r="EP71" t="s">
        <v>442</v>
      </c>
      <c r="ES71" t="s">
        <v>440</v>
      </c>
      <c r="ET71">
        <v>816.17958999999996</v>
      </c>
      <c r="EU71">
        <v>5.97872</v>
      </c>
      <c r="EV71" t="s">
        <v>442</v>
      </c>
      <c r="EW71">
        <v>6.2700000000000006E-2</v>
      </c>
      <c r="EX71">
        <v>6.2599999999999999E-3</v>
      </c>
      <c r="EY71" t="s">
        <v>442</v>
      </c>
      <c r="EZ71">
        <v>32.754130000000004</v>
      </c>
      <c r="FA71">
        <v>0.53346000000000005</v>
      </c>
      <c r="FB71" t="s">
        <v>442</v>
      </c>
      <c r="FC71">
        <v>1.0666500000000001</v>
      </c>
      <c r="FD71">
        <v>5.2670000000000002E-2</v>
      </c>
      <c r="FE71" t="s">
        <v>439</v>
      </c>
      <c r="FF71">
        <v>5.0286799999999996</v>
      </c>
      <c r="FG71">
        <v>0.25389</v>
      </c>
      <c r="FH71" t="s">
        <v>441</v>
      </c>
      <c r="FK71" t="s">
        <v>440</v>
      </c>
      <c r="FN71" t="s">
        <v>440</v>
      </c>
      <c r="FO71">
        <v>42.615749999999998</v>
      </c>
      <c r="FP71">
        <v>0.40621000000000002</v>
      </c>
      <c r="FQ71" t="s">
        <v>441</v>
      </c>
      <c r="FT71" t="s">
        <v>440</v>
      </c>
      <c r="FU71">
        <v>2</v>
      </c>
      <c r="FX71">
        <v>70</v>
      </c>
    </row>
    <row r="72" spans="2:180" x14ac:dyDescent="0.2">
      <c r="B72" t="s">
        <v>138</v>
      </c>
      <c r="C72">
        <v>1.16344</v>
      </c>
      <c r="D72">
        <v>2.392E-2</v>
      </c>
      <c r="E72" t="s">
        <v>443</v>
      </c>
      <c r="F72">
        <v>1.16625</v>
      </c>
      <c r="G72">
        <v>3.6130000000000002E-2</v>
      </c>
      <c r="H72" t="s">
        <v>443</v>
      </c>
      <c r="I72">
        <v>1.16235</v>
      </c>
      <c r="J72">
        <v>1.423E-2</v>
      </c>
      <c r="K72" t="s">
        <v>443</v>
      </c>
      <c r="L72">
        <v>1.18018</v>
      </c>
      <c r="M72">
        <v>2.511E-2</v>
      </c>
      <c r="N72" t="s">
        <v>443</v>
      </c>
      <c r="O72">
        <v>1.1719999999999999</v>
      </c>
      <c r="P72">
        <v>1.443E-2</v>
      </c>
      <c r="Q72" t="s">
        <v>443</v>
      </c>
      <c r="R72">
        <v>1.1376299999999999</v>
      </c>
      <c r="S72">
        <v>2.7789999999999999E-2</v>
      </c>
      <c r="T72" t="s">
        <v>443</v>
      </c>
      <c r="U72">
        <v>1.15815</v>
      </c>
      <c r="V72">
        <v>2.63E-2</v>
      </c>
      <c r="W72" t="s">
        <v>443</v>
      </c>
      <c r="X72">
        <v>1.1155200000000001</v>
      </c>
      <c r="Y72">
        <v>1.5630000000000002E-2</v>
      </c>
      <c r="Z72" t="s">
        <v>443</v>
      </c>
      <c r="AA72">
        <v>1.1323099999999999</v>
      </c>
      <c r="AB72">
        <v>1.6899999999999998E-2</v>
      </c>
      <c r="AC72" t="s">
        <v>443</v>
      </c>
      <c r="AD72">
        <v>1.1451100000000001</v>
      </c>
      <c r="AE72">
        <v>1.038E-2</v>
      </c>
      <c r="AF72" t="s">
        <v>443</v>
      </c>
      <c r="AI72" t="s">
        <v>440</v>
      </c>
      <c r="AJ72">
        <v>1.1407</v>
      </c>
      <c r="AK72">
        <v>7.2300000000000003E-3</v>
      </c>
      <c r="AL72" t="s">
        <v>444</v>
      </c>
      <c r="AM72">
        <v>1.1912499999999999</v>
      </c>
      <c r="AN72">
        <v>1.29E-2</v>
      </c>
      <c r="AO72" t="s">
        <v>443</v>
      </c>
      <c r="AP72">
        <v>1.17197</v>
      </c>
      <c r="AQ72">
        <v>8.3099999999999997E-3</v>
      </c>
      <c r="AR72" t="s">
        <v>443</v>
      </c>
      <c r="AS72">
        <v>3.9718599999999999</v>
      </c>
      <c r="AT72">
        <v>4.8730000000000002E-2</v>
      </c>
      <c r="AU72" t="s">
        <v>443</v>
      </c>
      <c r="AV72">
        <v>1.15981</v>
      </c>
      <c r="AW72">
        <v>1.8010000000000002E-2</v>
      </c>
      <c r="AX72" t="s">
        <v>443</v>
      </c>
      <c r="AY72">
        <v>1.15865</v>
      </c>
      <c r="AZ72">
        <v>1.6129999999999999E-2</v>
      </c>
      <c r="BA72" t="s">
        <v>443</v>
      </c>
      <c r="BB72">
        <v>1.16934</v>
      </c>
      <c r="BC72">
        <v>2.1600000000000001E-2</v>
      </c>
      <c r="BD72" t="s">
        <v>443</v>
      </c>
      <c r="BE72">
        <v>1.1731100000000001</v>
      </c>
      <c r="BF72">
        <v>2.5680000000000001E-2</v>
      </c>
      <c r="BG72" t="s">
        <v>443</v>
      </c>
      <c r="BH72">
        <v>1.16917</v>
      </c>
      <c r="BI72">
        <v>1.8939999999999999E-2</v>
      </c>
      <c r="BJ72" t="s">
        <v>443</v>
      </c>
      <c r="BK72">
        <v>1.2163200000000001</v>
      </c>
      <c r="BL72">
        <v>1.9910000000000001E-2</v>
      </c>
      <c r="BM72" t="s">
        <v>443</v>
      </c>
      <c r="BN72">
        <v>1.18824</v>
      </c>
      <c r="BO72">
        <v>2.2749999999999999E-2</v>
      </c>
      <c r="BP72" t="s">
        <v>443</v>
      </c>
      <c r="BQ72">
        <v>1.1915</v>
      </c>
      <c r="BR72">
        <v>2.9059999999999999E-2</v>
      </c>
      <c r="BS72" t="s">
        <v>443</v>
      </c>
      <c r="BV72" t="s">
        <v>440</v>
      </c>
      <c r="BW72">
        <v>-1.1839299999999999</v>
      </c>
      <c r="BX72">
        <v>1.4630000000000001E-2</v>
      </c>
      <c r="BY72" t="s">
        <v>445</v>
      </c>
      <c r="BZ72">
        <v>1.1540299999999999</v>
      </c>
      <c r="CA72">
        <v>2.3050000000000001E-2</v>
      </c>
      <c r="CB72" t="s">
        <v>443</v>
      </c>
      <c r="CC72">
        <v>1.11995</v>
      </c>
      <c r="CD72">
        <v>2.8080000000000001E-2</v>
      </c>
      <c r="CE72" t="s">
        <v>443</v>
      </c>
      <c r="CF72">
        <v>1.1213500000000001</v>
      </c>
      <c r="CG72">
        <v>3.737E-2</v>
      </c>
      <c r="CH72" t="s">
        <v>443</v>
      </c>
      <c r="CI72">
        <v>1.14107</v>
      </c>
      <c r="CJ72">
        <v>2.613E-2</v>
      </c>
      <c r="CK72" t="s">
        <v>443</v>
      </c>
      <c r="CL72">
        <v>1.22559</v>
      </c>
      <c r="CM72">
        <v>1.9429999999999999E-2</v>
      </c>
      <c r="CN72" t="s">
        <v>443</v>
      </c>
      <c r="CO72">
        <v>7.7762700000000002</v>
      </c>
      <c r="CP72">
        <v>0.29909000000000002</v>
      </c>
      <c r="CQ72" t="s">
        <v>443</v>
      </c>
      <c r="CR72">
        <v>8.2359100000000005</v>
      </c>
      <c r="CS72">
        <v>0.12761</v>
      </c>
      <c r="CT72" t="s">
        <v>443</v>
      </c>
      <c r="CU72">
        <v>4.0335700000000001</v>
      </c>
      <c r="CV72">
        <v>9.7170000000000006E-2</v>
      </c>
      <c r="CW72" t="s">
        <v>443</v>
      </c>
      <c r="CX72">
        <v>10.05907</v>
      </c>
      <c r="CY72">
        <v>0.86280000000000001</v>
      </c>
      <c r="CZ72" t="s">
        <v>443</v>
      </c>
      <c r="DA72">
        <v>1.33555</v>
      </c>
      <c r="DB72">
        <v>0.10621</v>
      </c>
      <c r="DC72" t="s">
        <v>443</v>
      </c>
      <c r="DD72">
        <v>23.155239999999999</v>
      </c>
      <c r="DE72">
        <v>1.2034899999999999</v>
      </c>
      <c r="DF72" t="s">
        <v>443</v>
      </c>
      <c r="DG72">
        <v>8.7219099999999994</v>
      </c>
      <c r="DH72">
        <v>0.41714000000000001</v>
      </c>
      <c r="DI72" t="s">
        <v>443</v>
      </c>
      <c r="DJ72">
        <v>1.1991000000000001</v>
      </c>
      <c r="DK72">
        <v>3.2770000000000001E-2</v>
      </c>
      <c r="DL72" t="s">
        <v>443</v>
      </c>
      <c r="DM72">
        <v>1.18062</v>
      </c>
      <c r="DN72">
        <v>4.4479999999999999E-2</v>
      </c>
      <c r="DO72" t="s">
        <v>443</v>
      </c>
      <c r="DP72">
        <v>1.1767000000000001</v>
      </c>
      <c r="DQ72">
        <v>4.1230000000000003E-2</v>
      </c>
      <c r="DR72" t="s">
        <v>443</v>
      </c>
      <c r="DS72">
        <v>1.15805</v>
      </c>
      <c r="DT72">
        <v>3.8640000000000001E-2</v>
      </c>
      <c r="DU72" t="s">
        <v>443</v>
      </c>
      <c r="DV72">
        <v>3.7264699999999999</v>
      </c>
      <c r="DW72">
        <v>0.13156999999999999</v>
      </c>
      <c r="DX72" t="s">
        <v>443</v>
      </c>
      <c r="DY72">
        <v>1.16377</v>
      </c>
      <c r="DZ72">
        <v>5.5149999999999998E-2</v>
      </c>
      <c r="EA72" t="s">
        <v>443</v>
      </c>
      <c r="EB72">
        <v>1.0857000000000001</v>
      </c>
      <c r="EC72">
        <v>5.7329999999999999E-2</v>
      </c>
      <c r="ED72" t="s">
        <v>443</v>
      </c>
      <c r="EE72">
        <v>1.1819</v>
      </c>
      <c r="EF72">
        <v>6.3320000000000001E-2</v>
      </c>
      <c r="EG72" t="s">
        <v>443</v>
      </c>
      <c r="EH72">
        <v>5.7396599999999998</v>
      </c>
      <c r="EI72">
        <v>0.64331000000000005</v>
      </c>
      <c r="EJ72" t="s">
        <v>443</v>
      </c>
      <c r="EM72" t="s">
        <v>440</v>
      </c>
      <c r="EN72">
        <v>1.2245200000000001</v>
      </c>
      <c r="EO72">
        <v>6.9940000000000002E-2</v>
      </c>
      <c r="EP72" t="s">
        <v>443</v>
      </c>
      <c r="ES72" t="s">
        <v>440</v>
      </c>
      <c r="ET72">
        <v>12.207240000000001</v>
      </c>
      <c r="EU72">
        <v>0.45367000000000002</v>
      </c>
      <c r="EV72" t="s">
        <v>443</v>
      </c>
      <c r="EW72">
        <v>1.39903</v>
      </c>
      <c r="EX72">
        <v>7.1859999999999993E-2</v>
      </c>
      <c r="EY72" t="s">
        <v>443</v>
      </c>
      <c r="EZ72">
        <v>1.28969</v>
      </c>
      <c r="FA72">
        <v>2.827E-2</v>
      </c>
      <c r="FB72" t="s">
        <v>443</v>
      </c>
      <c r="FC72">
        <v>2.05403</v>
      </c>
      <c r="FD72">
        <v>0.18428</v>
      </c>
      <c r="FE72" t="s">
        <v>443</v>
      </c>
      <c r="FF72">
        <v>6.0139399999999998</v>
      </c>
      <c r="FG72">
        <v>0.16325000000000001</v>
      </c>
      <c r="FH72" t="s">
        <v>444</v>
      </c>
      <c r="FK72" t="s">
        <v>440</v>
      </c>
      <c r="FN72" t="s">
        <v>440</v>
      </c>
      <c r="FO72">
        <v>1.2416400000000001</v>
      </c>
      <c r="FP72">
        <v>7.6439999999999994E-2</v>
      </c>
      <c r="FQ72" t="s">
        <v>444</v>
      </c>
      <c r="FT72" t="s">
        <v>440</v>
      </c>
      <c r="FU72">
        <v>1</v>
      </c>
      <c r="FX72">
        <v>71</v>
      </c>
    </row>
    <row r="73" spans="2:180" x14ac:dyDescent="0.2">
      <c r="B73" t="s">
        <v>139</v>
      </c>
      <c r="C73">
        <v>4.6429999999999999E-2</v>
      </c>
      <c r="D73">
        <v>4.79E-3</v>
      </c>
      <c r="E73" t="s">
        <v>439</v>
      </c>
      <c r="F73">
        <v>1.6299999999999999E-2</v>
      </c>
      <c r="G73">
        <v>3.4499999999999999E-3</v>
      </c>
      <c r="H73" t="s">
        <v>439</v>
      </c>
      <c r="I73">
        <v>8.7399999999999995E-3</v>
      </c>
      <c r="J73">
        <v>6.6E-4</v>
      </c>
      <c r="K73" t="s">
        <v>439</v>
      </c>
      <c r="L73">
        <v>-4.0000000000000003E-5</v>
      </c>
      <c r="M73">
        <v>5.9000000000000003E-4</v>
      </c>
      <c r="N73" t="s">
        <v>439</v>
      </c>
      <c r="O73">
        <v>3.0899999999999999E-3</v>
      </c>
      <c r="P73">
        <v>0</v>
      </c>
      <c r="Q73" t="s">
        <v>439</v>
      </c>
      <c r="R73">
        <v>2.4910000000000002E-2</v>
      </c>
      <c r="S73">
        <v>1.2E-4</v>
      </c>
      <c r="T73" t="s">
        <v>439</v>
      </c>
      <c r="U73">
        <v>7.3999999999999999E-4</v>
      </c>
      <c r="V73">
        <v>4.0000000000000003E-5</v>
      </c>
      <c r="W73" t="s">
        <v>439</v>
      </c>
      <c r="X73">
        <v>1.116E-2</v>
      </c>
      <c r="Y73">
        <v>1.2999999999999999E-4</v>
      </c>
      <c r="Z73" t="s">
        <v>439</v>
      </c>
      <c r="AA73">
        <v>7.0400000000000003E-3</v>
      </c>
      <c r="AB73">
        <v>2.5999999999999998E-4</v>
      </c>
      <c r="AC73" t="s">
        <v>439</v>
      </c>
      <c r="AD73">
        <v>8.1999999999999998E-4</v>
      </c>
      <c r="AE73">
        <v>4.4000000000000002E-4</v>
      </c>
      <c r="AF73" t="s">
        <v>439</v>
      </c>
      <c r="AI73" t="s">
        <v>440</v>
      </c>
      <c r="AJ73">
        <v>5.3319999999999999E-2</v>
      </c>
      <c r="AK73">
        <v>4.0999999999999999E-4</v>
      </c>
      <c r="AL73" t="s">
        <v>441</v>
      </c>
      <c r="AM73">
        <v>6.4490000000000006E-2</v>
      </c>
      <c r="AN73">
        <v>2.0799999999999998E-3</v>
      </c>
      <c r="AO73" t="s">
        <v>439</v>
      </c>
      <c r="AP73">
        <v>-1.438E-2</v>
      </c>
      <c r="AQ73">
        <v>1.9000000000000001E-4</v>
      </c>
      <c r="AR73" t="s">
        <v>439</v>
      </c>
      <c r="AS73">
        <v>3.8330000000000003E-2</v>
      </c>
      <c r="AT73">
        <v>3.4000000000000002E-4</v>
      </c>
      <c r="AU73" t="s">
        <v>439</v>
      </c>
      <c r="AV73">
        <v>-1.8600000000000001E-3</v>
      </c>
      <c r="AW73">
        <v>2.0000000000000002E-5</v>
      </c>
      <c r="AX73" t="s">
        <v>439</v>
      </c>
      <c r="AY73">
        <v>-5.47E-3</v>
      </c>
      <c r="AZ73">
        <v>6.9999999999999994E-5</v>
      </c>
      <c r="BA73" t="s">
        <v>439</v>
      </c>
      <c r="BB73">
        <v>1.99E-3</v>
      </c>
      <c r="BC73">
        <v>1.8000000000000001E-4</v>
      </c>
      <c r="BD73" t="s">
        <v>439</v>
      </c>
      <c r="BE73">
        <v>4.2000000000000002E-4</v>
      </c>
      <c r="BF73">
        <v>3.6999999999999999E-4</v>
      </c>
      <c r="BG73" t="s">
        <v>439</v>
      </c>
      <c r="BH73">
        <v>2.7999999999999998E-4</v>
      </c>
      <c r="BI73">
        <v>1.2999999999999999E-4</v>
      </c>
      <c r="BJ73" t="s">
        <v>439</v>
      </c>
      <c r="BK73">
        <v>1.6000000000000001E-3</v>
      </c>
      <c r="BL73">
        <v>1.0000000000000001E-5</v>
      </c>
      <c r="BM73" t="s">
        <v>439</v>
      </c>
      <c r="BN73">
        <v>1.4499999999999999E-3</v>
      </c>
      <c r="BO73">
        <v>3.13E-3</v>
      </c>
      <c r="BP73" t="s">
        <v>442</v>
      </c>
      <c r="BQ73">
        <v>-2.1800000000000001E-3</v>
      </c>
      <c r="BR73">
        <v>4.5199999999999997E-3</v>
      </c>
      <c r="BS73" t="s">
        <v>439</v>
      </c>
      <c r="BV73" t="s">
        <v>440</v>
      </c>
      <c r="BW73">
        <v>-2.0517599999999998</v>
      </c>
      <c r="BX73">
        <v>1.2199999999999999E-3</v>
      </c>
      <c r="BY73" t="s">
        <v>439</v>
      </c>
      <c r="BZ73">
        <v>3.64E-3</v>
      </c>
      <c r="CA73">
        <v>1.1100000000000001E-3</v>
      </c>
      <c r="CB73" t="s">
        <v>439</v>
      </c>
      <c r="CC73">
        <v>-2.529E-2</v>
      </c>
      <c r="CD73">
        <v>2.0899999999999998E-2</v>
      </c>
      <c r="CE73" t="s">
        <v>439</v>
      </c>
      <c r="CF73">
        <v>-5.7400000000000003E-3</v>
      </c>
      <c r="CG73">
        <v>1.4880000000000001E-2</v>
      </c>
      <c r="CH73" t="s">
        <v>439</v>
      </c>
      <c r="CI73">
        <v>-3.7900000000000003E-2</v>
      </c>
      <c r="CJ73">
        <v>1.4319999999999999E-2</v>
      </c>
      <c r="CK73" t="s">
        <v>439</v>
      </c>
      <c r="CL73">
        <v>-8.3599999999999994E-3</v>
      </c>
      <c r="CM73">
        <v>1.23E-3</v>
      </c>
      <c r="CN73" t="s">
        <v>439</v>
      </c>
      <c r="CO73">
        <v>-0.79459000000000002</v>
      </c>
      <c r="CP73">
        <v>1.265E-2</v>
      </c>
      <c r="CQ73" t="s">
        <v>439</v>
      </c>
      <c r="CR73">
        <v>-0.10176</v>
      </c>
      <c r="CS73">
        <v>1.358E-2</v>
      </c>
      <c r="CT73" t="s">
        <v>439</v>
      </c>
      <c r="CU73">
        <v>-0.17710000000000001</v>
      </c>
      <c r="CV73">
        <v>5.9500000000000004E-3</v>
      </c>
      <c r="CW73" t="s">
        <v>439</v>
      </c>
      <c r="CX73">
        <v>-0.54854999999999998</v>
      </c>
      <c r="CY73">
        <v>0.15204999999999999</v>
      </c>
      <c r="CZ73" t="s">
        <v>439</v>
      </c>
      <c r="DA73">
        <v>-1.1339999999999999E-2</v>
      </c>
      <c r="DB73">
        <v>3.1099999999999999E-2</v>
      </c>
      <c r="DC73" t="s">
        <v>439</v>
      </c>
      <c r="DD73">
        <v>-1.3202199999999999</v>
      </c>
      <c r="DE73">
        <v>0.11248</v>
      </c>
      <c r="DF73" t="s">
        <v>439</v>
      </c>
      <c r="DG73">
        <v>0.40394000000000002</v>
      </c>
      <c r="DH73">
        <v>0.18035000000000001</v>
      </c>
      <c r="DI73" t="s">
        <v>439</v>
      </c>
      <c r="DJ73">
        <v>-1.175E-2</v>
      </c>
      <c r="DK73">
        <v>2.4199999999999998E-3</v>
      </c>
      <c r="DL73" t="s">
        <v>439</v>
      </c>
      <c r="DM73">
        <v>8.9999999999999998E-4</v>
      </c>
      <c r="DN73">
        <v>3.8999999999999999E-4</v>
      </c>
      <c r="DO73" t="s">
        <v>439</v>
      </c>
      <c r="DP73">
        <v>-7.1300000000000001E-3</v>
      </c>
      <c r="DQ73">
        <v>2.9E-4</v>
      </c>
      <c r="DR73" t="s">
        <v>439</v>
      </c>
      <c r="DS73">
        <v>-2.6849999999999999E-2</v>
      </c>
      <c r="DT73">
        <v>1.1E-4</v>
      </c>
      <c r="DU73" t="s">
        <v>439</v>
      </c>
      <c r="DV73">
        <v>-0.29476999999999998</v>
      </c>
      <c r="DW73">
        <v>9.3000000000000005E-4</v>
      </c>
      <c r="DX73" t="s">
        <v>439</v>
      </c>
      <c r="DY73">
        <v>-6.0200000000000002E-3</v>
      </c>
      <c r="DZ73">
        <v>1E-4</v>
      </c>
      <c r="EA73" t="s">
        <v>439</v>
      </c>
      <c r="EB73">
        <v>1.7850000000000001E-2</v>
      </c>
      <c r="EC73">
        <v>1.6299999999999999E-3</v>
      </c>
      <c r="ED73" t="s">
        <v>439</v>
      </c>
      <c r="EE73">
        <v>-1.9800000000000002E-2</v>
      </c>
      <c r="EF73">
        <v>1.0399999999999999E-3</v>
      </c>
      <c r="EG73" t="s">
        <v>439</v>
      </c>
      <c r="EH73">
        <v>1.025E-2</v>
      </c>
      <c r="EI73">
        <v>1.406E-2</v>
      </c>
      <c r="EJ73" t="s">
        <v>439</v>
      </c>
      <c r="EM73" t="s">
        <v>440</v>
      </c>
      <c r="EN73">
        <v>-1.4829999999999999E-2</v>
      </c>
      <c r="EO73">
        <v>1.1800000000000001E-3</v>
      </c>
      <c r="EP73" t="s">
        <v>439</v>
      </c>
      <c r="ES73" t="s">
        <v>440</v>
      </c>
      <c r="ET73">
        <v>1.44204</v>
      </c>
      <c r="EU73">
        <v>3.3890000000000003E-2</v>
      </c>
      <c r="EV73" t="s">
        <v>439</v>
      </c>
      <c r="EW73">
        <v>-3.1E-4</v>
      </c>
      <c r="EX73">
        <v>1.32E-3</v>
      </c>
      <c r="EY73" t="s">
        <v>439</v>
      </c>
      <c r="EZ73">
        <v>8.43E-3</v>
      </c>
      <c r="FA73">
        <v>1.125E-2</v>
      </c>
      <c r="FB73" t="s">
        <v>439</v>
      </c>
      <c r="FC73">
        <v>0.36412</v>
      </c>
      <c r="FD73">
        <v>0.12623000000000001</v>
      </c>
      <c r="FE73" t="s">
        <v>439</v>
      </c>
      <c r="FF73">
        <v>3.0217999999999998</v>
      </c>
      <c r="FG73">
        <v>0.3357</v>
      </c>
      <c r="FH73" t="s">
        <v>441</v>
      </c>
      <c r="FK73" t="s">
        <v>440</v>
      </c>
      <c r="FN73" t="s">
        <v>440</v>
      </c>
      <c r="FO73">
        <v>4.81E-3</v>
      </c>
      <c r="FP73">
        <v>2.3700000000000001E-3</v>
      </c>
      <c r="FQ73" t="s">
        <v>441</v>
      </c>
      <c r="FT73" t="s">
        <v>440</v>
      </c>
      <c r="FX73">
        <v>72</v>
      </c>
    </row>
    <row r="74" spans="2:180" x14ac:dyDescent="0.2">
      <c r="B74" t="s">
        <v>140</v>
      </c>
      <c r="C74">
        <v>0.21715999999999999</v>
      </c>
      <c r="D74">
        <v>3.2299999999999998E-3</v>
      </c>
      <c r="E74" t="s">
        <v>442</v>
      </c>
      <c r="F74">
        <v>9.3200000000000002E-3</v>
      </c>
      <c r="G74">
        <v>3.0799999999999998E-3</v>
      </c>
      <c r="H74" t="s">
        <v>439</v>
      </c>
      <c r="I74">
        <v>2.25569</v>
      </c>
      <c r="J74">
        <v>1.8339999999999999E-2</v>
      </c>
      <c r="K74" t="s">
        <v>442</v>
      </c>
      <c r="L74">
        <v>9.078E-2</v>
      </c>
      <c r="M74">
        <v>1.1199999999999999E-3</v>
      </c>
      <c r="N74" t="s">
        <v>442</v>
      </c>
      <c r="O74">
        <v>3.6099999999999999E-3</v>
      </c>
      <c r="P74">
        <v>5.0000000000000002E-5</v>
      </c>
      <c r="Q74" t="s">
        <v>442</v>
      </c>
      <c r="R74">
        <v>0.16456999999999999</v>
      </c>
      <c r="S74">
        <v>2.5999999999999998E-4</v>
      </c>
      <c r="T74" t="s">
        <v>442</v>
      </c>
      <c r="U74">
        <v>1.1999999999999999E-3</v>
      </c>
      <c r="V74">
        <v>1.1E-4</v>
      </c>
      <c r="W74" t="s">
        <v>439</v>
      </c>
      <c r="X74">
        <v>1.2529999999999999E-2</v>
      </c>
      <c r="Y74">
        <v>7.1000000000000002E-4</v>
      </c>
      <c r="Z74" t="s">
        <v>439</v>
      </c>
      <c r="AA74">
        <v>0.20705000000000001</v>
      </c>
      <c r="AB74">
        <v>1.5E-3</v>
      </c>
      <c r="AC74" t="s">
        <v>442</v>
      </c>
      <c r="AD74">
        <v>2.0436399999999999</v>
      </c>
      <c r="AE74">
        <v>3.2469999999999999E-2</v>
      </c>
      <c r="AF74" t="s">
        <v>442</v>
      </c>
      <c r="AI74" t="s">
        <v>440</v>
      </c>
      <c r="AJ74">
        <v>48.076880000000003</v>
      </c>
      <c r="AK74">
        <v>0.43015999999999999</v>
      </c>
      <c r="AL74" t="s">
        <v>441</v>
      </c>
      <c r="AM74">
        <v>264.55437999999998</v>
      </c>
      <c r="AN74">
        <v>2.5768900000000001</v>
      </c>
      <c r="AO74" t="s">
        <v>442</v>
      </c>
      <c r="AP74">
        <v>6.2969999999999998E-2</v>
      </c>
      <c r="AQ74">
        <v>4.2000000000000002E-4</v>
      </c>
      <c r="AR74" t="s">
        <v>442</v>
      </c>
      <c r="AS74">
        <v>1.29331</v>
      </c>
      <c r="AT74">
        <v>8.6300000000000005E-3</v>
      </c>
      <c r="AU74" t="s">
        <v>442</v>
      </c>
      <c r="AV74">
        <v>1.7760000000000001E-2</v>
      </c>
      <c r="AW74">
        <v>6.9999999999999999E-4</v>
      </c>
      <c r="AX74" t="s">
        <v>442</v>
      </c>
      <c r="AY74">
        <v>-3.98E-3</v>
      </c>
      <c r="AZ74">
        <v>1E-4</v>
      </c>
      <c r="BA74" t="s">
        <v>439</v>
      </c>
      <c r="BB74">
        <v>2.31E-3</v>
      </c>
      <c r="BC74">
        <v>8.0000000000000007E-5</v>
      </c>
      <c r="BD74" t="s">
        <v>442</v>
      </c>
      <c r="BE74">
        <v>5.2999999999999998E-4</v>
      </c>
      <c r="BF74">
        <v>6.9999999999999994E-5</v>
      </c>
      <c r="BG74" t="s">
        <v>439</v>
      </c>
      <c r="BH74">
        <v>4.0999999999999999E-4</v>
      </c>
      <c r="BI74">
        <v>3.2000000000000003E-4</v>
      </c>
      <c r="BJ74" t="s">
        <v>439</v>
      </c>
      <c r="BK74">
        <v>1.5900000000000001E-3</v>
      </c>
      <c r="BL74">
        <v>4.0000000000000003E-5</v>
      </c>
      <c r="BM74" t="s">
        <v>439</v>
      </c>
      <c r="BN74">
        <v>-1E-4</v>
      </c>
      <c r="BO74">
        <v>6.9999999999999994E-5</v>
      </c>
      <c r="BP74" t="s">
        <v>439</v>
      </c>
      <c r="BQ74">
        <v>1.9859999999999999E-2</v>
      </c>
      <c r="BR74">
        <v>3.1E-4</v>
      </c>
      <c r="BS74" t="s">
        <v>442</v>
      </c>
      <c r="BV74" t="s">
        <v>440</v>
      </c>
      <c r="BW74">
        <v>-2.05314</v>
      </c>
      <c r="BX74">
        <v>2.5999999999999998E-4</v>
      </c>
      <c r="BY74" t="s">
        <v>439</v>
      </c>
      <c r="BZ74">
        <v>4.5190000000000001E-2</v>
      </c>
      <c r="CA74">
        <v>1.8000000000000001E-4</v>
      </c>
      <c r="CB74" t="s">
        <v>442</v>
      </c>
      <c r="CC74">
        <v>9.4063199999999991</v>
      </c>
      <c r="CD74">
        <v>4.7899999999999998E-2</v>
      </c>
      <c r="CE74" t="s">
        <v>442</v>
      </c>
      <c r="CF74">
        <v>9.1906400000000001</v>
      </c>
      <c r="CG74">
        <v>5.3429999999999998E-2</v>
      </c>
      <c r="CH74" t="s">
        <v>442</v>
      </c>
      <c r="CI74">
        <v>8.8659700000000008</v>
      </c>
      <c r="CJ74">
        <v>5.2769999999999997E-2</v>
      </c>
      <c r="CK74" t="s">
        <v>442</v>
      </c>
      <c r="CL74">
        <v>1.0817000000000001</v>
      </c>
      <c r="CM74">
        <v>3.14E-3</v>
      </c>
      <c r="CN74" t="s">
        <v>442</v>
      </c>
      <c r="CO74">
        <v>702.17475999999999</v>
      </c>
      <c r="CP74">
        <v>26.51586</v>
      </c>
      <c r="CQ74" t="s">
        <v>442</v>
      </c>
      <c r="CR74">
        <v>2.1855099999999998</v>
      </c>
      <c r="CS74">
        <v>9.1130000000000003E-2</v>
      </c>
      <c r="CT74" t="s">
        <v>442</v>
      </c>
      <c r="CU74">
        <v>2.6702400000000002</v>
      </c>
      <c r="CV74">
        <v>0.10259</v>
      </c>
      <c r="CW74" t="s">
        <v>442</v>
      </c>
      <c r="CX74">
        <v>274.46877000000001</v>
      </c>
      <c r="CY74">
        <v>6.1357900000000001</v>
      </c>
      <c r="CZ74" t="s">
        <v>442</v>
      </c>
      <c r="DA74">
        <v>166.25758999999999</v>
      </c>
      <c r="DB74">
        <v>2.48584</v>
      </c>
      <c r="DC74" t="s">
        <v>442</v>
      </c>
      <c r="DD74">
        <v>84.392930000000007</v>
      </c>
      <c r="DE74">
        <v>1.89249</v>
      </c>
      <c r="DF74" t="s">
        <v>442</v>
      </c>
      <c r="DG74">
        <v>20.97805</v>
      </c>
      <c r="DH74">
        <v>0.79386999999999996</v>
      </c>
      <c r="DI74" t="s">
        <v>442</v>
      </c>
      <c r="DJ74">
        <v>3.082E-2</v>
      </c>
      <c r="DK74">
        <v>5.3899999999999998E-3</v>
      </c>
      <c r="DL74" t="s">
        <v>442</v>
      </c>
      <c r="DM74">
        <v>3.7799999999999999E-3</v>
      </c>
      <c r="DN74">
        <v>2.7999999999999998E-4</v>
      </c>
      <c r="DO74" t="s">
        <v>442</v>
      </c>
      <c r="DP74">
        <v>0.23588999999999999</v>
      </c>
      <c r="DQ74">
        <v>1.0789999999999999E-2</v>
      </c>
      <c r="DR74" t="s">
        <v>442</v>
      </c>
      <c r="DS74">
        <v>1.36768</v>
      </c>
      <c r="DT74">
        <v>3.2539999999999999E-2</v>
      </c>
      <c r="DU74" t="s">
        <v>442</v>
      </c>
      <c r="DV74">
        <v>3.6498900000000001</v>
      </c>
      <c r="DW74">
        <v>0.17308999999999999</v>
      </c>
      <c r="DX74" t="s">
        <v>442</v>
      </c>
      <c r="DY74">
        <v>0.44142999999999999</v>
      </c>
      <c r="DZ74">
        <v>1.2670000000000001E-2</v>
      </c>
      <c r="EA74" t="s">
        <v>442</v>
      </c>
      <c r="EB74">
        <v>0.26321</v>
      </c>
      <c r="EC74">
        <v>8.7399999999999995E-3</v>
      </c>
      <c r="ED74" t="s">
        <v>442</v>
      </c>
      <c r="EE74">
        <v>13.494630000000001</v>
      </c>
      <c r="EF74">
        <v>0.36077999999999999</v>
      </c>
      <c r="EG74" t="s">
        <v>442</v>
      </c>
      <c r="EH74">
        <v>2764.8780000000002</v>
      </c>
      <c r="EI74">
        <v>91.522080000000003</v>
      </c>
      <c r="EJ74" t="s">
        <v>442</v>
      </c>
      <c r="EM74" t="s">
        <v>440</v>
      </c>
      <c r="EN74">
        <v>56.740879999999997</v>
      </c>
      <c r="EO74">
        <v>1.9783599999999999</v>
      </c>
      <c r="EP74" t="s">
        <v>442</v>
      </c>
      <c r="ES74" t="s">
        <v>440</v>
      </c>
      <c r="ET74">
        <v>789.53858000000002</v>
      </c>
      <c r="EU74">
        <v>8.2932299999999994</v>
      </c>
      <c r="EV74" t="s">
        <v>442</v>
      </c>
      <c r="EW74">
        <v>0.18189</v>
      </c>
      <c r="EX74">
        <v>0.25054999999999999</v>
      </c>
      <c r="EY74" t="s">
        <v>442</v>
      </c>
      <c r="EZ74">
        <v>37.14687</v>
      </c>
      <c r="FA74">
        <v>0.71165999999999996</v>
      </c>
      <c r="FB74" t="s">
        <v>442</v>
      </c>
      <c r="FC74">
        <v>0.67503999999999997</v>
      </c>
      <c r="FD74">
        <v>0.10077999999999999</v>
      </c>
      <c r="FE74" t="s">
        <v>439</v>
      </c>
      <c r="FF74">
        <v>2.7354799999999999</v>
      </c>
      <c r="FG74">
        <v>0.13603000000000001</v>
      </c>
      <c r="FH74" t="s">
        <v>441</v>
      </c>
      <c r="FK74" t="s">
        <v>440</v>
      </c>
      <c r="FN74" t="s">
        <v>440</v>
      </c>
      <c r="FO74">
        <v>56.290790000000001</v>
      </c>
      <c r="FP74">
        <v>1.6727000000000001</v>
      </c>
      <c r="FQ74" t="s">
        <v>441</v>
      </c>
      <c r="FT74" t="s">
        <v>440</v>
      </c>
      <c r="FX74">
        <v>73</v>
      </c>
    </row>
    <row r="75" spans="2:180" x14ac:dyDescent="0.2">
      <c r="B75" t="s">
        <v>141</v>
      </c>
      <c r="C75">
        <v>0.14682999999999999</v>
      </c>
      <c r="D75">
        <v>2.0899999999999998E-3</v>
      </c>
      <c r="E75" t="s">
        <v>442</v>
      </c>
      <c r="F75">
        <v>1.345E-2</v>
      </c>
      <c r="G75">
        <v>1.1000000000000001E-3</v>
      </c>
      <c r="H75" t="s">
        <v>439</v>
      </c>
      <c r="I75">
        <v>1.00763</v>
      </c>
      <c r="J75">
        <v>1.5509999999999999E-2</v>
      </c>
      <c r="K75" t="s">
        <v>442</v>
      </c>
      <c r="L75">
        <v>5.0950000000000002E-2</v>
      </c>
      <c r="M75">
        <v>8.7000000000000001E-4</v>
      </c>
      <c r="N75" t="s">
        <v>442</v>
      </c>
      <c r="O75">
        <v>3.2699999999999999E-3</v>
      </c>
      <c r="P75">
        <v>2.0000000000000002E-5</v>
      </c>
      <c r="Q75" t="s">
        <v>439</v>
      </c>
      <c r="R75">
        <v>0.12401</v>
      </c>
      <c r="S75">
        <v>2.0400000000000001E-3</v>
      </c>
      <c r="T75" t="s">
        <v>442</v>
      </c>
      <c r="U75">
        <v>9.7000000000000005E-4</v>
      </c>
      <c r="V75">
        <v>6.9999999999999994E-5</v>
      </c>
      <c r="W75" t="s">
        <v>439</v>
      </c>
      <c r="X75">
        <v>1.2189999999999999E-2</v>
      </c>
      <c r="Y75">
        <v>1.3999999999999999E-4</v>
      </c>
      <c r="Z75" t="s">
        <v>439</v>
      </c>
      <c r="AA75">
        <v>0.12637000000000001</v>
      </c>
      <c r="AB75">
        <v>1.15E-3</v>
      </c>
      <c r="AC75" t="s">
        <v>442</v>
      </c>
      <c r="AD75">
        <v>1.6302000000000001</v>
      </c>
      <c r="AE75">
        <v>3.1730000000000001E-2</v>
      </c>
      <c r="AF75" t="s">
        <v>442</v>
      </c>
      <c r="AI75" t="s">
        <v>440</v>
      </c>
      <c r="AJ75">
        <v>41.633540000000004</v>
      </c>
      <c r="AK75">
        <v>1.4673</v>
      </c>
      <c r="AL75" t="s">
        <v>441</v>
      </c>
      <c r="AM75">
        <v>219.96992</v>
      </c>
      <c r="AN75">
        <v>4.2776199999999998</v>
      </c>
      <c r="AO75" t="s">
        <v>442</v>
      </c>
      <c r="AP75">
        <v>2.4580000000000001E-2</v>
      </c>
      <c r="AQ75">
        <v>1E-4</v>
      </c>
      <c r="AR75" t="s">
        <v>442</v>
      </c>
      <c r="AS75">
        <v>0.85562000000000005</v>
      </c>
      <c r="AT75">
        <v>4.0699999999999998E-3</v>
      </c>
      <c r="AU75" t="s">
        <v>442</v>
      </c>
      <c r="AV75">
        <v>1.37E-2</v>
      </c>
      <c r="AW75">
        <v>3.4000000000000002E-4</v>
      </c>
      <c r="AX75" t="s">
        <v>442</v>
      </c>
      <c r="AY75">
        <v>-4.5599999999999998E-3</v>
      </c>
      <c r="AZ75">
        <v>8.0000000000000007E-5</v>
      </c>
      <c r="BA75" t="s">
        <v>439</v>
      </c>
      <c r="BB75">
        <v>2.0799999999999998E-3</v>
      </c>
      <c r="BC75">
        <v>1.9000000000000001E-4</v>
      </c>
      <c r="BD75" t="s">
        <v>442</v>
      </c>
      <c r="BE75">
        <v>1.6000000000000001E-4</v>
      </c>
      <c r="BF75">
        <v>2.1000000000000001E-4</v>
      </c>
      <c r="BG75" t="s">
        <v>439</v>
      </c>
      <c r="BH75">
        <v>2.5999999999999998E-4</v>
      </c>
      <c r="BI75">
        <v>1.6000000000000001E-4</v>
      </c>
      <c r="BJ75" t="s">
        <v>439</v>
      </c>
      <c r="BK75">
        <v>1.5200000000000001E-3</v>
      </c>
      <c r="BL75">
        <v>1.0000000000000001E-5</v>
      </c>
      <c r="BM75" t="s">
        <v>439</v>
      </c>
      <c r="BN75">
        <v>-2.7999999999999998E-4</v>
      </c>
      <c r="BO75">
        <v>1.1E-4</v>
      </c>
      <c r="BP75" t="s">
        <v>439</v>
      </c>
      <c r="BQ75">
        <v>1.374E-2</v>
      </c>
      <c r="BR75">
        <v>5.9999999999999995E-4</v>
      </c>
      <c r="BS75" t="s">
        <v>442</v>
      </c>
      <c r="BV75" t="s">
        <v>440</v>
      </c>
      <c r="BW75">
        <v>-2.0529199999999999</v>
      </c>
      <c r="BX75">
        <v>9.0000000000000006E-5</v>
      </c>
      <c r="BY75" t="s">
        <v>439</v>
      </c>
      <c r="BZ75">
        <v>3.4569999999999997E-2</v>
      </c>
      <c r="CA75">
        <v>8.0000000000000007E-5</v>
      </c>
      <c r="CB75" t="s">
        <v>442</v>
      </c>
      <c r="CC75">
        <v>6.2344200000000001</v>
      </c>
      <c r="CD75">
        <v>5.33E-2</v>
      </c>
      <c r="CE75" t="s">
        <v>442</v>
      </c>
      <c r="CF75">
        <v>6.06081</v>
      </c>
      <c r="CG75">
        <v>7.9280000000000003E-2</v>
      </c>
      <c r="CH75" t="s">
        <v>442</v>
      </c>
      <c r="CI75">
        <v>5.94177</v>
      </c>
      <c r="CJ75">
        <v>4.0349999999999997E-2</v>
      </c>
      <c r="CK75" t="s">
        <v>442</v>
      </c>
      <c r="CL75">
        <v>0.69430999999999998</v>
      </c>
      <c r="CM75">
        <v>7.0699999999999999E-3</v>
      </c>
      <c r="CN75" t="s">
        <v>442</v>
      </c>
      <c r="CO75">
        <v>495.35073</v>
      </c>
      <c r="CP75">
        <v>8.98386</v>
      </c>
      <c r="CQ75" t="s">
        <v>442</v>
      </c>
      <c r="CR75">
        <v>0.79091999999999996</v>
      </c>
      <c r="CS75">
        <v>3.3590000000000002E-2</v>
      </c>
      <c r="CT75" t="s">
        <v>442</v>
      </c>
      <c r="CU75">
        <v>4.2742599999999999</v>
      </c>
      <c r="CV75">
        <v>0.10756</v>
      </c>
      <c r="CW75" t="s">
        <v>442</v>
      </c>
      <c r="CX75">
        <v>216.0607</v>
      </c>
      <c r="CY75">
        <v>1.2815399999999999</v>
      </c>
      <c r="CZ75" t="s">
        <v>442</v>
      </c>
      <c r="DA75">
        <v>132.77742000000001</v>
      </c>
      <c r="DB75">
        <v>3.3918599999999999</v>
      </c>
      <c r="DC75" t="s">
        <v>442</v>
      </c>
      <c r="DD75">
        <v>44.335090000000001</v>
      </c>
      <c r="DE75">
        <v>0.94789000000000001</v>
      </c>
      <c r="DF75" t="s">
        <v>442</v>
      </c>
      <c r="DG75">
        <v>15.58745</v>
      </c>
      <c r="DH75">
        <v>0.32507000000000003</v>
      </c>
      <c r="DI75" t="s">
        <v>442</v>
      </c>
      <c r="DJ75">
        <v>1.9050000000000001E-2</v>
      </c>
      <c r="DK75">
        <v>4.9199999999999999E-3</v>
      </c>
      <c r="DL75" t="s">
        <v>439</v>
      </c>
      <c r="DM75">
        <v>1.74E-3</v>
      </c>
      <c r="DN75">
        <v>3.4000000000000002E-4</v>
      </c>
      <c r="DO75" t="s">
        <v>439</v>
      </c>
      <c r="DP75">
        <v>6.9949999999999998E-2</v>
      </c>
      <c r="DQ75">
        <v>6.0600000000000003E-3</v>
      </c>
      <c r="DR75" t="s">
        <v>442</v>
      </c>
      <c r="DS75">
        <v>0.88149</v>
      </c>
      <c r="DT75">
        <v>2.1860000000000001E-2</v>
      </c>
      <c r="DU75" t="s">
        <v>442</v>
      </c>
      <c r="DV75">
        <v>2.82856</v>
      </c>
      <c r="DW75">
        <v>2.8299999999999999E-2</v>
      </c>
      <c r="DX75" t="s">
        <v>442</v>
      </c>
      <c r="DY75">
        <v>0.60185</v>
      </c>
      <c r="DZ75">
        <v>1.0789999999999999E-2</v>
      </c>
      <c r="EA75" t="s">
        <v>442</v>
      </c>
      <c r="EB75">
        <v>0.15157999999999999</v>
      </c>
      <c r="EC75">
        <v>4.0000000000000001E-3</v>
      </c>
      <c r="ED75" t="s">
        <v>442</v>
      </c>
      <c r="EE75">
        <v>12.726610000000001</v>
      </c>
      <c r="EF75">
        <v>0.26735999999999999</v>
      </c>
      <c r="EG75" t="s">
        <v>442</v>
      </c>
      <c r="EH75">
        <v>2030.2011299999999</v>
      </c>
      <c r="EI75">
        <v>23.824639999999999</v>
      </c>
      <c r="EJ75" t="s">
        <v>442</v>
      </c>
      <c r="EM75" t="s">
        <v>440</v>
      </c>
      <c r="EN75">
        <v>49.142940000000003</v>
      </c>
      <c r="EO75">
        <v>1.48061</v>
      </c>
      <c r="EP75" t="s">
        <v>442</v>
      </c>
      <c r="ES75" t="s">
        <v>440</v>
      </c>
      <c r="ET75">
        <v>417.32893000000001</v>
      </c>
      <c r="EU75">
        <v>8.1745900000000002</v>
      </c>
      <c r="EV75" t="s">
        <v>442</v>
      </c>
      <c r="EW75">
        <v>2.3130000000000001E-2</v>
      </c>
      <c r="EX75">
        <v>1.8E-3</v>
      </c>
      <c r="EY75" t="s">
        <v>442</v>
      </c>
      <c r="EZ75">
        <v>30.48526</v>
      </c>
      <c r="FA75">
        <v>0.88448000000000004</v>
      </c>
      <c r="FB75" t="s">
        <v>442</v>
      </c>
      <c r="FC75">
        <v>0.70772999999999997</v>
      </c>
      <c r="FD75">
        <v>0.14624999999999999</v>
      </c>
      <c r="FE75" t="s">
        <v>439</v>
      </c>
      <c r="FF75">
        <v>3.4783300000000001</v>
      </c>
      <c r="FG75">
        <v>0.4536</v>
      </c>
      <c r="FH75" t="s">
        <v>441</v>
      </c>
      <c r="FK75" t="s">
        <v>440</v>
      </c>
      <c r="FN75" t="s">
        <v>440</v>
      </c>
      <c r="FO75">
        <v>46.787990000000001</v>
      </c>
      <c r="FP75">
        <v>0.79886999999999997</v>
      </c>
      <c r="FQ75" t="s">
        <v>441</v>
      </c>
      <c r="FT75" t="s">
        <v>440</v>
      </c>
      <c r="FX75">
        <v>74</v>
      </c>
    </row>
    <row r="76" spans="2:180" x14ac:dyDescent="0.2">
      <c r="B76" t="s">
        <v>142</v>
      </c>
      <c r="C76">
        <v>8.3040000000000003E-2</v>
      </c>
      <c r="D76">
        <v>1.41E-3</v>
      </c>
      <c r="E76" t="s">
        <v>442</v>
      </c>
      <c r="F76">
        <v>1.4420000000000001E-2</v>
      </c>
      <c r="G76">
        <v>2.1900000000000001E-3</v>
      </c>
      <c r="H76" t="s">
        <v>439</v>
      </c>
      <c r="I76">
        <v>0.39873999999999998</v>
      </c>
      <c r="J76">
        <v>6.0699999999999999E-3</v>
      </c>
      <c r="K76" t="s">
        <v>442</v>
      </c>
      <c r="L76">
        <v>5.0529999999999999E-2</v>
      </c>
      <c r="M76">
        <v>9.3999999999999997E-4</v>
      </c>
      <c r="N76" t="s">
        <v>442</v>
      </c>
      <c r="O76">
        <v>3.5899999999999999E-3</v>
      </c>
      <c r="P76">
        <v>5.0000000000000002E-5</v>
      </c>
      <c r="Q76" t="s">
        <v>442</v>
      </c>
      <c r="R76">
        <v>7.0599999999999996E-2</v>
      </c>
      <c r="S76">
        <v>4.4000000000000002E-4</v>
      </c>
      <c r="T76" t="s">
        <v>442</v>
      </c>
      <c r="U76">
        <v>1.08E-3</v>
      </c>
      <c r="V76">
        <v>1E-4</v>
      </c>
      <c r="W76" t="s">
        <v>439</v>
      </c>
      <c r="X76">
        <v>1.2189999999999999E-2</v>
      </c>
      <c r="Y76">
        <v>4.4000000000000002E-4</v>
      </c>
      <c r="Z76" t="s">
        <v>439</v>
      </c>
      <c r="AA76">
        <v>6.0299999999999999E-2</v>
      </c>
      <c r="AB76">
        <v>6.3000000000000003E-4</v>
      </c>
      <c r="AC76" t="s">
        <v>442</v>
      </c>
      <c r="AD76">
        <v>0.85580999999999996</v>
      </c>
      <c r="AE76">
        <v>1.1429999999999999E-2</v>
      </c>
      <c r="AF76" t="s">
        <v>442</v>
      </c>
      <c r="AI76" t="s">
        <v>440</v>
      </c>
      <c r="AJ76">
        <v>35.899909999999998</v>
      </c>
      <c r="AK76">
        <v>0.28455999999999998</v>
      </c>
      <c r="AL76" t="s">
        <v>441</v>
      </c>
      <c r="AM76">
        <v>127.78494999999999</v>
      </c>
      <c r="AN76">
        <v>1.1745099999999999</v>
      </c>
      <c r="AO76" t="s">
        <v>442</v>
      </c>
      <c r="AP76">
        <v>2.2499999999999998E-3</v>
      </c>
      <c r="AQ76">
        <v>5.6999999999999998E-4</v>
      </c>
      <c r="AR76" t="s">
        <v>439</v>
      </c>
      <c r="AS76">
        <v>0.51932999999999996</v>
      </c>
      <c r="AT76">
        <v>1.24E-2</v>
      </c>
      <c r="AU76" t="s">
        <v>442</v>
      </c>
      <c r="AV76">
        <v>8.2100000000000003E-3</v>
      </c>
      <c r="AW76">
        <v>2.3000000000000001E-4</v>
      </c>
      <c r="AX76" t="s">
        <v>442</v>
      </c>
      <c r="AY76">
        <v>-3.3800000000000002E-3</v>
      </c>
      <c r="AZ76">
        <v>6.0000000000000002E-5</v>
      </c>
      <c r="BA76" t="s">
        <v>439</v>
      </c>
      <c r="BB76">
        <v>2.6700000000000001E-3</v>
      </c>
      <c r="BC76">
        <v>9.0000000000000006E-5</v>
      </c>
      <c r="BD76" t="s">
        <v>442</v>
      </c>
      <c r="BE76">
        <v>3.8000000000000002E-4</v>
      </c>
      <c r="BF76">
        <v>2.4000000000000001E-4</v>
      </c>
      <c r="BG76" t="s">
        <v>439</v>
      </c>
      <c r="BH76">
        <v>3.5E-4</v>
      </c>
      <c r="BI76">
        <v>1.2E-4</v>
      </c>
      <c r="BJ76" t="s">
        <v>439</v>
      </c>
      <c r="BK76">
        <v>1.5200000000000001E-3</v>
      </c>
      <c r="BL76">
        <v>1.0000000000000001E-5</v>
      </c>
      <c r="BM76" t="s">
        <v>439</v>
      </c>
      <c r="BN76">
        <v>-2.7999999999999998E-4</v>
      </c>
      <c r="BO76">
        <v>3.0000000000000001E-5</v>
      </c>
      <c r="BP76" t="s">
        <v>439</v>
      </c>
      <c r="BQ76">
        <v>-5.13E-3</v>
      </c>
      <c r="BR76">
        <v>3.8000000000000002E-4</v>
      </c>
      <c r="BS76" t="s">
        <v>439</v>
      </c>
      <c r="BV76" t="s">
        <v>440</v>
      </c>
      <c r="BW76">
        <v>-2.0534300000000001</v>
      </c>
      <c r="BX76">
        <v>1.9000000000000001E-4</v>
      </c>
      <c r="BY76" t="s">
        <v>439</v>
      </c>
      <c r="BZ76">
        <v>1.9230000000000001E-2</v>
      </c>
      <c r="CA76">
        <v>3.3E-4</v>
      </c>
      <c r="CB76" t="s">
        <v>442</v>
      </c>
      <c r="CC76">
        <v>3.08616</v>
      </c>
      <c r="CD76">
        <v>8.5849999999999996E-2</v>
      </c>
      <c r="CE76" t="s">
        <v>442</v>
      </c>
      <c r="CF76">
        <v>3.0602</v>
      </c>
      <c r="CG76">
        <v>6.6180000000000003E-2</v>
      </c>
      <c r="CH76" t="s">
        <v>442</v>
      </c>
      <c r="CI76">
        <v>3.20418</v>
      </c>
      <c r="CJ76">
        <v>6.8760000000000002E-2</v>
      </c>
      <c r="CK76" t="s">
        <v>442</v>
      </c>
      <c r="CL76">
        <v>0.31909999999999999</v>
      </c>
      <c r="CM76">
        <v>7.9299999999999995E-3</v>
      </c>
      <c r="CN76" t="s">
        <v>442</v>
      </c>
      <c r="CO76">
        <v>249.0523</v>
      </c>
      <c r="CP76">
        <v>2.6076000000000001</v>
      </c>
      <c r="CQ76" t="s">
        <v>442</v>
      </c>
      <c r="CR76">
        <v>4.1900000000000004</v>
      </c>
      <c r="CS76">
        <v>1.515E-2</v>
      </c>
      <c r="CT76" t="s">
        <v>442</v>
      </c>
      <c r="CU76">
        <v>2.0986600000000002</v>
      </c>
      <c r="CV76">
        <v>2.4639999999999999E-2</v>
      </c>
      <c r="CW76" t="s">
        <v>442</v>
      </c>
      <c r="CX76">
        <v>132.00380000000001</v>
      </c>
      <c r="CY76">
        <v>2.18716</v>
      </c>
      <c r="CZ76" t="s">
        <v>442</v>
      </c>
      <c r="DA76">
        <v>79.7239</v>
      </c>
      <c r="DB76">
        <v>1.1268100000000001</v>
      </c>
      <c r="DC76" t="s">
        <v>442</v>
      </c>
      <c r="DD76">
        <v>20.767250000000001</v>
      </c>
      <c r="DE76">
        <v>0.85799999999999998</v>
      </c>
      <c r="DF76" t="s">
        <v>442</v>
      </c>
      <c r="DG76">
        <v>22.876390000000001</v>
      </c>
      <c r="DH76">
        <v>0.65049999999999997</v>
      </c>
      <c r="DI76" t="s">
        <v>442</v>
      </c>
      <c r="DJ76">
        <v>2.1590000000000002E-2</v>
      </c>
      <c r="DK76">
        <v>7.1799999999999998E-3</v>
      </c>
      <c r="DL76" t="s">
        <v>439</v>
      </c>
      <c r="DM76">
        <v>2.5500000000000002E-3</v>
      </c>
      <c r="DN76">
        <v>4.4000000000000002E-4</v>
      </c>
      <c r="DO76" t="s">
        <v>439</v>
      </c>
      <c r="DP76">
        <v>0.15834000000000001</v>
      </c>
      <c r="DQ76">
        <v>5.64E-3</v>
      </c>
      <c r="DR76" t="s">
        <v>442</v>
      </c>
      <c r="DS76">
        <v>0.45438000000000001</v>
      </c>
      <c r="DT76">
        <v>2.2360000000000001E-2</v>
      </c>
      <c r="DU76" t="s">
        <v>442</v>
      </c>
      <c r="DV76">
        <v>4.4394799999999996</v>
      </c>
      <c r="DW76">
        <v>0.24404999999999999</v>
      </c>
      <c r="DX76" t="s">
        <v>442</v>
      </c>
      <c r="DY76">
        <v>0.34948000000000001</v>
      </c>
      <c r="DZ76">
        <v>1.8200000000000001E-2</v>
      </c>
      <c r="EA76" t="s">
        <v>442</v>
      </c>
      <c r="EB76">
        <v>0.23541000000000001</v>
      </c>
      <c r="EC76">
        <v>1.3639999999999999E-2</v>
      </c>
      <c r="ED76" t="s">
        <v>442</v>
      </c>
      <c r="EE76">
        <v>13.76844</v>
      </c>
      <c r="EF76">
        <v>0.64844000000000002</v>
      </c>
      <c r="EG76" t="s">
        <v>442</v>
      </c>
      <c r="EH76">
        <v>1038.8277399999999</v>
      </c>
      <c r="EI76">
        <v>46.907670000000003</v>
      </c>
      <c r="EJ76" t="s">
        <v>442</v>
      </c>
      <c r="EM76" t="s">
        <v>440</v>
      </c>
      <c r="EN76">
        <v>42.87124</v>
      </c>
      <c r="EO76">
        <v>1.82348</v>
      </c>
      <c r="EP76" t="s">
        <v>442</v>
      </c>
      <c r="ES76" t="s">
        <v>440</v>
      </c>
      <c r="ET76">
        <v>195.65971999999999</v>
      </c>
      <c r="EU76">
        <v>4.6849800000000004</v>
      </c>
      <c r="EV76" t="s">
        <v>442</v>
      </c>
      <c r="EW76">
        <v>9.1000000000000004E-3</v>
      </c>
      <c r="EX76">
        <v>2.5699999999999998E-3</v>
      </c>
      <c r="EY76" t="s">
        <v>442</v>
      </c>
      <c r="EZ76">
        <v>15.872030000000001</v>
      </c>
      <c r="FA76">
        <v>0.43169000000000002</v>
      </c>
      <c r="FB76" t="s">
        <v>442</v>
      </c>
      <c r="FC76">
        <v>0.99226000000000003</v>
      </c>
      <c r="FD76">
        <v>0.13111999999999999</v>
      </c>
      <c r="FE76" t="s">
        <v>439</v>
      </c>
      <c r="FF76">
        <v>5.3804499999999997</v>
      </c>
      <c r="FG76">
        <v>0.23216999999999999</v>
      </c>
      <c r="FH76" t="s">
        <v>441</v>
      </c>
      <c r="FK76" t="s">
        <v>440</v>
      </c>
      <c r="FN76" t="s">
        <v>440</v>
      </c>
      <c r="FO76">
        <v>42.701180000000001</v>
      </c>
      <c r="FP76">
        <v>1.33775</v>
      </c>
      <c r="FQ76" t="s">
        <v>441</v>
      </c>
      <c r="FT76" t="s">
        <v>440</v>
      </c>
      <c r="FX76">
        <v>75</v>
      </c>
    </row>
    <row r="77" spans="2:180" x14ac:dyDescent="0.2">
      <c r="B77" t="s">
        <v>143</v>
      </c>
      <c r="C77">
        <v>4.861E-2</v>
      </c>
      <c r="D77">
        <v>4.7200000000000002E-3</v>
      </c>
      <c r="E77" t="s">
        <v>439</v>
      </c>
      <c r="F77">
        <v>1.289E-2</v>
      </c>
      <c r="G77">
        <v>2.5799999999999998E-3</v>
      </c>
      <c r="H77" t="s">
        <v>439</v>
      </c>
      <c r="I77">
        <v>7.1239999999999998E-2</v>
      </c>
      <c r="J77">
        <v>1.32E-3</v>
      </c>
      <c r="K77" t="s">
        <v>442</v>
      </c>
      <c r="L77">
        <v>7.2779999999999997E-2</v>
      </c>
      <c r="M77">
        <v>1.1999999999999999E-3</v>
      </c>
      <c r="N77" t="s">
        <v>442</v>
      </c>
      <c r="O77">
        <v>4.15E-3</v>
      </c>
      <c r="P77">
        <v>8.0000000000000007E-5</v>
      </c>
      <c r="Q77" t="s">
        <v>442</v>
      </c>
      <c r="R77">
        <v>5.6849999999999998E-2</v>
      </c>
      <c r="S77">
        <v>1.1199999999999999E-3</v>
      </c>
      <c r="T77" t="s">
        <v>442</v>
      </c>
      <c r="U77">
        <v>5.2999999999999998E-4</v>
      </c>
      <c r="V77">
        <v>5.0000000000000002E-5</v>
      </c>
      <c r="W77" t="s">
        <v>439</v>
      </c>
      <c r="X77">
        <v>1.0540000000000001E-2</v>
      </c>
      <c r="Y77">
        <v>6.0000000000000002E-5</v>
      </c>
      <c r="Z77" t="s">
        <v>439</v>
      </c>
      <c r="AA77">
        <v>1.6119999999999999E-2</v>
      </c>
      <c r="AB77">
        <v>4.2999999999999999E-4</v>
      </c>
      <c r="AC77" t="s">
        <v>442</v>
      </c>
      <c r="AD77">
        <v>0.18748999999999999</v>
      </c>
      <c r="AE77">
        <v>1.4400000000000001E-3</v>
      </c>
      <c r="AF77" t="s">
        <v>442</v>
      </c>
      <c r="AI77" t="s">
        <v>440</v>
      </c>
      <c r="AJ77">
        <v>52.069099999999999</v>
      </c>
      <c r="AK77">
        <v>0.69918000000000002</v>
      </c>
      <c r="AL77" t="s">
        <v>441</v>
      </c>
      <c r="AM77">
        <v>33.045659999999998</v>
      </c>
      <c r="AN77">
        <v>0.33217999999999998</v>
      </c>
      <c r="AO77" t="s">
        <v>442</v>
      </c>
      <c r="AP77">
        <v>-1.2359999999999999E-2</v>
      </c>
      <c r="AQ77">
        <v>1.3999999999999999E-4</v>
      </c>
      <c r="AR77" t="s">
        <v>439</v>
      </c>
      <c r="AS77">
        <v>0.35727999999999999</v>
      </c>
      <c r="AT77">
        <v>4.1000000000000003E-3</v>
      </c>
      <c r="AU77" t="s">
        <v>442</v>
      </c>
      <c r="AV77">
        <v>6.5700000000000003E-3</v>
      </c>
      <c r="AW77">
        <v>2.3000000000000001E-4</v>
      </c>
      <c r="AX77" t="s">
        <v>442</v>
      </c>
      <c r="AY77">
        <v>9.9000000000000008E-3</v>
      </c>
      <c r="AZ77">
        <v>3.3E-4</v>
      </c>
      <c r="BA77" t="s">
        <v>442</v>
      </c>
      <c r="BB77">
        <v>6.6100000000000004E-3</v>
      </c>
      <c r="BC77">
        <v>1.7000000000000001E-4</v>
      </c>
      <c r="BD77" t="s">
        <v>442</v>
      </c>
      <c r="BE77">
        <v>4.4999999999999999E-4</v>
      </c>
      <c r="BF77">
        <v>6.9999999999999994E-5</v>
      </c>
      <c r="BG77" t="s">
        <v>439</v>
      </c>
      <c r="BH77">
        <v>9.1E-4</v>
      </c>
      <c r="BI77">
        <v>3.0000000000000001E-5</v>
      </c>
      <c r="BJ77" t="s">
        <v>439</v>
      </c>
      <c r="BK77">
        <v>1.5399999999999999E-3</v>
      </c>
      <c r="BL77">
        <v>5.0000000000000002E-5</v>
      </c>
      <c r="BM77" t="s">
        <v>439</v>
      </c>
      <c r="BN77">
        <v>-2.9999999999999997E-4</v>
      </c>
      <c r="BO77">
        <v>1.2E-4</v>
      </c>
      <c r="BP77" t="s">
        <v>439</v>
      </c>
      <c r="BQ77">
        <v>-2.0999999999999999E-3</v>
      </c>
      <c r="BR77">
        <v>6.4000000000000005E-4</v>
      </c>
      <c r="BS77" t="s">
        <v>439</v>
      </c>
      <c r="BV77" t="s">
        <v>440</v>
      </c>
      <c r="BW77">
        <v>-2.0533899999999998</v>
      </c>
      <c r="BX77">
        <v>6.3000000000000003E-4</v>
      </c>
      <c r="BY77" t="s">
        <v>439</v>
      </c>
      <c r="BZ77">
        <v>5.94E-3</v>
      </c>
      <c r="CA77">
        <v>1.2999999999999999E-4</v>
      </c>
      <c r="CB77" t="s">
        <v>442</v>
      </c>
      <c r="CC77">
        <v>0.43979000000000001</v>
      </c>
      <c r="CD77">
        <v>7.1999999999999998E-3</v>
      </c>
      <c r="CE77" t="s">
        <v>442</v>
      </c>
      <c r="CF77">
        <v>0.44524999999999998</v>
      </c>
      <c r="CG77">
        <v>2.1299999999999999E-3</v>
      </c>
      <c r="CH77" t="s">
        <v>442</v>
      </c>
      <c r="CI77">
        <v>0.43390000000000001</v>
      </c>
      <c r="CJ77">
        <v>4.6600000000000001E-3</v>
      </c>
      <c r="CK77" t="s">
        <v>442</v>
      </c>
      <c r="CL77">
        <v>4.9930000000000002E-2</v>
      </c>
      <c r="CM77">
        <v>2.9E-4</v>
      </c>
      <c r="CN77" t="s">
        <v>442</v>
      </c>
      <c r="CO77">
        <v>40.60557</v>
      </c>
      <c r="CP77">
        <v>1.11036</v>
      </c>
      <c r="CQ77" t="s">
        <v>442</v>
      </c>
      <c r="CR77">
        <v>11.396269999999999</v>
      </c>
      <c r="CS77">
        <v>0.34998000000000001</v>
      </c>
      <c r="CT77" t="s">
        <v>442</v>
      </c>
      <c r="CU77">
        <v>4.83371</v>
      </c>
      <c r="CV77">
        <v>0.14229</v>
      </c>
      <c r="CW77" t="s">
        <v>442</v>
      </c>
      <c r="CX77">
        <v>30.69829</v>
      </c>
      <c r="CY77">
        <v>1.1851499999999999</v>
      </c>
      <c r="CZ77" t="s">
        <v>442</v>
      </c>
      <c r="DA77">
        <v>29.435379999999999</v>
      </c>
      <c r="DB77">
        <v>0.79642000000000002</v>
      </c>
      <c r="DC77" t="s">
        <v>442</v>
      </c>
      <c r="DD77">
        <v>5.4635199999999999</v>
      </c>
      <c r="DE77">
        <v>0.49554999999999999</v>
      </c>
      <c r="DF77" t="s">
        <v>442</v>
      </c>
      <c r="DG77">
        <v>26.993739999999999</v>
      </c>
      <c r="DH77">
        <v>1.1308400000000001</v>
      </c>
      <c r="DI77" t="s">
        <v>442</v>
      </c>
      <c r="DJ77">
        <v>2.998E-2</v>
      </c>
      <c r="DK77">
        <v>1.149E-2</v>
      </c>
      <c r="DL77" t="s">
        <v>442</v>
      </c>
      <c r="DM77">
        <v>2.14E-3</v>
      </c>
      <c r="DN77">
        <v>3.1E-4</v>
      </c>
      <c r="DO77" t="s">
        <v>439</v>
      </c>
      <c r="DP77">
        <v>9.4350000000000003E-2</v>
      </c>
      <c r="DQ77">
        <v>1.82E-3</v>
      </c>
      <c r="DR77" t="s">
        <v>442</v>
      </c>
      <c r="DS77">
        <v>0.14532</v>
      </c>
      <c r="DT77">
        <v>5.4099999999999999E-3</v>
      </c>
      <c r="DU77" t="s">
        <v>442</v>
      </c>
      <c r="DV77">
        <v>11.740919999999999</v>
      </c>
      <c r="DW77">
        <v>0.33056999999999997</v>
      </c>
      <c r="DX77" t="s">
        <v>442</v>
      </c>
      <c r="DY77">
        <v>4.4060000000000002E-2</v>
      </c>
      <c r="DZ77">
        <v>2.3400000000000001E-3</v>
      </c>
      <c r="EA77" t="s">
        <v>442</v>
      </c>
      <c r="EB77">
        <v>0.25330999999999998</v>
      </c>
      <c r="EC77">
        <v>1.7500000000000002E-2</v>
      </c>
      <c r="ED77" t="s">
        <v>442</v>
      </c>
      <c r="EE77">
        <v>2.1535000000000002</v>
      </c>
      <c r="EF77">
        <v>0.13048000000000001</v>
      </c>
      <c r="EG77" t="s">
        <v>442</v>
      </c>
      <c r="EH77">
        <v>147.13338999999999</v>
      </c>
      <c r="EI77">
        <v>6.9220699999999997</v>
      </c>
      <c r="EJ77" t="s">
        <v>442</v>
      </c>
      <c r="EM77" t="s">
        <v>440</v>
      </c>
      <c r="EN77">
        <v>63.552700000000002</v>
      </c>
      <c r="EO77">
        <v>3.3246699999999998</v>
      </c>
      <c r="EP77" t="s">
        <v>442</v>
      </c>
      <c r="ES77" t="s">
        <v>440</v>
      </c>
      <c r="ET77">
        <v>30.102440000000001</v>
      </c>
      <c r="EU77">
        <v>0.72804000000000002</v>
      </c>
      <c r="EV77" t="s">
        <v>442</v>
      </c>
      <c r="EW77">
        <v>3.13E-3</v>
      </c>
      <c r="EX77">
        <v>2.3999999999999998E-3</v>
      </c>
      <c r="EY77" t="s">
        <v>439</v>
      </c>
      <c r="EZ77">
        <v>1.8634200000000001</v>
      </c>
      <c r="FA77">
        <v>2.1919999999999999E-2</v>
      </c>
      <c r="FB77" t="s">
        <v>442</v>
      </c>
      <c r="FC77">
        <v>0.33507999999999999</v>
      </c>
      <c r="FD77">
        <v>0.12536</v>
      </c>
      <c r="FE77" t="s">
        <v>439</v>
      </c>
      <c r="FF77">
        <v>2.63795</v>
      </c>
      <c r="FG77">
        <v>0.26737</v>
      </c>
      <c r="FH77" t="s">
        <v>441</v>
      </c>
      <c r="FK77" t="s">
        <v>440</v>
      </c>
      <c r="FN77" t="s">
        <v>440</v>
      </c>
      <c r="FO77">
        <v>61.64564</v>
      </c>
      <c r="FP77">
        <v>1.4318200000000001</v>
      </c>
      <c r="FQ77" t="s">
        <v>441</v>
      </c>
      <c r="FT77" t="s">
        <v>440</v>
      </c>
      <c r="FX77">
        <v>76</v>
      </c>
    </row>
    <row r="78" spans="2:180" x14ac:dyDescent="0.2">
      <c r="B78" t="s">
        <v>144</v>
      </c>
      <c r="C78">
        <v>3.8690000000000002E-2</v>
      </c>
      <c r="D78">
        <v>2.7599999999999999E-3</v>
      </c>
      <c r="E78" t="s">
        <v>439</v>
      </c>
      <c r="F78">
        <v>1.346E-2</v>
      </c>
      <c r="G78">
        <v>1.5299999999999999E-3</v>
      </c>
      <c r="H78" t="s">
        <v>439</v>
      </c>
      <c r="I78">
        <v>2.7820000000000001E-2</v>
      </c>
      <c r="J78">
        <v>3.2000000000000003E-4</v>
      </c>
      <c r="K78" t="s">
        <v>442</v>
      </c>
      <c r="L78">
        <v>7.6429999999999998E-2</v>
      </c>
      <c r="M78">
        <v>2.7899999999999999E-3</v>
      </c>
      <c r="N78" t="s">
        <v>442</v>
      </c>
      <c r="O78">
        <v>3.98E-3</v>
      </c>
      <c r="P78">
        <v>8.0000000000000007E-5</v>
      </c>
      <c r="Q78" t="s">
        <v>442</v>
      </c>
      <c r="R78">
        <v>2.4930000000000001E-2</v>
      </c>
      <c r="S78">
        <v>2.5999999999999998E-4</v>
      </c>
      <c r="T78" t="s">
        <v>439</v>
      </c>
      <c r="U78">
        <v>3.8000000000000002E-4</v>
      </c>
      <c r="V78">
        <v>1.2E-4</v>
      </c>
      <c r="W78" t="s">
        <v>439</v>
      </c>
      <c r="X78">
        <v>1.078E-2</v>
      </c>
      <c r="Y78">
        <v>5.6999999999999998E-4</v>
      </c>
      <c r="Z78" t="s">
        <v>439</v>
      </c>
      <c r="AA78">
        <v>1.026E-2</v>
      </c>
      <c r="AB78">
        <v>1.7000000000000001E-4</v>
      </c>
      <c r="AC78" t="s">
        <v>442</v>
      </c>
      <c r="AD78">
        <v>4.0169999999999997E-2</v>
      </c>
      <c r="AE78">
        <v>2.6900000000000001E-3</v>
      </c>
      <c r="AF78" t="s">
        <v>442</v>
      </c>
      <c r="AI78" t="s">
        <v>440</v>
      </c>
      <c r="AJ78">
        <v>53.815950000000001</v>
      </c>
      <c r="AK78">
        <v>1.08623</v>
      </c>
      <c r="AL78" t="s">
        <v>441</v>
      </c>
      <c r="AM78">
        <v>6.6935799999999999</v>
      </c>
      <c r="AN78">
        <v>0.16031999999999999</v>
      </c>
      <c r="AO78" t="s">
        <v>442</v>
      </c>
      <c r="AP78">
        <v>-1.4200000000000001E-2</v>
      </c>
      <c r="AQ78">
        <v>9.0000000000000006E-5</v>
      </c>
      <c r="AR78" t="s">
        <v>439</v>
      </c>
      <c r="AS78">
        <v>0.30820999999999998</v>
      </c>
      <c r="AT78">
        <v>5.13E-3</v>
      </c>
      <c r="AU78" t="s">
        <v>442</v>
      </c>
      <c r="AV78">
        <v>-4.4999999999999999E-4</v>
      </c>
      <c r="AW78">
        <v>5.0000000000000002E-5</v>
      </c>
      <c r="AX78" t="s">
        <v>439</v>
      </c>
      <c r="AY78">
        <v>-3.0400000000000002E-3</v>
      </c>
      <c r="AZ78">
        <v>2.0000000000000002E-5</v>
      </c>
      <c r="BA78" t="s">
        <v>439</v>
      </c>
      <c r="BB78">
        <v>2.9199999999999999E-3</v>
      </c>
      <c r="BC78">
        <v>1.2999999999999999E-4</v>
      </c>
      <c r="BD78" t="s">
        <v>442</v>
      </c>
      <c r="BE78">
        <v>3.3E-4</v>
      </c>
      <c r="BF78">
        <v>5.0000000000000002E-5</v>
      </c>
      <c r="BG78" t="s">
        <v>439</v>
      </c>
      <c r="BH78">
        <v>4.8999999999999998E-4</v>
      </c>
      <c r="BI78">
        <v>5.0000000000000002E-5</v>
      </c>
      <c r="BJ78" t="s">
        <v>439</v>
      </c>
      <c r="BK78">
        <v>1.5E-3</v>
      </c>
      <c r="BL78">
        <v>2.0000000000000002E-5</v>
      </c>
      <c r="BM78" t="s">
        <v>439</v>
      </c>
      <c r="BN78">
        <v>-2.3000000000000001E-4</v>
      </c>
      <c r="BO78">
        <v>1.2999999999999999E-4</v>
      </c>
      <c r="BP78" t="s">
        <v>439</v>
      </c>
      <c r="BQ78">
        <v>-8.1200000000000005E-3</v>
      </c>
      <c r="BR78">
        <v>1E-4</v>
      </c>
      <c r="BS78" t="s">
        <v>439</v>
      </c>
      <c r="BV78" t="s">
        <v>440</v>
      </c>
      <c r="BW78">
        <v>-2.05335</v>
      </c>
      <c r="BX78">
        <v>2.0000000000000001E-4</v>
      </c>
      <c r="BY78" t="s">
        <v>439</v>
      </c>
      <c r="BZ78">
        <v>3.5899999999999999E-3</v>
      </c>
      <c r="CA78">
        <v>9.0000000000000006E-5</v>
      </c>
      <c r="CB78" t="s">
        <v>439</v>
      </c>
      <c r="CC78">
        <v>0.11491999999999999</v>
      </c>
      <c r="CD78">
        <v>5.3499999999999997E-3</v>
      </c>
      <c r="CE78" t="s">
        <v>442</v>
      </c>
      <c r="CF78">
        <v>0.13200000000000001</v>
      </c>
      <c r="CG78">
        <v>1.5399999999999999E-3</v>
      </c>
      <c r="CH78" t="s">
        <v>442</v>
      </c>
      <c r="CI78">
        <v>0.10582</v>
      </c>
      <c r="CJ78">
        <v>2.99E-3</v>
      </c>
      <c r="CK78" t="s">
        <v>442</v>
      </c>
      <c r="CL78">
        <v>5.2599999999999999E-3</v>
      </c>
      <c r="CM78">
        <v>9.8999999999999999E-4</v>
      </c>
      <c r="CN78" t="s">
        <v>442</v>
      </c>
      <c r="CO78">
        <v>11.46575</v>
      </c>
      <c r="CP78">
        <v>0.18356</v>
      </c>
      <c r="CQ78" t="s">
        <v>442</v>
      </c>
      <c r="CR78">
        <v>12.600949999999999</v>
      </c>
      <c r="CS78">
        <v>0.29278999999999999</v>
      </c>
      <c r="CT78" t="s">
        <v>442</v>
      </c>
      <c r="CU78">
        <v>14.52825</v>
      </c>
      <c r="CV78">
        <v>0.44785000000000003</v>
      </c>
      <c r="CW78" t="s">
        <v>442</v>
      </c>
      <c r="CX78">
        <v>13.31718</v>
      </c>
      <c r="CY78">
        <v>1.01403</v>
      </c>
      <c r="CZ78" t="s">
        <v>442</v>
      </c>
      <c r="DA78">
        <v>14.6532</v>
      </c>
      <c r="DB78">
        <v>0.44818999999999998</v>
      </c>
      <c r="DC78" t="s">
        <v>442</v>
      </c>
      <c r="DD78">
        <v>2.0856599999999998</v>
      </c>
      <c r="DE78">
        <v>0.18476999999999999</v>
      </c>
      <c r="DF78" t="s">
        <v>442</v>
      </c>
      <c r="DG78">
        <v>27.73122</v>
      </c>
      <c r="DH78">
        <v>0.50005999999999995</v>
      </c>
      <c r="DI78" t="s">
        <v>442</v>
      </c>
      <c r="DJ78">
        <v>1.9730000000000001E-2</v>
      </c>
      <c r="DK78">
        <v>2.16E-3</v>
      </c>
      <c r="DL78" t="s">
        <v>439</v>
      </c>
      <c r="DM78">
        <v>2.81E-3</v>
      </c>
      <c r="DN78">
        <v>2.4000000000000001E-4</v>
      </c>
      <c r="DO78" t="s">
        <v>439</v>
      </c>
      <c r="DP78">
        <v>8.5269999999999999E-2</v>
      </c>
      <c r="DQ78">
        <v>2.4299999999999999E-3</v>
      </c>
      <c r="DR78" t="s">
        <v>442</v>
      </c>
      <c r="DS78">
        <v>5.0529999999999999E-2</v>
      </c>
      <c r="DT78">
        <v>2.8500000000000001E-3</v>
      </c>
      <c r="DU78" t="s">
        <v>442</v>
      </c>
      <c r="DV78">
        <v>1.91679</v>
      </c>
      <c r="DW78">
        <v>5.7209999999999997E-2</v>
      </c>
      <c r="DX78" t="s">
        <v>442</v>
      </c>
      <c r="DY78">
        <v>1.0059999999999999E-2</v>
      </c>
      <c r="DZ78">
        <v>3.8000000000000002E-4</v>
      </c>
      <c r="EA78" t="s">
        <v>439</v>
      </c>
      <c r="EB78">
        <v>0.14202999999999999</v>
      </c>
      <c r="EC78">
        <v>3.5400000000000002E-3</v>
      </c>
      <c r="ED78" t="s">
        <v>442</v>
      </c>
      <c r="EE78">
        <v>1.2451700000000001</v>
      </c>
      <c r="EF78">
        <v>1.3679999999999999E-2</v>
      </c>
      <c r="EG78" t="s">
        <v>442</v>
      </c>
      <c r="EH78">
        <v>45.00658</v>
      </c>
      <c r="EI78">
        <v>0.84579000000000004</v>
      </c>
      <c r="EJ78" t="s">
        <v>442</v>
      </c>
      <c r="EM78" t="s">
        <v>440</v>
      </c>
      <c r="EN78">
        <v>65.841620000000006</v>
      </c>
      <c r="EO78">
        <v>3.5412699999999999</v>
      </c>
      <c r="EP78" t="s">
        <v>442</v>
      </c>
      <c r="ES78" t="s">
        <v>440</v>
      </c>
      <c r="ET78">
        <v>11.24006</v>
      </c>
      <c r="EU78">
        <v>0.37245</v>
      </c>
      <c r="EV78" t="s">
        <v>442</v>
      </c>
      <c r="EW78">
        <v>7.6000000000000004E-4</v>
      </c>
      <c r="EX78">
        <v>1.8400000000000001E-3</v>
      </c>
      <c r="EY78" t="s">
        <v>439</v>
      </c>
      <c r="EZ78">
        <v>0.36747999999999997</v>
      </c>
      <c r="FA78">
        <v>3.3550000000000003E-2</v>
      </c>
      <c r="FB78" t="s">
        <v>442</v>
      </c>
      <c r="FC78">
        <v>0.10041</v>
      </c>
      <c r="FD78">
        <v>0.10357</v>
      </c>
      <c r="FE78" t="s">
        <v>439</v>
      </c>
      <c r="FF78">
        <v>1.4751000000000001</v>
      </c>
      <c r="FG78">
        <v>9.8820000000000005E-2</v>
      </c>
      <c r="FH78" t="s">
        <v>441</v>
      </c>
      <c r="FK78" t="s">
        <v>440</v>
      </c>
      <c r="FN78" t="s">
        <v>440</v>
      </c>
      <c r="FO78">
        <v>65.581320000000005</v>
      </c>
      <c r="FP78">
        <v>3.4208799999999999</v>
      </c>
      <c r="FQ78" t="s">
        <v>441</v>
      </c>
      <c r="FT78" t="s">
        <v>440</v>
      </c>
      <c r="FU78">
        <v>2</v>
      </c>
      <c r="FX78">
        <v>77</v>
      </c>
    </row>
    <row r="79" spans="2:180" x14ac:dyDescent="0.2">
      <c r="B79" t="s">
        <v>145</v>
      </c>
      <c r="C79">
        <v>0.20285</v>
      </c>
      <c r="D79">
        <v>2.4199999999999998E-3</v>
      </c>
      <c r="E79" t="e">
        <f>IF((ABS($C$79-$C$71)/(($C$79+$C$71)/2)) &lt;#REF!, "Dp","Df")</f>
        <v>#REF!</v>
      </c>
      <c r="F79">
        <v>1.328E-2</v>
      </c>
      <c r="G79">
        <v>1.07E-3</v>
      </c>
      <c r="H79" t="e">
        <f>IF((ABS($F$79-$F$71)/(($F$79+$F$71)/2)) &lt;#REF!, "Dp","Df")</f>
        <v>#REF!</v>
      </c>
      <c r="I79">
        <v>2.2954500000000002</v>
      </c>
      <c r="J79">
        <v>2.2519999999999998E-2</v>
      </c>
      <c r="K79" t="e">
        <f>IF((ABS($I$79-$I$71)/(($I$79+$I$71)/2)) &lt;#REF!, "Dp","Df")</f>
        <v>#REF!</v>
      </c>
      <c r="L79">
        <v>7.1010000000000004E-2</v>
      </c>
      <c r="M79">
        <v>1.5499999999999999E-3</v>
      </c>
      <c r="N79" t="e">
        <f>IF((ABS($L$79-$L$71)/(($L$79+$L$71)/2)) &lt;#REF!, "Dp","Df")</f>
        <v>#REF!</v>
      </c>
      <c r="O79">
        <v>3.3400000000000001E-3</v>
      </c>
      <c r="P79">
        <v>4.0000000000000003E-5</v>
      </c>
      <c r="Q79" t="e">
        <f>IF((ABS($O$79-$O$71)/(($O$79+$O$71)/2)) &lt;#REF!, "Dp","Df")</f>
        <v>#REF!</v>
      </c>
      <c r="R79">
        <v>0.1731</v>
      </c>
      <c r="S79">
        <v>3.4099999999999998E-3</v>
      </c>
      <c r="T79" t="e">
        <f>IF((ABS($R$79-$R$71)/(($R$79+$R$71)/2)) &lt;#REF!, "Dp","Df")</f>
        <v>#REF!</v>
      </c>
      <c r="U79">
        <v>1.01E-3</v>
      </c>
      <c r="V79">
        <v>3.0000000000000001E-5</v>
      </c>
      <c r="W79" t="e">
        <f>IF((ABS($U$79-$U$71)/(($U$79+$U$71)/2)) &lt;#REF!, "Dp","Df")</f>
        <v>#REF!</v>
      </c>
      <c r="X79">
        <v>1.197E-2</v>
      </c>
      <c r="Y79">
        <v>5.9000000000000003E-4</v>
      </c>
      <c r="Z79" t="e">
        <f>IF((ABS($X$79-$X$71)/(($X$79+$X$71)/2)) &lt;#REF!, "Dp","Df")</f>
        <v>#REF!</v>
      </c>
      <c r="AA79">
        <v>0.22917999999999999</v>
      </c>
      <c r="AB79">
        <v>2.3999999999999998E-3</v>
      </c>
      <c r="AC79" t="e">
        <f>IF((ABS($AA$79-$AA$71)/(($AA$79+$AA$71)/2)) &lt;#REF!, "Dp","Df")</f>
        <v>#REF!</v>
      </c>
      <c r="AD79">
        <v>1.7463200000000001</v>
      </c>
      <c r="AE79">
        <v>2.479E-2</v>
      </c>
      <c r="AF79" t="e">
        <f>IF((ABS($AD$79-$AD$71)/(($AD$79+$AD$71)/2)) &lt;#REF!, "Dp","Df")</f>
        <v>#REF!</v>
      </c>
      <c r="AI79" t="e">
        <f>IF((ABS($AG$79-$AG$71)/(($AG$79+$AG$71)/2)) &lt;#REF!, "Dp","Df")</f>
        <v>#DIV/0!</v>
      </c>
      <c r="AJ79">
        <v>35.802140000000001</v>
      </c>
      <c r="AK79">
        <v>0.51707000000000003</v>
      </c>
      <c r="AL79" t="e">
        <f>IF((ABS($AJ$79-$AJ$71)/(($AJ$79+$AJ$71)/2)) &lt;#REF!, "Dp","Df")</f>
        <v>#REF!</v>
      </c>
      <c r="AM79">
        <v>221.32509999999999</v>
      </c>
      <c r="AN79">
        <v>1.11487</v>
      </c>
      <c r="AO79" t="e">
        <f>IF((ABS($AM$79-$AM$71)/(($AM$79+$AM$71)/2)) &lt;#REF!, "Dp","Df")</f>
        <v>#REF!</v>
      </c>
      <c r="AP79">
        <v>6.7059999999999995E-2</v>
      </c>
      <c r="AQ79">
        <v>6.4999999999999997E-4</v>
      </c>
      <c r="AR79" t="e">
        <f>IF((ABS($AP$79-$AP$71)/(($AP$79+$AP$71)/2)) &lt;#REF!, "Dp","Df")</f>
        <v>#REF!</v>
      </c>
      <c r="AS79">
        <v>1.3526400000000001</v>
      </c>
      <c r="AT79">
        <v>8.9300000000000004E-3</v>
      </c>
      <c r="AU79" t="e">
        <f>IF((ABS($AS$79-$AS$71)/(($AS$79+$AS$71)/2)) &lt;#REF!, "Dp","Df")</f>
        <v>#REF!</v>
      </c>
      <c r="AV79">
        <v>1.3679999999999999E-2</v>
      </c>
      <c r="AW79">
        <v>4.0000000000000002E-4</v>
      </c>
      <c r="AX79" t="e">
        <f>IF((ABS($AV$79-$AV$71)/(($AV$79+$AV$71)/2)) &lt;#REF!, "Dp","Df")</f>
        <v>#REF!</v>
      </c>
      <c r="AY79">
        <v>-4.64E-3</v>
      </c>
      <c r="AZ79">
        <v>3.0000000000000001E-5</v>
      </c>
      <c r="BA79" t="e">
        <f>IF((ABS($AY$79-$AY$71)/(($AY$79+$AY$71)/2)) &lt;#REF!, "Dp","Df")</f>
        <v>#REF!</v>
      </c>
      <c r="BB79">
        <v>2.1800000000000001E-3</v>
      </c>
      <c r="BC79">
        <v>8.0000000000000007E-5</v>
      </c>
      <c r="BD79" t="e">
        <f>IF((ABS($BB$79-$BB$71)/(($BB$79+$BB$71)/2)) &lt;#REF!, "Dp","Df")</f>
        <v>#REF!</v>
      </c>
      <c r="BE79">
        <v>1.9000000000000001E-4</v>
      </c>
      <c r="BF79">
        <v>1.2E-4</v>
      </c>
      <c r="BG79" t="e">
        <f>IF((ABS($BE$79-$BE$71)/(($BE$79+$BE$71)/2)) &lt;#REF!, "Dp","Df")</f>
        <v>#REF!</v>
      </c>
      <c r="BH79">
        <v>3.2000000000000003E-4</v>
      </c>
      <c r="BI79">
        <v>2.5000000000000001E-4</v>
      </c>
      <c r="BJ79" t="e">
        <f>IF((ABS($BH$79-$BH$71)/(($BH$79+$BH$71)/2)) &lt;#REF!, "Dp","Df")</f>
        <v>#REF!</v>
      </c>
      <c r="BK79">
        <v>1.5299999999999999E-3</v>
      </c>
      <c r="BL79">
        <v>2.0000000000000002E-5</v>
      </c>
      <c r="BM79" t="e">
        <f>IF((ABS($BK$79-$BK$71)/(($BK$79+$BK$71)/2)) &lt;#REF!, "Dp","Df")</f>
        <v>#REF!</v>
      </c>
      <c r="BN79">
        <v>-3.1E-4</v>
      </c>
      <c r="BO79">
        <v>2.0000000000000002E-5</v>
      </c>
      <c r="BP79" t="e">
        <f>IF((ABS($BN$79-$BN$71)/(($BN$79+$BN$71)/2)) &lt;#REF!, "Dp","Df")</f>
        <v>#REF!</v>
      </c>
      <c r="BQ79">
        <v>3.1710000000000002E-2</v>
      </c>
      <c r="BR79">
        <v>5.9000000000000003E-4</v>
      </c>
      <c r="BS79" t="e">
        <f>IF((ABS($BQ$79-$BQ$71)/(($BQ$79+$BQ$71)/2)) &lt;#REF!, "Dp","Df")</f>
        <v>#REF!</v>
      </c>
      <c r="BV79" t="e">
        <f>IF((ABS($BT$79-$BT$71)/(($BT$79+$BT$71)/2)) &lt;#REF!, "Dp","Df")</f>
        <v>#DIV/0!</v>
      </c>
      <c r="BW79">
        <v>-2.0536799999999999</v>
      </c>
      <c r="BX79">
        <v>2.7E-4</v>
      </c>
      <c r="BY79" t="e">
        <f>IF((ABS($BW$79-$BW$71)/(($BW$79+$BW$71)/2)) &lt;#REF!, "Dp","Df")</f>
        <v>#REF!</v>
      </c>
      <c r="BZ79">
        <v>4.6350000000000002E-2</v>
      </c>
      <c r="CA79">
        <v>1.2E-4</v>
      </c>
      <c r="CB79" t="e">
        <f>IF((ABS($BZ$79-$BZ$71)/(($BZ$79+$BZ$71)/2)) &lt;#REF!, "Dp","Df")</f>
        <v>#REF!</v>
      </c>
      <c r="CC79">
        <v>9.6728299999999994</v>
      </c>
      <c r="CD79">
        <v>0.14929000000000001</v>
      </c>
      <c r="CE79" t="e">
        <f>IF((ABS($CC$79-$CC$71)/(($CC$79+$CC$71)/2)) &lt;#REF!, "Dp","Df")</f>
        <v>#REF!</v>
      </c>
      <c r="CF79">
        <v>9.5592799999999993</v>
      </c>
      <c r="CG79">
        <v>5.2630000000000003E-2</v>
      </c>
      <c r="CH79" t="e">
        <f>IF((ABS($CF$79-$CF$71)/(($CF$79+$CF$71)/2)) &lt;#REF!, "Dp","Df")</f>
        <v>#REF!</v>
      </c>
      <c r="CI79">
        <v>9.1967099999999995</v>
      </c>
      <c r="CJ79">
        <v>0.12138</v>
      </c>
      <c r="CK79" t="e">
        <f>IF((ABS($CI$79-$CI$71)/(($CI$79+$CI$71)/2)) &lt;#REF!, "Dp","Df")</f>
        <v>#REF!</v>
      </c>
      <c r="CL79">
        <v>1.0664400000000001</v>
      </c>
      <c r="CM79">
        <v>1.6910000000000001E-2</v>
      </c>
      <c r="CN79" t="e">
        <f>IF((ABS($CL$79-$CL$71)/(($CL$79+$CL$71)/2)) &lt;#REF!, "Dp","Df")</f>
        <v>#REF!</v>
      </c>
      <c r="CO79">
        <v>653.53962999999999</v>
      </c>
      <c r="CP79">
        <v>11.4892</v>
      </c>
      <c r="CQ79" t="e">
        <f>IF((ABS($CO$79-$CO$71)/(($CO$79+$CO$71)/2)) &lt;#REF!, "Dp","Df")</f>
        <v>#REF!</v>
      </c>
      <c r="CR79">
        <v>1.09335</v>
      </c>
      <c r="CS79">
        <v>4.0629999999999999E-2</v>
      </c>
      <c r="CT79" t="e">
        <f>IF((ABS($CR$79-$CR$71)/(($CR$79+$CR$71)/2)) &lt;#REF!, "Dp","Df")</f>
        <v>#REF!</v>
      </c>
      <c r="CU79">
        <v>1.8502700000000001</v>
      </c>
      <c r="CV79">
        <v>6.9980000000000001E-2</v>
      </c>
      <c r="CW79" t="e">
        <f>IF((ABS($CU$79-$CU$71)/(($CU$79+$CU$71)/2)) &lt;#REF!, "Dp","Df")</f>
        <v>#REF!</v>
      </c>
      <c r="CX79">
        <v>224.77825000000001</v>
      </c>
      <c r="CY79">
        <v>6.7979099999999999</v>
      </c>
      <c r="CZ79" t="e">
        <f>IF((ABS($CX$79-$CX$71)/(($CX$79+$CX$71)/2)) &lt;#REF!, "Dp","Df")</f>
        <v>#REF!</v>
      </c>
      <c r="DA79">
        <v>136.46575000000001</v>
      </c>
      <c r="DB79">
        <v>2.8851200000000001</v>
      </c>
      <c r="DC79" t="e">
        <f>IF((ABS($DA$79-$DA$71)/(($DA$79+$DA$71)/2)) &lt;#REF!, "Dp","Df")</f>
        <v>#REF!</v>
      </c>
      <c r="DD79">
        <v>128.55013</v>
      </c>
      <c r="DE79">
        <v>3.2608899999999998</v>
      </c>
      <c r="DF79" t="e">
        <f>IF((ABS($DD$79-$DD$71)/(($DD$79+$DD$71)/2)) &lt;#REF!, "Dp","Df")</f>
        <v>#REF!</v>
      </c>
      <c r="DG79">
        <v>19.927479999999999</v>
      </c>
      <c r="DH79">
        <v>0.46457999999999999</v>
      </c>
      <c r="DI79" t="e">
        <f>IF((ABS($DG$79-$DG$71)/(($DG$79+$DG$71)/2)) &lt;#REF!, "Dp","Df")</f>
        <v>#REF!</v>
      </c>
      <c r="DJ79">
        <v>2.4969999999999999E-2</v>
      </c>
      <c r="DK79">
        <v>1.0970000000000001E-2</v>
      </c>
      <c r="DL79" t="e">
        <f>IF((ABS($DJ$79-$DJ$71)/(($DJ$79+$DJ$71)/2)) &lt;#REF!, "Dp","Df")</f>
        <v>#REF!</v>
      </c>
      <c r="DM79">
        <v>5.8799999999999998E-3</v>
      </c>
      <c r="DN79">
        <v>4.6000000000000001E-4</v>
      </c>
      <c r="DO79" t="e">
        <f>IF((ABS($DM$79-$DM$71)/(($DM$79+$DM$71)/2)) &lt;#REF!, "Dp","Df")</f>
        <v>#REF!</v>
      </c>
      <c r="DP79">
        <v>0.23835000000000001</v>
      </c>
      <c r="DQ79">
        <v>6.9899999999999997E-3</v>
      </c>
      <c r="DR79" t="e">
        <f>IF((ABS($DP$79-$DP$71)/(($DP$79+$DP$71)/2)) &lt;#REF!, "Dp","Df")</f>
        <v>#REF!</v>
      </c>
      <c r="DS79">
        <v>1.4007799999999999</v>
      </c>
      <c r="DT79">
        <v>4.3200000000000002E-2</v>
      </c>
      <c r="DU79" t="e">
        <f>IF((ABS($DS$79-$DS$71)/(($DS$79+$DS$71)/2)) &lt;#REF!, "Dp","Df")</f>
        <v>#REF!</v>
      </c>
      <c r="DV79">
        <v>3.03803</v>
      </c>
      <c r="DW79">
        <v>9.2719999999999997E-2</v>
      </c>
      <c r="DX79" t="e">
        <f>IF((ABS($DV$79-$DV$71)/(($DV$79+$DV$71)/2)) &lt;#REF!, "Dp","Df")</f>
        <v>#REF!</v>
      </c>
      <c r="DY79">
        <v>0.42294999999999999</v>
      </c>
      <c r="DZ79">
        <v>1.3220000000000001E-2</v>
      </c>
      <c r="EA79" t="e">
        <f>IF((ABS($DY$79-$DY$71)/(($DY$79+$DY$71)/2)) &lt;#REF!, "Dp","Df")</f>
        <v>#REF!</v>
      </c>
      <c r="EB79">
        <v>0.19999</v>
      </c>
      <c r="EC79">
        <v>6.11E-3</v>
      </c>
      <c r="ED79" t="e">
        <f>IF((ABS($EB$79-$EB$71)/(($EB$79+$EB$71)/2)) &lt;#REF!, "Dp","Df")</f>
        <v>#REF!</v>
      </c>
      <c r="EE79">
        <v>12.579179999999999</v>
      </c>
      <c r="EF79">
        <v>0.36880000000000002</v>
      </c>
      <c r="EG79" t="e">
        <f>IF((ABS($EE$79-$EE$71)/(($EE$79+$EE$71)/2)) &lt;#REF!, "Dp","Df")</f>
        <v>#REF!</v>
      </c>
      <c r="EH79">
        <v>2634.1298999999999</v>
      </c>
      <c r="EI79">
        <v>87.342669999999998</v>
      </c>
      <c r="EJ79" t="e">
        <f>IF((ABS($EH$79-$EH$71)/(($EH$79+$EH$71)/2)) &lt;#REF!, "Dp","Df")</f>
        <v>#REF!</v>
      </c>
      <c r="EM79" t="e">
        <f>IF((ABS($EK$79-$EK$71)/(($EK$79+$EK$71)/2)) &lt;#REF!, "Dp","Df")</f>
        <v>#DIV/0!</v>
      </c>
      <c r="EN79">
        <v>43.726379999999999</v>
      </c>
      <c r="EO79">
        <v>1.4007700000000001</v>
      </c>
      <c r="EP79" t="e">
        <f>IF((ABS($EN$79-$EN$71)/(($EN$79+$EN$71)/2)) &lt;#REF!, "Dp","Df")</f>
        <v>#REF!</v>
      </c>
      <c r="ES79" t="e">
        <f>IF((ABS($EQ$79-$EQ$71)/(($EQ$79+$EQ$71)/2)) &lt;#REF!, "Dp","Df")</f>
        <v>#DIV/0!</v>
      </c>
      <c r="ET79">
        <v>801.78743999999995</v>
      </c>
      <c r="EU79">
        <v>8.6128900000000002</v>
      </c>
      <c r="EV79" t="e">
        <f>IF((ABS($ET$79-$ET$71)/(($ET$79+$ET$71)/2)) &lt;#REF!, "Dp","Df")</f>
        <v>#REF!</v>
      </c>
      <c r="EW79">
        <v>5.8540000000000002E-2</v>
      </c>
      <c r="EX79">
        <v>1.7600000000000001E-3</v>
      </c>
      <c r="EY79" t="e">
        <f>IF((ABS($EW$79-$EW$71)/(($EW$79+$EW$71)/2)) &lt;#REF!, "Dp","Df")</f>
        <v>#REF!</v>
      </c>
      <c r="EZ79">
        <v>32.576729999999998</v>
      </c>
      <c r="FA79">
        <v>0.47142000000000001</v>
      </c>
      <c r="FB79" t="e">
        <f>IF((ABS($EZ$79-$EZ$71)/(($EZ$79+$EZ$71)/2)) &lt;#REF!, "Dp","Df")</f>
        <v>#REF!</v>
      </c>
      <c r="FC79">
        <v>1.6744600000000001</v>
      </c>
      <c r="FD79">
        <v>0.11042</v>
      </c>
      <c r="FE79" t="e">
        <f>IF((ABS($FC$79-$FC$71)/(($FC$79+$FC$71)/2)) &lt;#REF!, "Dp","Df")</f>
        <v>#REF!</v>
      </c>
      <c r="FF79">
        <v>6.6313399999999998</v>
      </c>
      <c r="FG79">
        <v>0.14723</v>
      </c>
      <c r="FH79" t="e">
        <f>IF((ABS($FF$79-$FF$71)/(($FF$79+$FF$71)/2)) &lt;#REF!, "Dp","Df")</f>
        <v>#REF!</v>
      </c>
      <c r="FK79" t="e">
        <f>IF((ABS($FI$79-$FI$71)/(($FI$79+$FI$71)/2)) &lt;#REF!, "Dp","Df")</f>
        <v>#DIV/0!</v>
      </c>
      <c r="FN79" t="e">
        <f>IF((ABS($FL$79-$FL$71)/(($FL$79+$FL$71)/2)) &lt;#REF!, "Dp","Df")</f>
        <v>#DIV/0!</v>
      </c>
      <c r="FO79">
        <v>42.655320000000003</v>
      </c>
      <c r="FP79">
        <v>5.0430000000000003E-2</v>
      </c>
      <c r="FQ79" t="e">
        <f>IF((ABS($FO$79-$FO$71)/(($FO$79+$FO$71)/2)) &lt;#REF!, "Dp","Df")</f>
        <v>#REF!</v>
      </c>
      <c r="FT79" t="e">
        <f>IF((ABS($FR$79-$FR$71)/(($FR$79+$FR$71)/2)) &lt;#REF!, "Dp","Df")</f>
        <v>#DIV/0!</v>
      </c>
      <c r="FU79">
        <v>2</v>
      </c>
      <c r="FX79">
        <v>78</v>
      </c>
    </row>
    <row r="80" spans="2:180" x14ac:dyDescent="0.2">
      <c r="B80" t="s">
        <v>146</v>
      </c>
      <c r="C80">
        <v>3.9120000000000002E-2</v>
      </c>
      <c r="D80">
        <v>1.5200000000000001E-3</v>
      </c>
      <c r="E80" t="s">
        <v>439</v>
      </c>
      <c r="F80">
        <v>1.0359999999999999E-2</v>
      </c>
      <c r="G80">
        <v>1.06E-3</v>
      </c>
      <c r="H80" t="s">
        <v>439</v>
      </c>
      <c r="I80">
        <v>7.0739999999999997E-2</v>
      </c>
      <c r="J80">
        <v>1.6900000000000001E-3</v>
      </c>
      <c r="K80" t="s">
        <v>442</v>
      </c>
      <c r="L80">
        <v>2.2870000000000001E-2</v>
      </c>
      <c r="M80">
        <v>7.5000000000000002E-4</v>
      </c>
      <c r="N80" t="s">
        <v>439</v>
      </c>
      <c r="O80">
        <v>3.9899999999999996E-3</v>
      </c>
      <c r="P80">
        <v>1.1E-4</v>
      </c>
      <c r="Q80" t="s">
        <v>442</v>
      </c>
      <c r="R80">
        <v>8.2860000000000003E-2</v>
      </c>
      <c r="S80">
        <v>5.1999999999999995E-4</v>
      </c>
      <c r="T80" t="s">
        <v>442</v>
      </c>
      <c r="U80">
        <v>3.4000000000000002E-4</v>
      </c>
      <c r="V80">
        <v>4.0000000000000003E-5</v>
      </c>
      <c r="W80" t="s">
        <v>439</v>
      </c>
      <c r="X80">
        <v>1.0749999999999999E-2</v>
      </c>
      <c r="Y80">
        <v>4.6999999999999999E-4</v>
      </c>
      <c r="Z80" t="s">
        <v>439</v>
      </c>
      <c r="AA80">
        <v>1.6330000000000001E-2</v>
      </c>
      <c r="AB80">
        <v>5.1999999999999995E-4</v>
      </c>
      <c r="AC80" t="s">
        <v>442</v>
      </c>
      <c r="AD80">
        <v>2.051E-2</v>
      </c>
      <c r="AE80">
        <v>1.33E-3</v>
      </c>
      <c r="AF80" t="s">
        <v>442</v>
      </c>
      <c r="AI80" t="s">
        <v>440</v>
      </c>
      <c r="AJ80">
        <v>3.26057</v>
      </c>
      <c r="AK80">
        <v>5.815E-2</v>
      </c>
      <c r="AL80" t="s">
        <v>441</v>
      </c>
      <c r="AM80">
        <v>5.4900399999999996</v>
      </c>
      <c r="AN80">
        <v>3.5740000000000001E-2</v>
      </c>
      <c r="AO80" t="s">
        <v>442</v>
      </c>
      <c r="AP80">
        <v>-9.1599999999999997E-3</v>
      </c>
      <c r="AQ80">
        <v>3.3E-4</v>
      </c>
      <c r="AR80" t="s">
        <v>439</v>
      </c>
      <c r="AS80">
        <v>0.36499999999999999</v>
      </c>
      <c r="AT80">
        <v>1.391E-2</v>
      </c>
      <c r="AU80" t="s">
        <v>442</v>
      </c>
      <c r="AV80">
        <v>3.5100000000000001E-3</v>
      </c>
      <c r="AW80">
        <v>2.2000000000000001E-4</v>
      </c>
      <c r="AX80" t="s">
        <v>442</v>
      </c>
      <c r="AY80">
        <v>4.1700000000000001E-3</v>
      </c>
      <c r="AZ80">
        <v>1.1E-4</v>
      </c>
      <c r="BA80" t="s">
        <v>442</v>
      </c>
      <c r="BB80">
        <v>5.45E-3</v>
      </c>
      <c r="BC80">
        <v>3.1E-4</v>
      </c>
      <c r="BD80" t="s">
        <v>442</v>
      </c>
      <c r="BE80">
        <v>3.1E-4</v>
      </c>
      <c r="BF80">
        <v>1.2999999999999999E-4</v>
      </c>
      <c r="BG80" t="s">
        <v>439</v>
      </c>
      <c r="BH80">
        <v>5.9000000000000003E-4</v>
      </c>
      <c r="BI80">
        <v>1.3999999999999999E-4</v>
      </c>
      <c r="BJ80" t="s">
        <v>439</v>
      </c>
      <c r="BK80">
        <v>1.49E-3</v>
      </c>
      <c r="BL80">
        <v>0</v>
      </c>
      <c r="BM80" t="s">
        <v>439</v>
      </c>
      <c r="BN80">
        <v>-2.2000000000000001E-4</v>
      </c>
      <c r="BO80">
        <v>1.0000000000000001E-5</v>
      </c>
      <c r="BP80" t="s">
        <v>439</v>
      </c>
      <c r="BQ80">
        <v>1.3860000000000001E-2</v>
      </c>
      <c r="BR80">
        <v>7.5000000000000002E-4</v>
      </c>
      <c r="BS80" t="s">
        <v>442</v>
      </c>
      <c r="BV80" t="s">
        <v>440</v>
      </c>
      <c r="BW80">
        <v>-2.0535600000000001</v>
      </c>
      <c r="BX80">
        <v>3.3E-4</v>
      </c>
      <c r="BY80" t="s">
        <v>439</v>
      </c>
      <c r="BZ80">
        <v>6.2599999999999999E-3</v>
      </c>
      <c r="CA80">
        <v>6.9999999999999994E-5</v>
      </c>
      <c r="CB80" t="s">
        <v>442</v>
      </c>
      <c r="CC80">
        <v>0.42277999999999999</v>
      </c>
      <c r="CD80">
        <v>1.098E-2</v>
      </c>
      <c r="CE80" t="s">
        <v>442</v>
      </c>
      <c r="CF80">
        <v>0.42677999999999999</v>
      </c>
      <c r="CG80">
        <v>1.206E-2</v>
      </c>
      <c r="CH80" t="s">
        <v>442</v>
      </c>
      <c r="CI80">
        <v>0.41345999999999999</v>
      </c>
      <c r="CJ80">
        <v>7.4099999999999999E-3</v>
      </c>
      <c r="CK80" t="s">
        <v>442</v>
      </c>
      <c r="CL80">
        <v>0.20249</v>
      </c>
      <c r="CM80">
        <v>4.5900000000000003E-3</v>
      </c>
      <c r="CN80" t="s">
        <v>442</v>
      </c>
      <c r="CO80">
        <v>16.977419999999999</v>
      </c>
      <c r="CP80">
        <v>0.45713999999999999</v>
      </c>
      <c r="CQ80" t="s">
        <v>442</v>
      </c>
      <c r="CR80">
        <v>1.33813</v>
      </c>
      <c r="CS80">
        <v>3.5279999999999999E-2</v>
      </c>
      <c r="CT80" t="s">
        <v>442</v>
      </c>
      <c r="CU80">
        <v>6.94937</v>
      </c>
      <c r="CV80">
        <v>0.24148</v>
      </c>
      <c r="CW80" t="s">
        <v>442</v>
      </c>
      <c r="CX80">
        <v>13.079459999999999</v>
      </c>
      <c r="CY80">
        <v>1.2026300000000001</v>
      </c>
      <c r="CZ80" t="s">
        <v>442</v>
      </c>
      <c r="DA80">
        <v>7.8002000000000002</v>
      </c>
      <c r="DB80">
        <v>0.38347999999999999</v>
      </c>
      <c r="DC80" t="s">
        <v>442</v>
      </c>
      <c r="DD80">
        <v>14.735889999999999</v>
      </c>
      <c r="DE80">
        <v>0.58891000000000004</v>
      </c>
      <c r="DF80" t="s">
        <v>442</v>
      </c>
      <c r="DG80">
        <v>17.08361</v>
      </c>
      <c r="DH80">
        <v>0.86162000000000005</v>
      </c>
      <c r="DI80" t="s">
        <v>442</v>
      </c>
      <c r="DJ80">
        <v>7.0889999999999995E-2</v>
      </c>
      <c r="DK80">
        <v>7.8799999999999999E-3</v>
      </c>
      <c r="DL80" t="s">
        <v>442</v>
      </c>
      <c r="DM80">
        <v>5.8199999999999997E-3</v>
      </c>
      <c r="DN80">
        <v>1.25E-3</v>
      </c>
      <c r="DO80" t="s">
        <v>442</v>
      </c>
      <c r="DP80">
        <v>1.1239399999999999</v>
      </c>
      <c r="DQ80">
        <v>5.74E-2</v>
      </c>
      <c r="DR80" t="s">
        <v>442</v>
      </c>
      <c r="DS80">
        <v>0.87470999999999999</v>
      </c>
      <c r="DT80">
        <v>4.7919999999999997E-2</v>
      </c>
      <c r="DU80" t="s">
        <v>442</v>
      </c>
      <c r="DV80">
        <v>12.18182</v>
      </c>
      <c r="DW80">
        <v>0.71879999999999999</v>
      </c>
      <c r="DX80" t="s">
        <v>442</v>
      </c>
      <c r="DY80">
        <v>2.6239999999999999E-2</v>
      </c>
      <c r="DZ80">
        <v>1.39E-3</v>
      </c>
      <c r="EA80" t="s">
        <v>442</v>
      </c>
      <c r="EB80">
        <v>1.0318400000000001</v>
      </c>
      <c r="EC80">
        <v>4.5719999999999997E-2</v>
      </c>
      <c r="ED80" t="s">
        <v>442</v>
      </c>
      <c r="EE80">
        <v>1.9149799999999999</v>
      </c>
      <c r="EF80">
        <v>0.11679</v>
      </c>
      <c r="EG80" t="s">
        <v>442</v>
      </c>
      <c r="EH80">
        <v>54.088529999999999</v>
      </c>
      <c r="EI80">
        <v>3.2608000000000001</v>
      </c>
      <c r="EJ80" t="s">
        <v>442</v>
      </c>
      <c r="EM80" t="s">
        <v>440</v>
      </c>
      <c r="EN80">
        <v>3.3789899999999999</v>
      </c>
      <c r="EO80">
        <v>0.18274000000000001</v>
      </c>
      <c r="EP80" t="s">
        <v>442</v>
      </c>
      <c r="ES80" t="s">
        <v>440</v>
      </c>
      <c r="ET80">
        <v>24.565059999999999</v>
      </c>
      <c r="EU80">
        <v>1.8270599999999999</v>
      </c>
      <c r="EV80" t="s">
        <v>442</v>
      </c>
      <c r="EW80">
        <v>3.5999999999999999E-3</v>
      </c>
      <c r="EX80">
        <v>1.5200000000000001E-3</v>
      </c>
      <c r="EY80" t="s">
        <v>439</v>
      </c>
      <c r="EZ80">
        <v>6.5204700000000004</v>
      </c>
      <c r="FA80">
        <v>7.1110000000000007E-2</v>
      </c>
      <c r="FB80" t="s">
        <v>442</v>
      </c>
      <c r="FC80">
        <v>0.76283999999999996</v>
      </c>
      <c r="FD80">
        <v>0.18167</v>
      </c>
      <c r="FE80" t="s">
        <v>439</v>
      </c>
      <c r="FF80">
        <v>3.9550299999999998</v>
      </c>
      <c r="FG80">
        <v>0.35238000000000003</v>
      </c>
      <c r="FH80" t="s">
        <v>441</v>
      </c>
      <c r="FK80" t="s">
        <v>440</v>
      </c>
      <c r="FN80" t="s">
        <v>440</v>
      </c>
      <c r="FO80">
        <v>3.5817700000000001</v>
      </c>
      <c r="FP80">
        <v>7.0139999999999994E-2</v>
      </c>
      <c r="FQ80" t="s">
        <v>441</v>
      </c>
      <c r="FT80" t="s">
        <v>440</v>
      </c>
      <c r="FX80">
        <v>79</v>
      </c>
    </row>
    <row r="81" spans="2:180" x14ac:dyDescent="0.2">
      <c r="B81" t="s">
        <v>147</v>
      </c>
      <c r="C81">
        <v>7.0279999999999995E-2</v>
      </c>
      <c r="D81">
        <v>2.0899999999999998E-3</v>
      </c>
      <c r="E81" t="s">
        <v>442</v>
      </c>
      <c r="F81">
        <v>1.5010000000000001E-2</v>
      </c>
      <c r="G81">
        <v>2.2499999999999998E-3</v>
      </c>
      <c r="H81" t="s">
        <v>439</v>
      </c>
      <c r="I81">
        <v>0.76100000000000001</v>
      </c>
      <c r="J81">
        <v>9.0900000000000009E-3</v>
      </c>
      <c r="K81" t="s">
        <v>442</v>
      </c>
      <c r="L81">
        <v>0.17101</v>
      </c>
      <c r="M81">
        <v>2.5200000000000001E-3</v>
      </c>
      <c r="N81" t="s">
        <v>442</v>
      </c>
      <c r="O81">
        <v>5.4599999999999996E-3</v>
      </c>
      <c r="P81">
        <v>1.3999999999999999E-4</v>
      </c>
      <c r="Q81" t="s">
        <v>442</v>
      </c>
      <c r="R81">
        <v>9.4969999999999999E-2</v>
      </c>
      <c r="S81">
        <v>1.6000000000000001E-4</v>
      </c>
      <c r="T81" t="s">
        <v>442</v>
      </c>
      <c r="U81">
        <v>5.6999999999999998E-4</v>
      </c>
      <c r="V81">
        <v>4.0000000000000003E-5</v>
      </c>
      <c r="W81" t="s">
        <v>439</v>
      </c>
      <c r="X81">
        <v>1.06E-2</v>
      </c>
      <c r="Y81">
        <v>1.8000000000000001E-4</v>
      </c>
      <c r="Z81" t="s">
        <v>439</v>
      </c>
      <c r="AA81">
        <v>7.0319999999999994E-2</v>
      </c>
      <c r="AB81">
        <v>1.23E-3</v>
      </c>
      <c r="AC81" t="s">
        <v>442</v>
      </c>
      <c r="AD81">
        <v>0.45604</v>
      </c>
      <c r="AE81">
        <v>1.026E-2</v>
      </c>
      <c r="AF81" t="s">
        <v>442</v>
      </c>
      <c r="AI81" t="s">
        <v>440</v>
      </c>
      <c r="AJ81">
        <v>12.60751</v>
      </c>
      <c r="AK81">
        <v>0.13774</v>
      </c>
      <c r="AL81" t="s">
        <v>441</v>
      </c>
      <c r="AM81">
        <v>48.072389999999999</v>
      </c>
      <c r="AN81">
        <v>0.69523000000000001</v>
      </c>
      <c r="AO81" t="s">
        <v>442</v>
      </c>
      <c r="AP81">
        <v>1.8079999999999999E-2</v>
      </c>
      <c r="AQ81">
        <v>4.2000000000000002E-4</v>
      </c>
      <c r="AR81" t="s">
        <v>442</v>
      </c>
      <c r="AS81">
        <v>0.93833999999999995</v>
      </c>
      <c r="AT81">
        <v>1.6879999999999999E-2</v>
      </c>
      <c r="AU81" t="s">
        <v>442</v>
      </c>
      <c r="AV81">
        <v>4.8399999999999997E-3</v>
      </c>
      <c r="AW81">
        <v>1.6000000000000001E-4</v>
      </c>
      <c r="AX81" t="s">
        <v>442</v>
      </c>
      <c r="AY81">
        <v>8.9999999999999998E-4</v>
      </c>
      <c r="AZ81">
        <v>4.6999999999999999E-4</v>
      </c>
      <c r="BA81" t="s">
        <v>439</v>
      </c>
      <c r="BB81">
        <v>5.5300000000000002E-3</v>
      </c>
      <c r="BC81">
        <v>6.9999999999999994E-5</v>
      </c>
      <c r="BD81" t="s">
        <v>442</v>
      </c>
      <c r="BE81">
        <v>5.9000000000000003E-4</v>
      </c>
      <c r="BF81">
        <v>2.3000000000000001E-4</v>
      </c>
      <c r="BG81" t="s">
        <v>439</v>
      </c>
      <c r="BH81">
        <v>9.2000000000000003E-4</v>
      </c>
      <c r="BI81">
        <v>2.5000000000000001E-4</v>
      </c>
      <c r="BJ81" t="s">
        <v>439</v>
      </c>
      <c r="BK81">
        <v>1.5299999999999999E-3</v>
      </c>
      <c r="BL81">
        <v>3.0000000000000001E-5</v>
      </c>
      <c r="BM81" t="s">
        <v>439</v>
      </c>
      <c r="BN81">
        <v>-1E-4</v>
      </c>
      <c r="BO81">
        <v>1.1E-4</v>
      </c>
      <c r="BP81" t="s">
        <v>439</v>
      </c>
      <c r="BQ81">
        <v>9.5899999999999996E-3</v>
      </c>
      <c r="BR81">
        <v>9.3000000000000005E-4</v>
      </c>
      <c r="BS81" t="s">
        <v>442</v>
      </c>
      <c r="BV81" t="s">
        <v>440</v>
      </c>
      <c r="BW81">
        <v>-2.0537399999999999</v>
      </c>
      <c r="BX81">
        <v>2.0000000000000001E-4</v>
      </c>
      <c r="BY81" t="s">
        <v>439</v>
      </c>
      <c r="BZ81">
        <v>1.04E-2</v>
      </c>
      <c r="CA81">
        <v>2.7E-4</v>
      </c>
      <c r="CB81" t="s">
        <v>442</v>
      </c>
      <c r="CC81">
        <v>2.6437300000000001</v>
      </c>
      <c r="CD81">
        <v>0.10133</v>
      </c>
      <c r="CE81" t="s">
        <v>442</v>
      </c>
      <c r="CF81">
        <v>2.5377800000000001</v>
      </c>
      <c r="CG81">
        <v>7.9899999999999999E-2</v>
      </c>
      <c r="CH81" t="s">
        <v>442</v>
      </c>
      <c r="CI81">
        <v>2.6805400000000001</v>
      </c>
      <c r="CJ81">
        <v>9.1469999999999996E-2</v>
      </c>
      <c r="CK81" t="s">
        <v>442</v>
      </c>
      <c r="CL81">
        <v>0.25681999999999999</v>
      </c>
      <c r="CM81">
        <v>6.7200000000000003E-3</v>
      </c>
      <c r="CN81" t="s">
        <v>442</v>
      </c>
      <c r="CO81">
        <v>143.87083000000001</v>
      </c>
      <c r="CP81">
        <v>0.48068</v>
      </c>
      <c r="CQ81" t="s">
        <v>442</v>
      </c>
      <c r="CR81">
        <v>6.6593799999999996</v>
      </c>
      <c r="CS81">
        <v>5.953E-2</v>
      </c>
      <c r="CT81" t="s">
        <v>442</v>
      </c>
      <c r="CU81">
        <v>8.9878499999999999</v>
      </c>
      <c r="CV81">
        <v>0.14913000000000001</v>
      </c>
      <c r="CW81" t="s">
        <v>442</v>
      </c>
      <c r="CX81">
        <v>70.594520000000003</v>
      </c>
      <c r="CY81">
        <v>0.89759999999999995</v>
      </c>
      <c r="CZ81" t="s">
        <v>442</v>
      </c>
      <c r="DA81">
        <v>56.488529999999997</v>
      </c>
      <c r="DB81">
        <v>0.65549999999999997</v>
      </c>
      <c r="DC81" t="s">
        <v>442</v>
      </c>
      <c r="DD81">
        <v>126.25368</v>
      </c>
      <c r="DE81">
        <v>1.1993100000000001</v>
      </c>
      <c r="DF81" t="s">
        <v>442</v>
      </c>
      <c r="DG81">
        <v>65.410430000000005</v>
      </c>
      <c r="DH81">
        <v>1.7210799999999999</v>
      </c>
      <c r="DI81" t="s">
        <v>442</v>
      </c>
      <c r="DJ81">
        <v>0.22206999999999999</v>
      </c>
      <c r="DK81">
        <v>1.7690000000000001E-2</v>
      </c>
      <c r="DL81" t="s">
        <v>442</v>
      </c>
      <c r="DM81">
        <v>9.2899999999999996E-3</v>
      </c>
      <c r="DN81">
        <v>1.17E-3</v>
      </c>
      <c r="DO81" t="s">
        <v>442</v>
      </c>
      <c r="DP81">
        <v>0.9778</v>
      </c>
      <c r="DQ81">
        <v>1.141E-2</v>
      </c>
      <c r="DR81" t="s">
        <v>442</v>
      </c>
      <c r="DS81">
        <v>1.62348</v>
      </c>
      <c r="DT81">
        <v>1.9279999999999999E-2</v>
      </c>
      <c r="DU81" t="s">
        <v>442</v>
      </c>
      <c r="DV81">
        <v>8.8894099999999998</v>
      </c>
      <c r="DW81">
        <v>0.16461000000000001</v>
      </c>
      <c r="DX81" t="s">
        <v>442</v>
      </c>
      <c r="DY81">
        <v>0.11901</v>
      </c>
      <c r="DZ81">
        <v>3.63E-3</v>
      </c>
      <c r="EA81" t="s">
        <v>442</v>
      </c>
      <c r="EB81">
        <v>1.7675099999999999</v>
      </c>
      <c r="EC81">
        <v>5.0520000000000002E-2</v>
      </c>
      <c r="ED81" t="s">
        <v>442</v>
      </c>
      <c r="EE81">
        <v>2.5474199999999998</v>
      </c>
      <c r="EF81">
        <v>6.4149999999999999E-2</v>
      </c>
      <c r="EG81" t="s">
        <v>442</v>
      </c>
      <c r="EH81">
        <v>735.51311999999996</v>
      </c>
      <c r="EI81">
        <v>26.07854</v>
      </c>
      <c r="EJ81" t="s">
        <v>442</v>
      </c>
      <c r="EM81" t="s">
        <v>440</v>
      </c>
      <c r="EN81">
        <v>12.36478</v>
      </c>
      <c r="EO81">
        <v>6.0069999999999998E-2</v>
      </c>
      <c r="EP81" t="s">
        <v>442</v>
      </c>
      <c r="ES81" t="s">
        <v>440</v>
      </c>
      <c r="ET81">
        <v>227.08091999999999</v>
      </c>
      <c r="EU81">
        <v>9.5207999999999995</v>
      </c>
      <c r="EV81" t="s">
        <v>442</v>
      </c>
      <c r="EW81">
        <v>2.581E-2</v>
      </c>
      <c r="EX81">
        <v>5.8999999999999999E-3</v>
      </c>
      <c r="EY81" t="s">
        <v>442</v>
      </c>
      <c r="EZ81">
        <v>41.214289999999998</v>
      </c>
      <c r="FA81">
        <v>1.55141</v>
      </c>
      <c r="FB81" t="s">
        <v>442</v>
      </c>
      <c r="FC81">
        <v>1.31918</v>
      </c>
      <c r="FD81">
        <v>0.23263</v>
      </c>
      <c r="FE81" t="s">
        <v>439</v>
      </c>
      <c r="FF81">
        <v>4.8238500000000002</v>
      </c>
      <c r="FG81">
        <v>0.16117000000000001</v>
      </c>
      <c r="FH81" t="s">
        <v>441</v>
      </c>
      <c r="FK81" t="s">
        <v>440</v>
      </c>
      <c r="FN81" t="s">
        <v>440</v>
      </c>
      <c r="FO81">
        <v>12.40631</v>
      </c>
      <c r="FP81">
        <v>0.38070999999999999</v>
      </c>
      <c r="FQ81" t="s">
        <v>441</v>
      </c>
      <c r="FT81" t="s">
        <v>440</v>
      </c>
      <c r="FX81">
        <v>80</v>
      </c>
    </row>
    <row r="82" spans="2:180" x14ac:dyDescent="0.2">
      <c r="B82" t="s">
        <v>148</v>
      </c>
      <c r="C82">
        <v>8.8999999999999996E-2</v>
      </c>
      <c r="D82">
        <v>3.4000000000000002E-4</v>
      </c>
      <c r="E82" t="s">
        <v>442</v>
      </c>
      <c r="F82">
        <v>1.251E-2</v>
      </c>
      <c r="G82">
        <v>3.5300000000000002E-3</v>
      </c>
      <c r="H82" t="s">
        <v>439</v>
      </c>
      <c r="I82">
        <v>1.0310600000000001</v>
      </c>
      <c r="J82">
        <v>1.9189999999999999E-2</v>
      </c>
      <c r="K82" t="s">
        <v>442</v>
      </c>
      <c r="L82">
        <v>7.8299999999999995E-2</v>
      </c>
      <c r="M82">
        <v>1.2099999999999999E-3</v>
      </c>
      <c r="N82" t="s">
        <v>442</v>
      </c>
      <c r="O82">
        <v>4.0899999999999999E-3</v>
      </c>
      <c r="P82">
        <v>8.0000000000000007E-5</v>
      </c>
      <c r="Q82" t="s">
        <v>442</v>
      </c>
      <c r="R82">
        <v>8.6379999999999998E-2</v>
      </c>
      <c r="S82">
        <v>1.24E-3</v>
      </c>
      <c r="T82" t="s">
        <v>442</v>
      </c>
      <c r="U82">
        <v>7.2999999999999996E-4</v>
      </c>
      <c r="V82">
        <v>8.0000000000000007E-5</v>
      </c>
      <c r="W82" t="s">
        <v>439</v>
      </c>
      <c r="X82">
        <v>1.04E-2</v>
      </c>
      <c r="Y82">
        <v>6.0999999999999997E-4</v>
      </c>
      <c r="Z82" t="s">
        <v>439</v>
      </c>
      <c r="AA82">
        <v>8.8499999999999995E-2</v>
      </c>
      <c r="AB82">
        <v>1.5399999999999999E-3</v>
      </c>
      <c r="AC82" t="s">
        <v>442</v>
      </c>
      <c r="AD82">
        <v>0.71940000000000004</v>
      </c>
      <c r="AE82">
        <v>1.3089999999999999E-2</v>
      </c>
      <c r="AF82" t="s">
        <v>442</v>
      </c>
      <c r="AI82" t="s">
        <v>440</v>
      </c>
      <c r="AJ82">
        <v>14.667120000000001</v>
      </c>
      <c r="AK82">
        <v>0.48731000000000002</v>
      </c>
      <c r="AL82" t="s">
        <v>441</v>
      </c>
      <c r="AM82">
        <v>76.389489999999995</v>
      </c>
      <c r="AN82">
        <v>2.3583599999999998</v>
      </c>
      <c r="AO82" t="s">
        <v>442</v>
      </c>
      <c r="AP82">
        <v>2.86E-2</v>
      </c>
      <c r="AQ82">
        <v>1.1100000000000001E-3</v>
      </c>
      <c r="AR82" t="s">
        <v>442</v>
      </c>
      <c r="AS82">
        <v>0.74880000000000002</v>
      </c>
      <c r="AT82">
        <v>1.687E-2</v>
      </c>
      <c r="AU82" t="s">
        <v>442</v>
      </c>
      <c r="AV82">
        <v>4.8300000000000001E-3</v>
      </c>
      <c r="AW82">
        <v>6.9999999999999994E-5</v>
      </c>
      <c r="AX82" t="s">
        <v>442</v>
      </c>
      <c r="AY82">
        <v>-3.14E-3</v>
      </c>
      <c r="AZ82">
        <v>1E-4</v>
      </c>
      <c r="BA82" t="s">
        <v>439</v>
      </c>
      <c r="BB82">
        <v>2.81E-3</v>
      </c>
      <c r="BC82">
        <v>1.7000000000000001E-4</v>
      </c>
      <c r="BD82" t="s">
        <v>442</v>
      </c>
      <c r="BE82">
        <v>4.0000000000000002E-4</v>
      </c>
      <c r="BF82">
        <v>2.7999999999999998E-4</v>
      </c>
      <c r="BG82" t="s">
        <v>439</v>
      </c>
      <c r="BH82">
        <v>4.6999999999999999E-4</v>
      </c>
      <c r="BI82">
        <v>5.0000000000000002E-5</v>
      </c>
      <c r="BJ82" t="s">
        <v>439</v>
      </c>
      <c r="BK82">
        <v>1.5200000000000001E-3</v>
      </c>
      <c r="BL82">
        <v>2.0000000000000002E-5</v>
      </c>
      <c r="BM82" t="s">
        <v>439</v>
      </c>
      <c r="BN82">
        <v>-3.5E-4</v>
      </c>
      <c r="BO82">
        <v>1.1E-4</v>
      </c>
      <c r="BP82" t="s">
        <v>439</v>
      </c>
      <c r="BQ82">
        <v>1.32E-3</v>
      </c>
      <c r="BR82">
        <v>4.2000000000000002E-4</v>
      </c>
      <c r="BS82" t="s">
        <v>439</v>
      </c>
      <c r="BV82" t="s">
        <v>440</v>
      </c>
      <c r="BW82">
        <v>-2.0532499999999998</v>
      </c>
      <c r="BX82">
        <v>8.0000000000000007E-5</v>
      </c>
      <c r="BY82" t="s">
        <v>439</v>
      </c>
      <c r="BZ82">
        <v>1.8380000000000001E-2</v>
      </c>
      <c r="CA82">
        <v>5.1999999999999995E-4</v>
      </c>
      <c r="CB82" t="s">
        <v>442</v>
      </c>
      <c r="CC82">
        <v>3.87256</v>
      </c>
      <c r="CD82">
        <v>0.16919000000000001</v>
      </c>
      <c r="CE82" t="s">
        <v>442</v>
      </c>
      <c r="CF82">
        <v>3.7292399999999999</v>
      </c>
      <c r="CG82">
        <v>0.14136000000000001</v>
      </c>
      <c r="CH82" t="s">
        <v>442</v>
      </c>
      <c r="CI82">
        <v>3.9577399999999998</v>
      </c>
      <c r="CJ82">
        <v>0.15104000000000001</v>
      </c>
      <c r="CK82" t="s">
        <v>442</v>
      </c>
      <c r="CL82">
        <v>0.37897999999999998</v>
      </c>
      <c r="CM82">
        <v>1.5129999999999999E-2</v>
      </c>
      <c r="CN82" t="s">
        <v>442</v>
      </c>
      <c r="CO82">
        <v>192.33062000000001</v>
      </c>
      <c r="CP82">
        <v>8.5252199999999991</v>
      </c>
      <c r="CQ82" t="s">
        <v>442</v>
      </c>
      <c r="CR82">
        <v>2.88131</v>
      </c>
      <c r="CS82">
        <v>0.14016999999999999</v>
      </c>
      <c r="CT82" t="s">
        <v>442</v>
      </c>
      <c r="CU82">
        <v>11.041460000000001</v>
      </c>
      <c r="CV82">
        <v>0.42088999999999999</v>
      </c>
      <c r="CW82" t="s">
        <v>442</v>
      </c>
      <c r="CX82">
        <v>91.868819999999999</v>
      </c>
      <c r="CY82">
        <v>3.16554</v>
      </c>
      <c r="CZ82" t="s">
        <v>442</v>
      </c>
      <c r="DA82">
        <v>70.5124</v>
      </c>
      <c r="DB82">
        <v>2.97261</v>
      </c>
      <c r="DC82" t="s">
        <v>442</v>
      </c>
      <c r="DD82">
        <v>145.78515999999999</v>
      </c>
      <c r="DE82">
        <v>4.64682</v>
      </c>
      <c r="DF82" t="s">
        <v>442</v>
      </c>
      <c r="DG82">
        <v>26.80058</v>
      </c>
      <c r="DH82">
        <v>0.94679999999999997</v>
      </c>
      <c r="DI82" t="s">
        <v>442</v>
      </c>
      <c r="DJ82">
        <v>0.13069</v>
      </c>
      <c r="DK82">
        <v>1.968E-2</v>
      </c>
      <c r="DL82" t="s">
        <v>442</v>
      </c>
      <c r="DM82">
        <v>5.7999999999999996E-3</v>
      </c>
      <c r="DN82">
        <v>3.5E-4</v>
      </c>
      <c r="DO82" t="s">
        <v>442</v>
      </c>
      <c r="DP82">
        <v>0.43886999999999998</v>
      </c>
      <c r="DQ82">
        <v>2.01E-2</v>
      </c>
      <c r="DR82" t="s">
        <v>442</v>
      </c>
      <c r="DS82">
        <v>0.76914000000000005</v>
      </c>
      <c r="DT82">
        <v>2.3650000000000001E-2</v>
      </c>
      <c r="DU82" t="s">
        <v>442</v>
      </c>
      <c r="DV82">
        <v>5.9772699999999999</v>
      </c>
      <c r="DW82">
        <v>0.32068999999999998</v>
      </c>
      <c r="DX82" t="s">
        <v>442</v>
      </c>
      <c r="DY82">
        <v>0.14996999999999999</v>
      </c>
      <c r="DZ82">
        <v>8.2299999999999995E-3</v>
      </c>
      <c r="EA82" t="s">
        <v>442</v>
      </c>
      <c r="EB82">
        <v>1.0201</v>
      </c>
      <c r="EC82">
        <v>3.1419999999999997E-2</v>
      </c>
      <c r="ED82" t="s">
        <v>442</v>
      </c>
      <c r="EE82">
        <v>3.3700899999999998</v>
      </c>
      <c r="EF82">
        <v>0.10524</v>
      </c>
      <c r="EG82" t="s">
        <v>442</v>
      </c>
      <c r="EH82">
        <v>987.77030000000002</v>
      </c>
      <c r="EI82">
        <v>39.371850000000002</v>
      </c>
      <c r="EJ82" t="s">
        <v>442</v>
      </c>
      <c r="EM82" t="s">
        <v>440</v>
      </c>
      <c r="EN82">
        <v>16.135439999999999</v>
      </c>
      <c r="EO82">
        <v>0.63034999999999997</v>
      </c>
      <c r="EP82" t="s">
        <v>442</v>
      </c>
      <c r="ES82" t="s">
        <v>440</v>
      </c>
      <c r="ET82">
        <v>308.44189</v>
      </c>
      <c r="EU82">
        <v>10.941649999999999</v>
      </c>
      <c r="EV82" t="s">
        <v>442</v>
      </c>
      <c r="EW82">
        <v>3.5839999999999997E-2</v>
      </c>
      <c r="EX82">
        <v>9.6699999999999998E-3</v>
      </c>
      <c r="EY82" t="s">
        <v>442</v>
      </c>
      <c r="EZ82">
        <v>82.12903</v>
      </c>
      <c r="FA82">
        <v>3.4439700000000002</v>
      </c>
      <c r="FB82" t="s">
        <v>442</v>
      </c>
      <c r="FC82">
        <v>1.2089799999999999</v>
      </c>
      <c r="FD82">
        <v>0.30819000000000002</v>
      </c>
      <c r="FE82" t="s">
        <v>439</v>
      </c>
      <c r="FF82">
        <v>4.2993899999999998</v>
      </c>
      <c r="FG82">
        <v>0.65315999999999996</v>
      </c>
      <c r="FH82" t="s">
        <v>441</v>
      </c>
      <c r="FK82" t="s">
        <v>440</v>
      </c>
      <c r="FN82" t="s">
        <v>440</v>
      </c>
      <c r="FO82">
        <v>17.0701</v>
      </c>
      <c r="FP82">
        <v>0.54530000000000001</v>
      </c>
      <c r="FQ82" t="s">
        <v>441</v>
      </c>
      <c r="FT82" t="s">
        <v>440</v>
      </c>
      <c r="FX82">
        <v>81</v>
      </c>
    </row>
    <row r="83" spans="2:180" x14ac:dyDescent="0.2">
      <c r="B83" t="s">
        <v>149</v>
      </c>
      <c r="C83">
        <v>0.15557000000000001</v>
      </c>
      <c r="D83">
        <v>4.2100000000000002E-3</v>
      </c>
      <c r="E83" t="s">
        <v>442</v>
      </c>
      <c r="F83">
        <v>1.319E-2</v>
      </c>
      <c r="G83">
        <v>8.8999999999999995E-4</v>
      </c>
      <c r="H83" t="s">
        <v>439</v>
      </c>
      <c r="I83">
        <v>2.26532</v>
      </c>
      <c r="J83">
        <v>6.2960000000000002E-2</v>
      </c>
      <c r="K83" t="s">
        <v>442</v>
      </c>
      <c r="L83">
        <v>0.13927</v>
      </c>
      <c r="M83">
        <v>4.2300000000000003E-3</v>
      </c>
      <c r="N83" t="s">
        <v>442</v>
      </c>
      <c r="O83">
        <v>4.8500000000000001E-3</v>
      </c>
      <c r="P83">
        <v>1E-4</v>
      </c>
      <c r="Q83" t="s">
        <v>442</v>
      </c>
      <c r="R83">
        <v>0.18032000000000001</v>
      </c>
      <c r="S83">
        <v>2.0699999999999998E-3</v>
      </c>
      <c r="T83" t="s">
        <v>442</v>
      </c>
      <c r="U83">
        <v>8.0000000000000004E-4</v>
      </c>
      <c r="V83">
        <v>4.0000000000000003E-5</v>
      </c>
      <c r="W83" t="s">
        <v>439</v>
      </c>
      <c r="X83">
        <v>1.123E-2</v>
      </c>
      <c r="Y83">
        <v>3.6999999999999999E-4</v>
      </c>
      <c r="Z83" t="s">
        <v>439</v>
      </c>
      <c r="AA83">
        <v>0.14185</v>
      </c>
      <c r="AB83">
        <v>4.7499999999999999E-3</v>
      </c>
      <c r="AC83" t="s">
        <v>442</v>
      </c>
      <c r="AD83">
        <v>1.32063</v>
      </c>
      <c r="AE83">
        <v>4.8750000000000002E-2</v>
      </c>
      <c r="AF83" t="s">
        <v>442</v>
      </c>
      <c r="AI83" t="s">
        <v>440</v>
      </c>
      <c r="AJ83">
        <v>26.813130000000001</v>
      </c>
      <c r="AK83">
        <v>0.86238999999999999</v>
      </c>
      <c r="AL83" t="s">
        <v>441</v>
      </c>
      <c r="AM83">
        <v>144.30015</v>
      </c>
      <c r="AN83">
        <v>4.8567</v>
      </c>
      <c r="AO83" t="s">
        <v>442</v>
      </c>
      <c r="AP83">
        <v>7.8390000000000001E-2</v>
      </c>
      <c r="AQ83">
        <v>3.0300000000000001E-3</v>
      </c>
      <c r="AR83" t="s">
        <v>442</v>
      </c>
      <c r="AS83">
        <v>5.2517899999999997</v>
      </c>
      <c r="AT83">
        <v>0.15278</v>
      </c>
      <c r="AU83" t="s">
        <v>442</v>
      </c>
      <c r="AV83">
        <v>9.7400000000000004E-3</v>
      </c>
      <c r="AW83">
        <v>6.9999999999999994E-5</v>
      </c>
      <c r="AX83" t="s">
        <v>442</v>
      </c>
      <c r="AY83">
        <v>-2.5000000000000001E-3</v>
      </c>
      <c r="AZ83">
        <v>6.9999999999999994E-5</v>
      </c>
      <c r="BA83" t="s">
        <v>439</v>
      </c>
      <c r="BB83">
        <v>3.0200000000000001E-3</v>
      </c>
      <c r="BC83">
        <v>8.0000000000000007E-5</v>
      </c>
      <c r="BD83" t="s">
        <v>442</v>
      </c>
      <c r="BE83">
        <v>4.0999999999999999E-4</v>
      </c>
      <c r="BF83">
        <v>2.9999999999999997E-4</v>
      </c>
      <c r="BG83" t="s">
        <v>439</v>
      </c>
      <c r="BH83">
        <v>4.2999999999999999E-4</v>
      </c>
      <c r="BI83">
        <v>2.4000000000000001E-4</v>
      </c>
      <c r="BJ83" t="s">
        <v>439</v>
      </c>
      <c r="BK83">
        <v>1.5399999999999999E-3</v>
      </c>
      <c r="BL83">
        <v>3.0000000000000001E-5</v>
      </c>
      <c r="BM83" t="s">
        <v>439</v>
      </c>
      <c r="BN83">
        <v>-1.9000000000000001E-4</v>
      </c>
      <c r="BO83">
        <v>1.2999999999999999E-4</v>
      </c>
      <c r="BP83" t="s">
        <v>439</v>
      </c>
      <c r="BQ83">
        <v>1.508E-2</v>
      </c>
      <c r="BR83">
        <v>8.0000000000000004E-4</v>
      </c>
      <c r="BS83" t="s">
        <v>442</v>
      </c>
      <c r="BV83" t="s">
        <v>440</v>
      </c>
      <c r="BW83">
        <v>-2.0534400000000002</v>
      </c>
      <c r="BX83">
        <v>1.2999999999999999E-4</v>
      </c>
      <c r="BY83" t="s">
        <v>439</v>
      </c>
      <c r="BZ83">
        <v>2.4E-2</v>
      </c>
      <c r="CA83">
        <v>1.1000000000000001E-3</v>
      </c>
      <c r="CB83" t="s">
        <v>442</v>
      </c>
      <c r="CC83">
        <v>8.3190500000000007</v>
      </c>
      <c r="CD83">
        <v>0.30689</v>
      </c>
      <c r="CE83" t="s">
        <v>442</v>
      </c>
      <c r="CF83">
        <v>8.0562100000000001</v>
      </c>
      <c r="CG83">
        <v>0.25259999999999999</v>
      </c>
      <c r="CH83" t="s">
        <v>442</v>
      </c>
      <c r="CI83">
        <v>7.8876099999999996</v>
      </c>
      <c r="CJ83">
        <v>0.24660000000000001</v>
      </c>
      <c r="CK83" t="s">
        <v>442</v>
      </c>
      <c r="CL83">
        <v>0.76742999999999995</v>
      </c>
      <c r="CM83">
        <v>2.3349999999999999E-2</v>
      </c>
      <c r="CN83" t="s">
        <v>442</v>
      </c>
      <c r="CO83">
        <v>386.36248999999998</v>
      </c>
      <c r="CP83">
        <v>4.1954500000000001</v>
      </c>
      <c r="CQ83" t="s">
        <v>442</v>
      </c>
      <c r="CR83">
        <v>1.90924</v>
      </c>
      <c r="CS83">
        <v>1.111E-2</v>
      </c>
      <c r="CT83" t="s">
        <v>442</v>
      </c>
      <c r="CU83">
        <v>8.7223199999999999</v>
      </c>
      <c r="CV83">
        <v>2.6939999999999999E-2</v>
      </c>
      <c r="CW83" t="s">
        <v>442</v>
      </c>
      <c r="CX83">
        <v>149.22582</v>
      </c>
      <c r="CY83">
        <v>1.89863</v>
      </c>
      <c r="CZ83" t="s">
        <v>442</v>
      </c>
      <c r="DA83">
        <v>120.36114999999999</v>
      </c>
      <c r="DB83">
        <v>3.19259</v>
      </c>
      <c r="DC83" t="s">
        <v>442</v>
      </c>
      <c r="DD83">
        <v>290.73313999999999</v>
      </c>
      <c r="DE83">
        <v>5.4937899999999997</v>
      </c>
      <c r="DF83" t="s">
        <v>442</v>
      </c>
      <c r="DG83">
        <v>41.485469999999999</v>
      </c>
      <c r="DH83">
        <v>0.35670000000000002</v>
      </c>
      <c r="DI83" t="s">
        <v>442</v>
      </c>
      <c r="DJ83">
        <v>0.15437000000000001</v>
      </c>
      <c r="DK83">
        <v>1.7919999999999998E-2</v>
      </c>
      <c r="DL83" t="s">
        <v>442</v>
      </c>
      <c r="DM83">
        <v>9.8300000000000002E-3</v>
      </c>
      <c r="DN83">
        <v>2.0500000000000002E-3</v>
      </c>
      <c r="DO83" t="s">
        <v>442</v>
      </c>
      <c r="DP83">
        <v>0.67722000000000004</v>
      </c>
      <c r="DQ83">
        <v>2.4219999999999998E-2</v>
      </c>
      <c r="DR83" t="s">
        <v>442</v>
      </c>
      <c r="DS83">
        <v>1.56192</v>
      </c>
      <c r="DT83">
        <v>4.7239999999999997E-2</v>
      </c>
      <c r="DU83" t="s">
        <v>442</v>
      </c>
      <c r="DV83">
        <v>48.212519999999998</v>
      </c>
      <c r="DW83">
        <v>0.87472000000000005</v>
      </c>
      <c r="DX83" t="s">
        <v>442</v>
      </c>
      <c r="DY83">
        <v>0.24965000000000001</v>
      </c>
      <c r="DZ83">
        <v>3.1700000000000001E-3</v>
      </c>
      <c r="EA83" t="s">
        <v>442</v>
      </c>
      <c r="EB83">
        <v>0.76719999999999999</v>
      </c>
      <c r="EC83">
        <v>1.7229999999999999E-2</v>
      </c>
      <c r="ED83" t="s">
        <v>442</v>
      </c>
      <c r="EE83">
        <v>5.6954200000000004</v>
      </c>
      <c r="EF83">
        <v>0.12058000000000001</v>
      </c>
      <c r="EG83" t="s">
        <v>442</v>
      </c>
      <c r="EH83">
        <v>1975.1095299999999</v>
      </c>
      <c r="EI83">
        <v>40.546959999999999</v>
      </c>
      <c r="EJ83" t="s">
        <v>442</v>
      </c>
      <c r="EM83" t="s">
        <v>440</v>
      </c>
      <c r="EN83">
        <v>29.581340000000001</v>
      </c>
      <c r="EO83">
        <v>0.46704000000000001</v>
      </c>
      <c r="EP83" t="s">
        <v>442</v>
      </c>
      <c r="ES83" t="s">
        <v>440</v>
      </c>
      <c r="ET83">
        <v>652.14440999999999</v>
      </c>
      <c r="EU83">
        <v>13.84811</v>
      </c>
      <c r="EV83" t="s">
        <v>442</v>
      </c>
      <c r="EW83">
        <v>8.9969999999999994E-2</v>
      </c>
      <c r="EX83">
        <v>1.3860000000000001E-2</v>
      </c>
      <c r="EY83" t="s">
        <v>442</v>
      </c>
      <c r="EZ83">
        <v>133.1172</v>
      </c>
      <c r="FA83">
        <v>0.60755999999999999</v>
      </c>
      <c r="FB83" t="s">
        <v>442</v>
      </c>
      <c r="FC83">
        <v>1.24996</v>
      </c>
      <c r="FD83">
        <v>8.7040000000000006E-2</v>
      </c>
      <c r="FE83" t="s">
        <v>439</v>
      </c>
      <c r="FF83">
        <v>3.42991</v>
      </c>
      <c r="FG83">
        <v>0.24099000000000001</v>
      </c>
      <c r="FH83" t="s">
        <v>441</v>
      </c>
      <c r="FK83" t="s">
        <v>440</v>
      </c>
      <c r="FN83" t="s">
        <v>440</v>
      </c>
      <c r="FO83">
        <v>31.365600000000001</v>
      </c>
      <c r="FP83">
        <v>0.87387999999999999</v>
      </c>
      <c r="FQ83" t="s">
        <v>441</v>
      </c>
      <c r="FT83" t="s">
        <v>440</v>
      </c>
      <c r="FX83">
        <v>82</v>
      </c>
    </row>
    <row r="84" spans="2:180" x14ac:dyDescent="0.2">
      <c r="B84" t="s">
        <v>150</v>
      </c>
      <c r="C84">
        <v>0.29287000000000002</v>
      </c>
      <c r="D84">
        <v>4.2199999999999998E-3</v>
      </c>
      <c r="E84" t="s">
        <v>442</v>
      </c>
      <c r="F84">
        <v>9.9399999999999992E-3</v>
      </c>
      <c r="G84">
        <v>2.16E-3</v>
      </c>
      <c r="H84" t="s">
        <v>439</v>
      </c>
      <c r="I84">
        <v>4.5511400000000002</v>
      </c>
      <c r="J84">
        <v>4.3810000000000002E-2</v>
      </c>
      <c r="K84" t="s">
        <v>442</v>
      </c>
      <c r="L84">
        <v>0.10052</v>
      </c>
      <c r="M84">
        <v>1.81E-3</v>
      </c>
      <c r="N84" t="s">
        <v>442</v>
      </c>
      <c r="O84">
        <v>3.81E-3</v>
      </c>
      <c r="P84">
        <v>6.0000000000000002E-5</v>
      </c>
      <c r="Q84" t="s">
        <v>442</v>
      </c>
      <c r="R84">
        <v>0.25857000000000002</v>
      </c>
      <c r="S84">
        <v>4.1700000000000001E-3</v>
      </c>
      <c r="T84" t="s">
        <v>442</v>
      </c>
      <c r="U84">
        <v>1.0399999999999999E-3</v>
      </c>
      <c r="V84">
        <v>1.2999999999999999E-4</v>
      </c>
      <c r="W84" t="s">
        <v>439</v>
      </c>
      <c r="X84">
        <v>1.115E-2</v>
      </c>
      <c r="Y84">
        <v>5.9000000000000003E-4</v>
      </c>
      <c r="Z84" t="s">
        <v>439</v>
      </c>
      <c r="AA84">
        <v>0.31920999999999999</v>
      </c>
      <c r="AB84">
        <v>4.5599999999999998E-3</v>
      </c>
      <c r="AC84" t="s">
        <v>442</v>
      </c>
      <c r="AD84">
        <v>2.2885</v>
      </c>
      <c r="AE84">
        <v>3.5130000000000002E-2</v>
      </c>
      <c r="AF84" t="s">
        <v>442</v>
      </c>
      <c r="AI84" t="s">
        <v>440</v>
      </c>
      <c r="AJ84">
        <v>45.313090000000003</v>
      </c>
      <c r="AK84">
        <v>0.91954000000000002</v>
      </c>
      <c r="AL84" t="s">
        <v>441</v>
      </c>
      <c r="AM84">
        <v>263.4717</v>
      </c>
      <c r="AN84">
        <v>6.4533100000000001</v>
      </c>
      <c r="AO84" t="s">
        <v>442</v>
      </c>
      <c r="AP84">
        <v>0.1812</v>
      </c>
      <c r="AQ84">
        <v>3.98E-3</v>
      </c>
      <c r="AR84" t="s">
        <v>442</v>
      </c>
      <c r="AS84">
        <v>6.6830999999999996</v>
      </c>
      <c r="AT84">
        <v>4.197E-2</v>
      </c>
      <c r="AU84" t="s">
        <v>442</v>
      </c>
      <c r="AV84">
        <v>1.8450000000000001E-2</v>
      </c>
      <c r="AW84">
        <v>2.4000000000000001E-4</v>
      </c>
      <c r="AX84" t="s">
        <v>442</v>
      </c>
      <c r="AY84">
        <v>-2.7899999999999999E-3</v>
      </c>
      <c r="AZ84">
        <v>5.0000000000000002E-5</v>
      </c>
      <c r="BA84" t="s">
        <v>439</v>
      </c>
      <c r="BB84">
        <v>2.9399999999999999E-3</v>
      </c>
      <c r="BC84">
        <v>2.5000000000000001E-4</v>
      </c>
      <c r="BD84" t="s">
        <v>442</v>
      </c>
      <c r="BE84">
        <v>2.7E-4</v>
      </c>
      <c r="BF84">
        <v>1.8000000000000001E-4</v>
      </c>
      <c r="BG84" t="s">
        <v>439</v>
      </c>
      <c r="BH84">
        <v>2.5000000000000001E-4</v>
      </c>
      <c r="BI84">
        <v>1.2E-4</v>
      </c>
      <c r="BJ84" t="s">
        <v>439</v>
      </c>
      <c r="BK84">
        <v>1.5100000000000001E-3</v>
      </c>
      <c r="BL84">
        <v>2.0000000000000002E-5</v>
      </c>
      <c r="BM84" t="s">
        <v>439</v>
      </c>
      <c r="BN84">
        <v>-1E-4</v>
      </c>
      <c r="BO84">
        <v>1.1E-4</v>
      </c>
      <c r="BP84" t="s">
        <v>439</v>
      </c>
      <c r="BQ84">
        <v>3.3180000000000001E-2</v>
      </c>
      <c r="BR84">
        <v>1.3600000000000001E-3</v>
      </c>
      <c r="BS84" t="s">
        <v>442</v>
      </c>
      <c r="BV84" t="s">
        <v>440</v>
      </c>
      <c r="BW84">
        <v>-2.05375</v>
      </c>
      <c r="BX84">
        <v>1.4999999999999999E-4</v>
      </c>
      <c r="BY84" t="s">
        <v>439</v>
      </c>
      <c r="BZ84">
        <v>4.9639999999999997E-2</v>
      </c>
      <c r="CA84">
        <v>2.0000000000000001E-4</v>
      </c>
      <c r="CB84" t="s">
        <v>442</v>
      </c>
      <c r="CC84">
        <v>13.96518</v>
      </c>
      <c r="CD84">
        <v>0.46250000000000002</v>
      </c>
      <c r="CE84" t="s">
        <v>442</v>
      </c>
      <c r="CF84">
        <v>13.56038</v>
      </c>
      <c r="CG84">
        <v>0.30532999999999999</v>
      </c>
      <c r="CH84" t="s">
        <v>442</v>
      </c>
      <c r="CI84">
        <v>13.856920000000001</v>
      </c>
      <c r="CJ84">
        <v>0.37758000000000003</v>
      </c>
      <c r="CK84" t="s">
        <v>442</v>
      </c>
      <c r="CL84">
        <v>1.96946</v>
      </c>
      <c r="CM84">
        <v>3.8469999999999997E-2</v>
      </c>
      <c r="CN84" t="s">
        <v>442</v>
      </c>
      <c r="CO84">
        <v>757.23248000000001</v>
      </c>
      <c r="CP84">
        <v>6.8583999999999996</v>
      </c>
      <c r="CQ84" t="s">
        <v>442</v>
      </c>
      <c r="CR84">
        <v>1.6955800000000001</v>
      </c>
      <c r="CS84">
        <v>2.1129999999999999E-2</v>
      </c>
      <c r="CT84" t="s">
        <v>442</v>
      </c>
      <c r="CU84">
        <v>3.0640800000000001</v>
      </c>
      <c r="CV84">
        <v>5.8470000000000001E-2</v>
      </c>
      <c r="CW84" t="s">
        <v>442</v>
      </c>
      <c r="CX84">
        <v>271.88184000000001</v>
      </c>
      <c r="CY84">
        <v>2.0971099999999998</v>
      </c>
      <c r="CZ84" t="s">
        <v>442</v>
      </c>
      <c r="DA84">
        <v>161.48268999999999</v>
      </c>
      <c r="DB84">
        <v>1.4110199999999999</v>
      </c>
      <c r="DC84" t="s">
        <v>442</v>
      </c>
      <c r="DD84">
        <v>636.36689000000001</v>
      </c>
      <c r="DE84">
        <v>1.1389</v>
      </c>
      <c r="DF84" t="s">
        <v>442</v>
      </c>
      <c r="DG84">
        <v>26.637899999999998</v>
      </c>
      <c r="DH84">
        <v>0.25480999999999998</v>
      </c>
      <c r="DI84" t="s">
        <v>442</v>
      </c>
      <c r="DJ84">
        <v>6.0130000000000003E-2</v>
      </c>
      <c r="DK84">
        <v>4.7099999999999998E-3</v>
      </c>
      <c r="DL84" t="s">
        <v>442</v>
      </c>
      <c r="DM84">
        <v>6.9199999999999999E-3</v>
      </c>
      <c r="DN84">
        <v>2.9999999999999997E-4</v>
      </c>
      <c r="DO84" t="s">
        <v>442</v>
      </c>
      <c r="DP84">
        <v>0.35771999999999998</v>
      </c>
      <c r="DQ84">
        <v>5.1799999999999997E-3</v>
      </c>
      <c r="DR84" t="s">
        <v>442</v>
      </c>
      <c r="DS84">
        <v>1.46949</v>
      </c>
      <c r="DT84">
        <v>4.4970000000000003E-2</v>
      </c>
      <c r="DU84" t="s">
        <v>442</v>
      </c>
      <c r="DV84">
        <v>10.58254</v>
      </c>
      <c r="DW84">
        <v>0.14121</v>
      </c>
      <c r="DX84" t="s">
        <v>442</v>
      </c>
      <c r="DY84">
        <v>0.42605999999999999</v>
      </c>
      <c r="DZ84">
        <v>1.6100000000000001E-3</v>
      </c>
      <c r="EA84" t="s">
        <v>442</v>
      </c>
      <c r="EB84">
        <v>1.0563800000000001</v>
      </c>
      <c r="EC84">
        <v>5.0259999999999999E-2</v>
      </c>
      <c r="ED84" t="s">
        <v>442</v>
      </c>
      <c r="EE84">
        <v>9.3539700000000003</v>
      </c>
      <c r="EF84">
        <v>7.9339999999999994E-2</v>
      </c>
      <c r="EG84" t="s">
        <v>442</v>
      </c>
      <c r="EH84">
        <v>3764.0075299999999</v>
      </c>
      <c r="EI84">
        <v>41.502839999999999</v>
      </c>
      <c r="EJ84" t="s">
        <v>442</v>
      </c>
      <c r="EM84" t="s">
        <v>440</v>
      </c>
      <c r="EN84">
        <v>55.067999999999998</v>
      </c>
      <c r="EO84">
        <v>0.31470999999999999</v>
      </c>
      <c r="EP84" t="s">
        <v>442</v>
      </c>
      <c r="ES84" t="s">
        <v>440</v>
      </c>
      <c r="ET84">
        <v>1307.2309499999999</v>
      </c>
      <c r="EU84">
        <v>14.93477</v>
      </c>
      <c r="EV84" t="s">
        <v>442</v>
      </c>
      <c r="EW84">
        <v>0.25065999999999999</v>
      </c>
      <c r="EX84">
        <v>2.0660000000000001E-2</v>
      </c>
      <c r="EY84" t="s">
        <v>442</v>
      </c>
      <c r="EZ84">
        <v>164.77811</v>
      </c>
      <c r="FA84">
        <v>0.13078000000000001</v>
      </c>
      <c r="FB84" t="s">
        <v>442</v>
      </c>
      <c r="FC84">
        <v>2.7030500000000002</v>
      </c>
      <c r="FD84">
        <v>0.34286</v>
      </c>
      <c r="FE84" t="s">
        <v>442</v>
      </c>
      <c r="FF84">
        <v>5.7570600000000001</v>
      </c>
      <c r="FG84">
        <v>0.14274999999999999</v>
      </c>
      <c r="FH84" t="s">
        <v>441</v>
      </c>
      <c r="FK84" t="s">
        <v>440</v>
      </c>
      <c r="FN84" t="s">
        <v>440</v>
      </c>
      <c r="FO84">
        <v>54.157380000000003</v>
      </c>
      <c r="FP84">
        <v>1.03738</v>
      </c>
      <c r="FQ84" t="s">
        <v>441</v>
      </c>
      <c r="FT84" t="s">
        <v>440</v>
      </c>
      <c r="FX84">
        <v>83</v>
      </c>
    </row>
    <row r="85" spans="2:180" x14ac:dyDescent="0.2">
      <c r="B85" t="s">
        <v>151</v>
      </c>
      <c r="C85">
        <v>1.14676</v>
      </c>
      <c r="D85">
        <v>1.6150000000000001E-2</v>
      </c>
      <c r="E85" t="s">
        <v>443</v>
      </c>
      <c r="F85">
        <v>1.1691100000000001</v>
      </c>
      <c r="G85">
        <v>9.0699999999999999E-3</v>
      </c>
      <c r="H85" t="s">
        <v>443</v>
      </c>
      <c r="I85">
        <v>1.1419900000000001</v>
      </c>
      <c r="J85">
        <v>1.448E-2</v>
      </c>
      <c r="K85" t="s">
        <v>443</v>
      </c>
      <c r="L85">
        <v>1.18266</v>
      </c>
      <c r="M85">
        <v>1.099E-2</v>
      </c>
      <c r="N85" t="s">
        <v>443</v>
      </c>
      <c r="O85">
        <v>1.17072</v>
      </c>
      <c r="P85">
        <v>7.0299999999999998E-3</v>
      </c>
      <c r="Q85" t="s">
        <v>443</v>
      </c>
      <c r="R85">
        <v>1.1261000000000001</v>
      </c>
      <c r="S85">
        <v>2.1420000000000002E-2</v>
      </c>
      <c r="T85" t="s">
        <v>443</v>
      </c>
      <c r="U85">
        <v>1.15642</v>
      </c>
      <c r="V85">
        <v>1.451E-2</v>
      </c>
      <c r="W85" t="s">
        <v>443</v>
      </c>
      <c r="X85">
        <v>1.1134299999999999</v>
      </c>
      <c r="Y85">
        <v>2.7499999999999998E-3</v>
      </c>
      <c r="Z85" t="s">
        <v>443</v>
      </c>
      <c r="AA85">
        <v>1.13866</v>
      </c>
      <c r="AB85">
        <v>5.7999999999999996E-3</v>
      </c>
      <c r="AC85" t="s">
        <v>443</v>
      </c>
      <c r="AD85">
        <v>1.1359600000000001</v>
      </c>
      <c r="AE85">
        <v>4.6100000000000004E-3</v>
      </c>
      <c r="AF85" t="s">
        <v>443</v>
      </c>
      <c r="AI85" t="s">
        <v>440</v>
      </c>
      <c r="AJ85">
        <v>1.13523</v>
      </c>
      <c r="AK85">
        <v>5.0099999999999997E-3</v>
      </c>
      <c r="AL85" t="s">
        <v>444</v>
      </c>
      <c r="AM85">
        <v>1.20892</v>
      </c>
      <c r="AN85">
        <v>1.282E-2</v>
      </c>
      <c r="AO85" t="s">
        <v>443</v>
      </c>
      <c r="AP85">
        <v>1.17072</v>
      </c>
      <c r="AQ85">
        <v>2.2329999999999999E-2</v>
      </c>
      <c r="AR85" t="s">
        <v>443</v>
      </c>
      <c r="AS85">
        <v>4.0063399999999998</v>
      </c>
      <c r="AT85">
        <v>9.4399999999999998E-2</v>
      </c>
      <c r="AU85" t="s">
        <v>443</v>
      </c>
      <c r="AV85">
        <v>1.1797599999999999</v>
      </c>
      <c r="AW85">
        <v>2.7560000000000001E-2</v>
      </c>
      <c r="AX85" t="s">
        <v>443</v>
      </c>
      <c r="AY85">
        <v>1.17605</v>
      </c>
      <c r="AZ85">
        <v>3.9629999999999999E-2</v>
      </c>
      <c r="BA85" t="s">
        <v>443</v>
      </c>
      <c r="BB85">
        <v>1.1732499999999999</v>
      </c>
      <c r="BC85">
        <v>3.048E-2</v>
      </c>
      <c r="BD85" t="s">
        <v>443</v>
      </c>
      <c r="BE85">
        <v>1.1753400000000001</v>
      </c>
      <c r="BF85">
        <v>1.721E-2</v>
      </c>
      <c r="BG85" t="s">
        <v>443</v>
      </c>
      <c r="BH85">
        <v>1.16675</v>
      </c>
      <c r="BI85">
        <v>1.542E-2</v>
      </c>
      <c r="BJ85" t="s">
        <v>443</v>
      </c>
      <c r="BK85">
        <v>1.22892</v>
      </c>
      <c r="BL85">
        <v>2.256E-2</v>
      </c>
      <c r="BM85" t="s">
        <v>443</v>
      </c>
      <c r="BN85">
        <v>1.19425</v>
      </c>
      <c r="BO85">
        <v>2.3539999999999998E-2</v>
      </c>
      <c r="BP85" t="s">
        <v>443</v>
      </c>
      <c r="BQ85">
        <v>1.19024</v>
      </c>
      <c r="BR85">
        <v>1.9939999999999999E-2</v>
      </c>
      <c r="BS85" t="s">
        <v>443</v>
      </c>
      <c r="BV85" t="s">
        <v>440</v>
      </c>
      <c r="BW85">
        <v>-1.19224</v>
      </c>
      <c r="BX85">
        <v>9.0200000000000002E-3</v>
      </c>
      <c r="BY85" t="s">
        <v>445</v>
      </c>
      <c r="BZ85">
        <v>1.1441399999999999</v>
      </c>
      <c r="CA85">
        <v>1.227E-2</v>
      </c>
      <c r="CB85" t="s">
        <v>443</v>
      </c>
      <c r="CC85">
        <v>1.10541</v>
      </c>
      <c r="CD85">
        <v>2.026E-2</v>
      </c>
      <c r="CE85" t="s">
        <v>443</v>
      </c>
      <c r="CF85">
        <v>1.1064000000000001</v>
      </c>
      <c r="CG85">
        <v>8.2100000000000003E-3</v>
      </c>
      <c r="CH85" t="s">
        <v>443</v>
      </c>
      <c r="CI85">
        <v>1.1246100000000001</v>
      </c>
      <c r="CJ85">
        <v>6.94E-3</v>
      </c>
      <c r="CK85" t="s">
        <v>443</v>
      </c>
      <c r="CL85">
        <v>1.2030000000000001</v>
      </c>
      <c r="CM85">
        <v>6.11E-3</v>
      </c>
      <c r="CN85" t="s">
        <v>443</v>
      </c>
      <c r="CO85">
        <v>7.4559100000000003</v>
      </c>
      <c r="CP85">
        <v>0.11859</v>
      </c>
      <c r="CQ85" t="s">
        <v>443</v>
      </c>
      <c r="CR85">
        <v>8.0082299999999993</v>
      </c>
      <c r="CS85">
        <v>3.7990000000000003E-2</v>
      </c>
      <c r="CT85" t="s">
        <v>443</v>
      </c>
      <c r="CU85">
        <v>3.94123</v>
      </c>
      <c r="CV85">
        <v>6.3799999999999996E-2</v>
      </c>
      <c r="CW85" t="s">
        <v>443</v>
      </c>
      <c r="CX85">
        <v>8.8891100000000005</v>
      </c>
      <c r="CY85">
        <v>0.48115000000000002</v>
      </c>
      <c r="CZ85" t="s">
        <v>443</v>
      </c>
      <c r="DA85">
        <v>1.30315</v>
      </c>
      <c r="DB85">
        <v>2.002E-2</v>
      </c>
      <c r="DC85" t="s">
        <v>443</v>
      </c>
      <c r="DD85">
        <v>22.484549999999999</v>
      </c>
      <c r="DE85">
        <v>0.24654999999999999</v>
      </c>
      <c r="DF85" t="s">
        <v>443</v>
      </c>
      <c r="DG85">
        <v>8.5654599999999999</v>
      </c>
      <c r="DH85">
        <v>8.8340000000000002E-2</v>
      </c>
      <c r="DI85" t="s">
        <v>443</v>
      </c>
      <c r="DJ85">
        <v>1.1694800000000001</v>
      </c>
      <c r="DK85">
        <v>8.9200000000000008E-3</v>
      </c>
      <c r="DL85" t="s">
        <v>443</v>
      </c>
      <c r="DM85">
        <v>1.14964</v>
      </c>
      <c r="DN85">
        <v>5.8999999999999999E-3</v>
      </c>
      <c r="DO85" t="s">
        <v>443</v>
      </c>
      <c r="DP85">
        <v>1.1542399999999999</v>
      </c>
      <c r="DQ85">
        <v>3.6609999999999997E-2</v>
      </c>
      <c r="DR85" t="s">
        <v>443</v>
      </c>
      <c r="DS85">
        <v>1.12141</v>
      </c>
      <c r="DT85">
        <v>2.1250000000000002E-2</v>
      </c>
      <c r="DU85" t="s">
        <v>443</v>
      </c>
      <c r="DV85">
        <v>3.67442</v>
      </c>
      <c r="DW85">
        <v>0.17405000000000001</v>
      </c>
      <c r="DX85" t="s">
        <v>443</v>
      </c>
      <c r="DY85">
        <v>1.1385000000000001</v>
      </c>
      <c r="DZ85">
        <v>6.0720000000000003E-2</v>
      </c>
      <c r="EA85" t="s">
        <v>443</v>
      </c>
      <c r="EB85">
        <v>1.0621400000000001</v>
      </c>
      <c r="EC85">
        <v>3.3919999999999999E-2</v>
      </c>
      <c r="ED85" t="s">
        <v>443</v>
      </c>
      <c r="EE85">
        <v>1.1342099999999999</v>
      </c>
      <c r="EF85">
        <v>6.2170000000000003E-2</v>
      </c>
      <c r="EG85" t="s">
        <v>443</v>
      </c>
      <c r="EH85">
        <v>4.85609</v>
      </c>
      <c r="EI85">
        <v>0.15773999999999999</v>
      </c>
      <c r="EJ85" t="s">
        <v>443</v>
      </c>
      <c r="EM85" t="s">
        <v>440</v>
      </c>
      <c r="EN85">
        <v>1.17292</v>
      </c>
      <c r="EO85">
        <v>5.0699999999999999E-3</v>
      </c>
      <c r="EP85" t="s">
        <v>443</v>
      </c>
      <c r="ES85" t="s">
        <v>440</v>
      </c>
      <c r="ET85">
        <v>12.045629999999999</v>
      </c>
      <c r="EU85">
        <v>0.1008</v>
      </c>
      <c r="EV85" t="s">
        <v>443</v>
      </c>
      <c r="EW85">
        <v>1.47725</v>
      </c>
      <c r="EX85">
        <v>3.5720000000000002E-2</v>
      </c>
      <c r="EY85" t="s">
        <v>443</v>
      </c>
      <c r="EZ85">
        <v>1.2537</v>
      </c>
      <c r="FA85">
        <v>3.1119999999999998E-2</v>
      </c>
      <c r="FB85" t="s">
        <v>443</v>
      </c>
      <c r="FC85">
        <v>1.9424399999999999</v>
      </c>
      <c r="FD85">
        <v>0.26618999999999998</v>
      </c>
      <c r="FE85" t="s">
        <v>443</v>
      </c>
      <c r="FF85">
        <v>6.5358700000000001</v>
      </c>
      <c r="FG85">
        <v>0.24734999999999999</v>
      </c>
      <c r="FH85" t="s">
        <v>444</v>
      </c>
      <c r="FK85" t="s">
        <v>440</v>
      </c>
      <c r="FN85" t="s">
        <v>440</v>
      </c>
      <c r="FO85">
        <v>1.2053400000000001</v>
      </c>
      <c r="FP85">
        <v>3.687E-2</v>
      </c>
      <c r="FQ85" t="s">
        <v>444</v>
      </c>
      <c r="FT85" t="s">
        <v>440</v>
      </c>
      <c r="FU85">
        <v>1</v>
      </c>
      <c r="FX85">
        <v>84</v>
      </c>
    </row>
    <row r="86" spans="2:180" x14ac:dyDescent="0.2">
      <c r="B86" t="s">
        <v>152</v>
      </c>
      <c r="C86">
        <v>4.4979999999999999E-2</v>
      </c>
      <c r="D86">
        <v>2.1900000000000001E-3</v>
      </c>
      <c r="E86" t="s">
        <v>439</v>
      </c>
      <c r="F86">
        <v>1.372E-2</v>
      </c>
      <c r="G86">
        <v>3.3400000000000001E-3</v>
      </c>
      <c r="H86" t="s">
        <v>439</v>
      </c>
      <c r="I86">
        <v>9.3799999999999994E-3</v>
      </c>
      <c r="J86">
        <v>2.4000000000000001E-4</v>
      </c>
      <c r="K86" t="s">
        <v>439</v>
      </c>
      <c r="L86">
        <v>-3.4199999999999999E-3</v>
      </c>
      <c r="M86">
        <v>8.4999999999999995E-4</v>
      </c>
      <c r="N86" t="s">
        <v>439</v>
      </c>
      <c r="O86">
        <v>3.13E-3</v>
      </c>
      <c r="P86">
        <v>2.0000000000000002E-5</v>
      </c>
      <c r="Q86" t="s">
        <v>439</v>
      </c>
      <c r="R86">
        <v>2.494E-2</v>
      </c>
      <c r="S86">
        <v>4.4999999999999999E-4</v>
      </c>
      <c r="T86" t="s">
        <v>439</v>
      </c>
      <c r="U86">
        <v>7.5000000000000002E-4</v>
      </c>
      <c r="V86">
        <v>1.3999999999999999E-4</v>
      </c>
      <c r="W86" t="s">
        <v>439</v>
      </c>
      <c r="X86">
        <v>1.1480000000000001E-2</v>
      </c>
      <c r="Y86">
        <v>1.6100000000000001E-3</v>
      </c>
      <c r="Z86" t="s">
        <v>439</v>
      </c>
      <c r="AA86">
        <v>7.5700000000000003E-3</v>
      </c>
      <c r="AB86">
        <v>8.7000000000000001E-4</v>
      </c>
      <c r="AC86" t="s">
        <v>439</v>
      </c>
      <c r="AD86">
        <v>8.3000000000000001E-4</v>
      </c>
      <c r="AE86">
        <v>4.6999999999999999E-4</v>
      </c>
      <c r="AF86" t="s">
        <v>439</v>
      </c>
      <c r="AI86" t="s">
        <v>440</v>
      </c>
      <c r="AJ86">
        <v>5.0750000000000003E-2</v>
      </c>
      <c r="AK86">
        <v>2.5999999999999998E-4</v>
      </c>
      <c r="AL86" t="s">
        <v>441</v>
      </c>
      <c r="AM86">
        <v>6.6989999999999994E-2</v>
      </c>
      <c r="AN86">
        <v>9.7999999999999997E-4</v>
      </c>
      <c r="AO86" t="s">
        <v>439</v>
      </c>
      <c r="AP86">
        <v>-1.439E-2</v>
      </c>
      <c r="AQ86">
        <v>6.0000000000000002E-5</v>
      </c>
      <c r="AR86" t="s">
        <v>439</v>
      </c>
      <c r="AS86">
        <v>3.5970000000000002E-2</v>
      </c>
      <c r="AT86">
        <v>2.2100000000000002E-3</v>
      </c>
      <c r="AU86" t="s">
        <v>439</v>
      </c>
      <c r="AV86">
        <v>-1.8500000000000001E-3</v>
      </c>
      <c r="AW86">
        <v>6.0000000000000002E-5</v>
      </c>
      <c r="AX86" t="s">
        <v>439</v>
      </c>
      <c r="AY86">
        <v>-5.4599999999999996E-3</v>
      </c>
      <c r="AZ86">
        <v>6.0000000000000002E-5</v>
      </c>
      <c r="BA86" t="s">
        <v>439</v>
      </c>
      <c r="BB86">
        <v>1.9E-3</v>
      </c>
      <c r="BC86">
        <v>2.4000000000000001E-4</v>
      </c>
      <c r="BD86" t="s">
        <v>439</v>
      </c>
      <c r="BE86">
        <v>8.5999999999999998E-4</v>
      </c>
      <c r="BF86">
        <v>6.0000000000000002E-5</v>
      </c>
      <c r="BG86" t="s">
        <v>439</v>
      </c>
      <c r="BH86">
        <v>1.9000000000000001E-4</v>
      </c>
      <c r="BI86">
        <v>4.0000000000000003E-5</v>
      </c>
      <c r="BJ86" t="s">
        <v>439</v>
      </c>
      <c r="BK86">
        <v>1.6000000000000001E-3</v>
      </c>
      <c r="BL86">
        <v>8.0000000000000007E-5</v>
      </c>
      <c r="BM86" t="s">
        <v>439</v>
      </c>
      <c r="BN86">
        <v>-4.2999999999999999E-4</v>
      </c>
      <c r="BO86">
        <v>8.0000000000000007E-5</v>
      </c>
      <c r="BP86" t="s">
        <v>439</v>
      </c>
      <c r="BQ86">
        <v>-4.1599999999999996E-3</v>
      </c>
      <c r="BR86">
        <v>6.7000000000000002E-4</v>
      </c>
      <c r="BS86" t="s">
        <v>439</v>
      </c>
      <c r="BV86" t="s">
        <v>440</v>
      </c>
      <c r="BW86">
        <v>-2.05261</v>
      </c>
      <c r="BX86">
        <v>4.2000000000000002E-4</v>
      </c>
      <c r="BY86" t="s">
        <v>439</v>
      </c>
      <c r="BZ86">
        <v>2.9399999999999999E-3</v>
      </c>
      <c r="CA86">
        <v>2.0000000000000002E-5</v>
      </c>
      <c r="CB86" t="s">
        <v>439</v>
      </c>
      <c r="CC86">
        <v>-3.7139999999999999E-2</v>
      </c>
      <c r="CD86">
        <v>2.5000000000000001E-4</v>
      </c>
      <c r="CE86" t="s">
        <v>439</v>
      </c>
      <c r="CF86">
        <v>-1.4189999999999999E-2</v>
      </c>
      <c r="CG86">
        <v>1.2999999999999999E-4</v>
      </c>
      <c r="CH86" t="s">
        <v>439</v>
      </c>
      <c r="CI86">
        <v>-4.616E-2</v>
      </c>
      <c r="CJ86">
        <v>5.0000000000000002E-5</v>
      </c>
      <c r="CK86" t="s">
        <v>439</v>
      </c>
      <c r="CL86">
        <v>-9.11E-3</v>
      </c>
      <c r="CM86">
        <v>1E-4</v>
      </c>
      <c r="CN86" t="s">
        <v>439</v>
      </c>
      <c r="CO86">
        <v>-0.82150000000000001</v>
      </c>
      <c r="CP86">
        <v>1.47E-3</v>
      </c>
      <c r="CQ86" t="s">
        <v>439</v>
      </c>
      <c r="CR86">
        <v>-0.12296</v>
      </c>
      <c r="CS86">
        <v>2.96E-3</v>
      </c>
      <c r="CT86" t="s">
        <v>439</v>
      </c>
      <c r="CU86">
        <v>-0.17366999999999999</v>
      </c>
      <c r="CV86">
        <v>5.8799999999999998E-3</v>
      </c>
      <c r="CW86" t="s">
        <v>439</v>
      </c>
      <c r="CX86">
        <v>-0.49414000000000002</v>
      </c>
      <c r="CY86">
        <v>0.42653999999999997</v>
      </c>
      <c r="CZ86" t="s">
        <v>439</v>
      </c>
      <c r="DA86">
        <v>-1.7770000000000001E-2</v>
      </c>
      <c r="DB86">
        <v>9.2899999999999996E-3</v>
      </c>
      <c r="DC86" t="s">
        <v>439</v>
      </c>
      <c r="DD86">
        <v>-1.3102199999999999</v>
      </c>
      <c r="DE86">
        <v>0.18683</v>
      </c>
      <c r="DF86" t="s">
        <v>439</v>
      </c>
      <c r="DG86">
        <v>0.52871000000000001</v>
      </c>
      <c r="DH86">
        <v>0.14362</v>
      </c>
      <c r="DI86" t="s">
        <v>439</v>
      </c>
      <c r="DJ86">
        <v>-9.3100000000000006E-3</v>
      </c>
      <c r="DK86">
        <v>4.0099999999999997E-3</v>
      </c>
      <c r="DL86" t="s">
        <v>439</v>
      </c>
      <c r="DM86">
        <v>6.6E-4</v>
      </c>
      <c r="DN86">
        <v>6.9999999999999994E-5</v>
      </c>
      <c r="DO86" t="s">
        <v>439</v>
      </c>
      <c r="DP86">
        <v>-7.5799999999999999E-3</v>
      </c>
      <c r="DQ86">
        <v>6.3000000000000003E-4</v>
      </c>
      <c r="DR86" t="s">
        <v>439</v>
      </c>
      <c r="DS86">
        <v>-2.6769999999999999E-2</v>
      </c>
      <c r="DT86">
        <v>4.0000000000000003E-5</v>
      </c>
      <c r="DU86" t="s">
        <v>439</v>
      </c>
      <c r="DV86">
        <v>-0.29365999999999998</v>
      </c>
      <c r="DW86">
        <v>9.3999999999999997E-4</v>
      </c>
      <c r="DX86" t="s">
        <v>439</v>
      </c>
      <c r="DY86">
        <v>-6.2899999999999996E-3</v>
      </c>
      <c r="DZ86">
        <v>9.0000000000000006E-5</v>
      </c>
      <c r="EA86" t="s">
        <v>439</v>
      </c>
      <c r="EB86">
        <v>1.7319999999999999E-2</v>
      </c>
      <c r="EC86">
        <v>2.1199999999999999E-3</v>
      </c>
      <c r="ED86" t="s">
        <v>439</v>
      </c>
      <c r="EE86">
        <v>-1.8180000000000002E-2</v>
      </c>
      <c r="EF86">
        <v>1.91E-3</v>
      </c>
      <c r="EG86" t="s">
        <v>439</v>
      </c>
      <c r="EH86">
        <v>5.484E-2</v>
      </c>
      <c r="EI86">
        <v>6.6100000000000004E-3</v>
      </c>
      <c r="EJ86" t="s">
        <v>439</v>
      </c>
      <c r="EM86" t="s">
        <v>440</v>
      </c>
      <c r="EN86">
        <v>-1.6549999999999999E-2</v>
      </c>
      <c r="EO86">
        <v>1.66E-3</v>
      </c>
      <c r="EP86" t="s">
        <v>439</v>
      </c>
      <c r="ES86" t="s">
        <v>440</v>
      </c>
      <c r="ET86">
        <v>1.5482</v>
      </c>
      <c r="EU86">
        <v>6.4199999999999993E-2</v>
      </c>
      <c r="EV86" t="s">
        <v>439</v>
      </c>
      <c r="EW86">
        <v>4.0000000000000003E-5</v>
      </c>
      <c r="EX86">
        <v>1.9300000000000001E-3</v>
      </c>
      <c r="EY86" t="s">
        <v>439</v>
      </c>
      <c r="EZ86">
        <v>3.4779999999999998E-2</v>
      </c>
      <c r="FA86">
        <v>2.894E-2</v>
      </c>
      <c r="FB86" t="s">
        <v>439</v>
      </c>
      <c r="FC86">
        <v>0.83404999999999996</v>
      </c>
      <c r="FD86">
        <v>2.7949999999999999E-2</v>
      </c>
      <c r="FE86" t="s">
        <v>439</v>
      </c>
      <c r="FF86">
        <v>4.2039400000000002</v>
      </c>
      <c r="FG86">
        <v>0.25158000000000003</v>
      </c>
      <c r="FH86" t="s">
        <v>441</v>
      </c>
      <c r="FK86" t="s">
        <v>440</v>
      </c>
      <c r="FN86" t="s">
        <v>440</v>
      </c>
      <c r="FO86">
        <v>2.0600000000000002E-3</v>
      </c>
      <c r="FP86">
        <v>1.1999999999999999E-3</v>
      </c>
      <c r="FQ86" t="s">
        <v>441</v>
      </c>
      <c r="FT86" t="s">
        <v>440</v>
      </c>
      <c r="FX86">
        <v>85</v>
      </c>
    </row>
    <row r="87" spans="2:180" x14ac:dyDescent="0.2">
      <c r="B87" t="s">
        <v>153</v>
      </c>
      <c r="C87">
        <v>0.24063999999999999</v>
      </c>
      <c r="D87">
        <v>1.6800000000000001E-3</v>
      </c>
      <c r="E87" t="s">
        <v>442</v>
      </c>
      <c r="F87">
        <v>1.333E-2</v>
      </c>
      <c r="G87">
        <v>1.9499999999999999E-3</v>
      </c>
      <c r="H87" t="s">
        <v>439</v>
      </c>
      <c r="I87">
        <v>3.7543199999999999</v>
      </c>
      <c r="J87">
        <v>2.9309999999999999E-2</v>
      </c>
      <c r="K87" t="s">
        <v>442</v>
      </c>
      <c r="L87">
        <v>6.726E-2</v>
      </c>
      <c r="M87">
        <v>2.9E-4</v>
      </c>
      <c r="N87" t="s">
        <v>442</v>
      </c>
      <c r="O87">
        <v>3.6700000000000001E-3</v>
      </c>
      <c r="P87">
        <v>9.0000000000000006E-5</v>
      </c>
      <c r="Q87" t="s">
        <v>442</v>
      </c>
      <c r="R87">
        <v>0.21475</v>
      </c>
      <c r="S87">
        <v>2.2000000000000001E-3</v>
      </c>
      <c r="T87" t="s">
        <v>442</v>
      </c>
      <c r="U87">
        <v>1.2600000000000001E-3</v>
      </c>
      <c r="V87">
        <v>3.0000000000000001E-5</v>
      </c>
      <c r="W87" t="s">
        <v>439</v>
      </c>
      <c r="X87">
        <v>1.102E-2</v>
      </c>
      <c r="Y87">
        <v>1.2999999999999999E-4</v>
      </c>
      <c r="Z87" t="s">
        <v>439</v>
      </c>
      <c r="AA87">
        <v>0.24995999999999999</v>
      </c>
      <c r="AB87">
        <v>3.5400000000000002E-3</v>
      </c>
      <c r="AC87" t="s">
        <v>442</v>
      </c>
      <c r="AD87">
        <v>2.0363899999999999</v>
      </c>
      <c r="AE87">
        <v>2.673E-2</v>
      </c>
      <c r="AF87" t="s">
        <v>442</v>
      </c>
      <c r="AI87" t="s">
        <v>440</v>
      </c>
      <c r="AJ87">
        <v>49.277979999999999</v>
      </c>
      <c r="AK87">
        <v>0.13919000000000001</v>
      </c>
      <c r="AL87" t="s">
        <v>441</v>
      </c>
      <c r="AM87">
        <v>266.75538999999998</v>
      </c>
      <c r="AN87">
        <v>2.66323</v>
      </c>
      <c r="AO87" t="s">
        <v>442</v>
      </c>
      <c r="AP87">
        <v>0.13353000000000001</v>
      </c>
      <c r="AQ87">
        <v>1.25E-3</v>
      </c>
      <c r="AR87" t="s">
        <v>442</v>
      </c>
      <c r="AS87">
        <v>3.6387999999999998</v>
      </c>
      <c r="AT87">
        <v>3.3070000000000002E-2</v>
      </c>
      <c r="AU87" t="s">
        <v>442</v>
      </c>
      <c r="AV87">
        <v>1.7010000000000001E-2</v>
      </c>
      <c r="AW87">
        <v>6.2E-4</v>
      </c>
      <c r="AX87" t="s">
        <v>442</v>
      </c>
      <c r="AY87">
        <v>-3.5000000000000001E-3</v>
      </c>
      <c r="AZ87">
        <v>6.0000000000000002E-5</v>
      </c>
      <c r="BA87" t="s">
        <v>439</v>
      </c>
      <c r="BB87">
        <v>2.3600000000000001E-3</v>
      </c>
      <c r="BC87">
        <v>1.9000000000000001E-4</v>
      </c>
      <c r="BD87" t="s">
        <v>442</v>
      </c>
      <c r="BE87">
        <v>3.4000000000000002E-4</v>
      </c>
      <c r="BF87">
        <v>2.1000000000000001E-4</v>
      </c>
      <c r="BG87" t="s">
        <v>439</v>
      </c>
      <c r="BH87">
        <v>2.3000000000000001E-4</v>
      </c>
      <c r="BI87">
        <v>1.6000000000000001E-4</v>
      </c>
      <c r="BJ87" t="s">
        <v>439</v>
      </c>
      <c r="BK87">
        <v>1.49E-3</v>
      </c>
      <c r="BL87">
        <v>1.0000000000000001E-5</v>
      </c>
      <c r="BM87" t="s">
        <v>439</v>
      </c>
      <c r="BN87">
        <v>-3.5E-4</v>
      </c>
      <c r="BO87">
        <v>8.0000000000000007E-5</v>
      </c>
      <c r="BP87" t="s">
        <v>439</v>
      </c>
      <c r="BQ87">
        <v>3.0509999999999999E-2</v>
      </c>
      <c r="BR87">
        <v>5.0000000000000001E-4</v>
      </c>
      <c r="BS87" t="s">
        <v>442</v>
      </c>
      <c r="BV87" t="s">
        <v>440</v>
      </c>
      <c r="BW87">
        <v>-2.0529500000000001</v>
      </c>
      <c r="BX87">
        <v>2.3000000000000001E-4</v>
      </c>
      <c r="BY87" t="s">
        <v>439</v>
      </c>
      <c r="BZ87">
        <v>3.5069999999999997E-2</v>
      </c>
      <c r="CA87">
        <v>5.2999999999999998E-4</v>
      </c>
      <c r="CB87" t="s">
        <v>442</v>
      </c>
      <c r="CC87">
        <v>11.37018</v>
      </c>
      <c r="CD87">
        <v>5.0250000000000003E-2</v>
      </c>
      <c r="CE87" t="s">
        <v>442</v>
      </c>
      <c r="CF87">
        <v>11.620480000000001</v>
      </c>
      <c r="CG87">
        <v>0.24692</v>
      </c>
      <c r="CH87" t="s">
        <v>442</v>
      </c>
      <c r="CI87">
        <v>11.436030000000001</v>
      </c>
      <c r="CJ87">
        <v>0.1178</v>
      </c>
      <c r="CK87" t="s">
        <v>442</v>
      </c>
      <c r="CL87">
        <v>1.5529200000000001</v>
      </c>
      <c r="CM87">
        <v>2.3349999999999999E-2</v>
      </c>
      <c r="CN87" t="s">
        <v>442</v>
      </c>
      <c r="CO87">
        <v>655.78707999999995</v>
      </c>
      <c r="CP87">
        <v>11.7036</v>
      </c>
      <c r="CQ87" t="s">
        <v>442</v>
      </c>
      <c r="CR87">
        <v>1.06071</v>
      </c>
      <c r="CS87">
        <v>1.095E-2</v>
      </c>
      <c r="CT87" t="s">
        <v>442</v>
      </c>
      <c r="CU87">
        <v>1.4453199999999999</v>
      </c>
      <c r="CV87">
        <v>1.8169999999999999E-2</v>
      </c>
      <c r="CW87" t="s">
        <v>442</v>
      </c>
      <c r="CX87">
        <v>253.26919000000001</v>
      </c>
      <c r="CY87">
        <v>2.5202399999999998</v>
      </c>
      <c r="CZ87" t="s">
        <v>442</v>
      </c>
      <c r="DA87">
        <v>198.49524</v>
      </c>
      <c r="DB87">
        <v>1.5871299999999999</v>
      </c>
      <c r="DC87" t="s">
        <v>442</v>
      </c>
      <c r="DD87">
        <v>490.58774</v>
      </c>
      <c r="DE87">
        <v>7.3323400000000003</v>
      </c>
      <c r="DF87" t="s">
        <v>442</v>
      </c>
      <c r="DG87">
        <v>13.07433</v>
      </c>
      <c r="DH87">
        <v>0.46532000000000001</v>
      </c>
      <c r="DI87" t="s">
        <v>442</v>
      </c>
      <c r="DJ87">
        <v>4.1320000000000003E-2</v>
      </c>
      <c r="DK87">
        <v>4.9699999999999996E-3</v>
      </c>
      <c r="DL87" t="s">
        <v>442</v>
      </c>
      <c r="DM87">
        <v>4.9899999999999996E-3</v>
      </c>
      <c r="DN87">
        <v>4.0999999999999999E-4</v>
      </c>
      <c r="DO87" t="s">
        <v>442</v>
      </c>
      <c r="DP87">
        <v>0.29683999999999999</v>
      </c>
      <c r="DQ87">
        <v>9.6799999999999994E-3</v>
      </c>
      <c r="DR87" t="s">
        <v>442</v>
      </c>
      <c r="DS87">
        <v>1.0598799999999999</v>
      </c>
      <c r="DT87">
        <v>3.5709999999999999E-2</v>
      </c>
      <c r="DU87" t="s">
        <v>442</v>
      </c>
      <c r="DV87">
        <v>10.03443</v>
      </c>
      <c r="DW87">
        <v>0.38194</v>
      </c>
      <c r="DX87" t="s">
        <v>442</v>
      </c>
      <c r="DY87">
        <v>0.41299999999999998</v>
      </c>
      <c r="DZ87">
        <v>1.536E-2</v>
      </c>
      <c r="EA87" t="s">
        <v>442</v>
      </c>
      <c r="EB87">
        <v>0.39950000000000002</v>
      </c>
      <c r="EC87">
        <v>1.6660000000000001E-2</v>
      </c>
      <c r="ED87" t="s">
        <v>442</v>
      </c>
      <c r="EE87">
        <v>8.12791</v>
      </c>
      <c r="EF87">
        <v>0.26762000000000002</v>
      </c>
      <c r="EG87" t="s">
        <v>442</v>
      </c>
      <c r="EH87">
        <v>3384.9758499999998</v>
      </c>
      <c r="EI87">
        <v>110.26622999999999</v>
      </c>
      <c r="EJ87" t="s">
        <v>442</v>
      </c>
      <c r="EM87" t="s">
        <v>440</v>
      </c>
      <c r="EN87">
        <v>61.24268</v>
      </c>
      <c r="EO87">
        <v>1.3813299999999999</v>
      </c>
      <c r="EP87" t="s">
        <v>442</v>
      </c>
      <c r="ES87" t="s">
        <v>440</v>
      </c>
      <c r="ET87">
        <v>1079.25154</v>
      </c>
      <c r="EU87">
        <v>25.797540000000001</v>
      </c>
      <c r="EV87" t="s">
        <v>442</v>
      </c>
      <c r="EW87">
        <v>0.19541</v>
      </c>
      <c r="EX87">
        <v>6.8700000000000002E-3</v>
      </c>
      <c r="EY87" t="s">
        <v>442</v>
      </c>
      <c r="EZ87">
        <v>134.37246999999999</v>
      </c>
      <c r="FA87">
        <v>3.1204700000000001</v>
      </c>
      <c r="FB87" t="s">
        <v>442</v>
      </c>
      <c r="FC87">
        <v>1.86829</v>
      </c>
      <c r="FD87">
        <v>8.5080000000000003E-2</v>
      </c>
      <c r="FE87" t="s">
        <v>439</v>
      </c>
      <c r="FF87">
        <v>4.09232</v>
      </c>
      <c r="FG87">
        <v>3.347E-2</v>
      </c>
      <c r="FH87" t="s">
        <v>441</v>
      </c>
      <c r="FK87" t="s">
        <v>440</v>
      </c>
      <c r="FN87" t="s">
        <v>440</v>
      </c>
      <c r="FO87">
        <v>59.092260000000003</v>
      </c>
      <c r="FP87">
        <v>1.07148</v>
      </c>
      <c r="FQ87" t="s">
        <v>441</v>
      </c>
      <c r="FT87" t="s">
        <v>440</v>
      </c>
      <c r="FX87">
        <v>86</v>
      </c>
    </row>
    <row r="88" spans="2:180" x14ac:dyDescent="0.2">
      <c r="B88" t="s">
        <v>154</v>
      </c>
      <c r="C88">
        <v>0.27488000000000001</v>
      </c>
      <c r="D88">
        <v>4.81E-3</v>
      </c>
      <c r="E88" t="s">
        <v>442</v>
      </c>
      <c r="F88">
        <v>1.4540000000000001E-2</v>
      </c>
      <c r="G88">
        <v>1.41E-3</v>
      </c>
      <c r="H88" t="s">
        <v>439</v>
      </c>
      <c r="I88">
        <v>4.3377600000000003</v>
      </c>
      <c r="J88">
        <v>6.6299999999999996E-3</v>
      </c>
      <c r="K88" t="s">
        <v>442</v>
      </c>
      <c r="L88">
        <v>9.0109999999999996E-2</v>
      </c>
      <c r="M88">
        <v>7.5000000000000002E-4</v>
      </c>
      <c r="N88" t="s">
        <v>442</v>
      </c>
      <c r="O88">
        <v>3.9899999999999996E-3</v>
      </c>
      <c r="P88">
        <v>9.0000000000000006E-5</v>
      </c>
      <c r="Q88" t="s">
        <v>442</v>
      </c>
      <c r="R88">
        <v>0.21609999999999999</v>
      </c>
      <c r="S88">
        <v>3.3E-3</v>
      </c>
      <c r="T88" t="s">
        <v>442</v>
      </c>
      <c r="U88">
        <v>1.1100000000000001E-3</v>
      </c>
      <c r="V88">
        <v>9.0000000000000006E-5</v>
      </c>
      <c r="W88" t="s">
        <v>439</v>
      </c>
      <c r="X88">
        <v>1.1730000000000001E-2</v>
      </c>
      <c r="Y88">
        <v>4.8999999999999998E-4</v>
      </c>
      <c r="Z88" t="s">
        <v>439</v>
      </c>
      <c r="AA88">
        <v>0.35054000000000002</v>
      </c>
      <c r="AB88">
        <v>3.3400000000000001E-3</v>
      </c>
      <c r="AC88" t="s">
        <v>442</v>
      </c>
      <c r="AD88">
        <v>2.2814199999999998</v>
      </c>
      <c r="AE88">
        <v>2.7779999999999999E-2</v>
      </c>
      <c r="AF88" t="s">
        <v>442</v>
      </c>
      <c r="AI88" t="s">
        <v>440</v>
      </c>
      <c r="AJ88">
        <v>52.108310000000003</v>
      </c>
      <c r="AK88">
        <v>0.29304999999999998</v>
      </c>
      <c r="AL88" t="s">
        <v>441</v>
      </c>
      <c r="AM88">
        <v>291.21465000000001</v>
      </c>
      <c r="AN88">
        <v>1.96132</v>
      </c>
      <c r="AO88" t="s">
        <v>442</v>
      </c>
      <c r="AP88">
        <v>0.15656</v>
      </c>
      <c r="AQ88">
        <v>1.75E-3</v>
      </c>
      <c r="AR88" t="s">
        <v>442</v>
      </c>
      <c r="AS88">
        <v>3.4224000000000001</v>
      </c>
      <c r="AT88">
        <v>2.4410000000000001E-2</v>
      </c>
      <c r="AU88" t="s">
        <v>442</v>
      </c>
      <c r="AV88">
        <v>1.8020000000000001E-2</v>
      </c>
      <c r="AW88">
        <v>1.3999999999999999E-4</v>
      </c>
      <c r="AX88" t="s">
        <v>442</v>
      </c>
      <c r="AY88">
        <v>-3.9199999999999999E-3</v>
      </c>
      <c r="AZ88">
        <v>1.1E-4</v>
      </c>
      <c r="BA88" t="s">
        <v>439</v>
      </c>
      <c r="BB88">
        <v>2.14E-3</v>
      </c>
      <c r="BC88">
        <v>4.0000000000000003E-5</v>
      </c>
      <c r="BD88" t="s">
        <v>442</v>
      </c>
      <c r="BE88">
        <v>4.4999999999999999E-4</v>
      </c>
      <c r="BF88">
        <v>6.9999999999999994E-5</v>
      </c>
      <c r="BG88" t="s">
        <v>439</v>
      </c>
      <c r="BH88">
        <v>2.5999999999999998E-4</v>
      </c>
      <c r="BI88">
        <v>2.1000000000000001E-4</v>
      </c>
      <c r="BJ88" t="s">
        <v>439</v>
      </c>
      <c r="BK88">
        <v>1.5200000000000001E-3</v>
      </c>
      <c r="BL88">
        <v>3.0000000000000001E-5</v>
      </c>
      <c r="BM88" t="s">
        <v>439</v>
      </c>
      <c r="BN88">
        <v>-2.1000000000000001E-4</v>
      </c>
      <c r="BO88">
        <v>1.4999999999999999E-4</v>
      </c>
      <c r="BP88" t="s">
        <v>439</v>
      </c>
      <c r="BQ88">
        <v>3.8550000000000001E-2</v>
      </c>
      <c r="BR88">
        <v>4.2999999999999999E-4</v>
      </c>
      <c r="BS88" t="s">
        <v>442</v>
      </c>
      <c r="BV88" t="s">
        <v>440</v>
      </c>
      <c r="BW88">
        <v>-2.0531700000000002</v>
      </c>
      <c r="BX88">
        <v>5.0000000000000002E-5</v>
      </c>
      <c r="BY88" t="s">
        <v>439</v>
      </c>
      <c r="BZ88">
        <v>5.4420000000000003E-2</v>
      </c>
      <c r="CA88">
        <v>7.3999999999999999E-4</v>
      </c>
      <c r="CB88" t="s">
        <v>442</v>
      </c>
      <c r="CC88">
        <v>12.740360000000001</v>
      </c>
      <c r="CD88">
        <v>4.7309999999999998E-2</v>
      </c>
      <c r="CE88" t="s">
        <v>442</v>
      </c>
      <c r="CF88">
        <v>12.45792</v>
      </c>
      <c r="CG88">
        <v>0.13531000000000001</v>
      </c>
      <c r="CH88" t="s">
        <v>442</v>
      </c>
      <c r="CI88">
        <v>12.72706</v>
      </c>
      <c r="CJ88">
        <v>0.15190000000000001</v>
      </c>
      <c r="CK88" t="s">
        <v>442</v>
      </c>
      <c r="CL88">
        <v>1.71025</v>
      </c>
      <c r="CM88">
        <v>1.7729999999999999E-2</v>
      </c>
      <c r="CN88" t="s">
        <v>442</v>
      </c>
      <c r="CO88">
        <v>725.37647000000004</v>
      </c>
      <c r="CP88">
        <v>16.07094</v>
      </c>
      <c r="CQ88" t="s">
        <v>442</v>
      </c>
      <c r="CR88">
        <v>0.80364000000000002</v>
      </c>
      <c r="CS88">
        <v>2.3619999999999999E-2</v>
      </c>
      <c r="CT88" t="s">
        <v>442</v>
      </c>
      <c r="CU88">
        <v>2.1602999999999999</v>
      </c>
      <c r="CV88">
        <v>0.10124</v>
      </c>
      <c r="CW88" t="s">
        <v>442</v>
      </c>
      <c r="CX88">
        <v>303.00189</v>
      </c>
      <c r="CY88">
        <v>8.8207699999999996</v>
      </c>
      <c r="CZ88" t="s">
        <v>442</v>
      </c>
      <c r="DA88">
        <v>166.40637000000001</v>
      </c>
      <c r="DB88">
        <v>5.2103200000000003</v>
      </c>
      <c r="DC88" t="s">
        <v>442</v>
      </c>
      <c r="DD88">
        <v>442.58969999999999</v>
      </c>
      <c r="DE88">
        <v>11.81803</v>
      </c>
      <c r="DF88" t="s">
        <v>442</v>
      </c>
      <c r="DG88">
        <v>13.17939</v>
      </c>
      <c r="DH88">
        <v>0.13311999999999999</v>
      </c>
      <c r="DI88" t="s">
        <v>442</v>
      </c>
      <c r="DJ88">
        <v>3.3779999999999998E-2</v>
      </c>
      <c r="DK88">
        <v>4.3400000000000001E-3</v>
      </c>
      <c r="DL88" t="s">
        <v>442</v>
      </c>
      <c r="DM88">
        <v>5.3800000000000002E-3</v>
      </c>
      <c r="DN88">
        <v>8.4999999999999995E-4</v>
      </c>
      <c r="DO88" t="s">
        <v>442</v>
      </c>
      <c r="DP88">
        <v>0.21812000000000001</v>
      </c>
      <c r="DQ88">
        <v>5.3200000000000001E-3</v>
      </c>
      <c r="DR88" t="s">
        <v>442</v>
      </c>
      <c r="DS88">
        <v>1.22525</v>
      </c>
      <c r="DT88">
        <v>3.1329999999999997E-2</v>
      </c>
      <c r="DU88" t="s">
        <v>442</v>
      </c>
      <c r="DV88">
        <v>4.4965099999999998</v>
      </c>
      <c r="DW88">
        <v>0.13932</v>
      </c>
      <c r="DX88" t="s">
        <v>442</v>
      </c>
      <c r="DY88">
        <v>0.44141000000000002</v>
      </c>
      <c r="DZ88">
        <v>8.1899999999999994E-3</v>
      </c>
      <c r="EA88" t="s">
        <v>442</v>
      </c>
      <c r="EB88">
        <v>0.17863999999999999</v>
      </c>
      <c r="EC88">
        <v>1.051E-2</v>
      </c>
      <c r="ED88" t="s">
        <v>442</v>
      </c>
      <c r="EE88">
        <v>9.6578199999999992</v>
      </c>
      <c r="EF88">
        <v>0.25946000000000002</v>
      </c>
      <c r="EG88" t="s">
        <v>442</v>
      </c>
      <c r="EH88">
        <v>3811.7644</v>
      </c>
      <c r="EI88">
        <v>99.952590000000001</v>
      </c>
      <c r="EJ88" t="s">
        <v>442</v>
      </c>
      <c r="EM88" t="s">
        <v>440</v>
      </c>
      <c r="EN88">
        <v>63.939810000000001</v>
      </c>
      <c r="EO88">
        <v>1.71905</v>
      </c>
      <c r="EP88" t="s">
        <v>442</v>
      </c>
      <c r="ES88" t="s">
        <v>440</v>
      </c>
      <c r="ET88">
        <v>1129.9446800000001</v>
      </c>
      <c r="EU88">
        <v>23.644659999999998</v>
      </c>
      <c r="EV88" t="s">
        <v>442</v>
      </c>
      <c r="EW88">
        <v>0.17680000000000001</v>
      </c>
      <c r="EX88">
        <v>4.5100000000000001E-3</v>
      </c>
      <c r="EY88" t="s">
        <v>442</v>
      </c>
      <c r="EZ88">
        <v>141.32238000000001</v>
      </c>
      <c r="FA88">
        <v>2.9468100000000002</v>
      </c>
      <c r="FB88" t="s">
        <v>442</v>
      </c>
      <c r="FC88">
        <v>4.35344</v>
      </c>
      <c r="FD88">
        <v>0.10786</v>
      </c>
      <c r="FE88" t="s">
        <v>442</v>
      </c>
      <c r="FF88">
        <v>8.6915099999999992</v>
      </c>
      <c r="FG88">
        <v>0.67847999999999997</v>
      </c>
      <c r="FH88" t="s">
        <v>441</v>
      </c>
      <c r="FK88" t="s">
        <v>440</v>
      </c>
      <c r="FN88" t="s">
        <v>440</v>
      </c>
      <c r="FO88">
        <v>61.788139999999999</v>
      </c>
      <c r="FP88">
        <v>0.60326999999999997</v>
      </c>
      <c r="FQ88" t="s">
        <v>441</v>
      </c>
      <c r="FT88" t="s">
        <v>440</v>
      </c>
      <c r="FX88">
        <v>87</v>
      </c>
    </row>
    <row r="89" spans="2:180" x14ac:dyDescent="0.2">
      <c r="B89" t="s">
        <v>155</v>
      </c>
      <c r="C89">
        <v>0.21584</v>
      </c>
      <c r="D89">
        <v>3.5000000000000001E-3</v>
      </c>
      <c r="E89" t="s">
        <v>442</v>
      </c>
      <c r="F89">
        <v>1.1180000000000001E-2</v>
      </c>
      <c r="G89">
        <v>4.1099999999999999E-3</v>
      </c>
      <c r="H89" t="s">
        <v>439</v>
      </c>
      <c r="I89">
        <v>2.7562199999999999</v>
      </c>
      <c r="J89">
        <v>3.4909999999999997E-2</v>
      </c>
      <c r="K89" t="s">
        <v>442</v>
      </c>
      <c r="L89">
        <v>7.4929999999999997E-2</v>
      </c>
      <c r="M89">
        <v>8.8999999999999995E-4</v>
      </c>
      <c r="N89" t="s">
        <v>442</v>
      </c>
      <c r="O89">
        <v>3.5999999999999999E-3</v>
      </c>
      <c r="P89">
        <v>8.0000000000000007E-5</v>
      </c>
      <c r="Q89" t="s">
        <v>442</v>
      </c>
      <c r="R89">
        <v>0.18694</v>
      </c>
      <c r="S89">
        <v>3.1199999999999999E-3</v>
      </c>
      <c r="T89" t="s">
        <v>442</v>
      </c>
      <c r="U89">
        <v>8.8000000000000003E-4</v>
      </c>
      <c r="V89">
        <v>1.3999999999999999E-4</v>
      </c>
      <c r="W89" t="s">
        <v>439</v>
      </c>
      <c r="X89">
        <v>1.174E-2</v>
      </c>
      <c r="Y89">
        <v>2.5000000000000001E-4</v>
      </c>
      <c r="Z89" t="s">
        <v>439</v>
      </c>
      <c r="AA89">
        <v>0.43201000000000001</v>
      </c>
      <c r="AB89">
        <v>4.15E-3</v>
      </c>
      <c r="AC89" t="s">
        <v>442</v>
      </c>
      <c r="AD89">
        <v>2.6335000000000002</v>
      </c>
      <c r="AE89">
        <v>3.1669999999999997E-2</v>
      </c>
      <c r="AF89" t="s">
        <v>442</v>
      </c>
      <c r="AI89" t="s">
        <v>440</v>
      </c>
      <c r="AJ89">
        <v>60.087600000000002</v>
      </c>
      <c r="AK89">
        <v>1.4434499999999999</v>
      </c>
      <c r="AL89" t="s">
        <v>441</v>
      </c>
      <c r="AM89">
        <v>343.16478000000001</v>
      </c>
      <c r="AN89">
        <v>4.7965900000000001</v>
      </c>
      <c r="AO89" t="s">
        <v>442</v>
      </c>
      <c r="AP89">
        <v>9.5009999999999997E-2</v>
      </c>
      <c r="AQ89">
        <v>3.49E-3</v>
      </c>
      <c r="AR89" t="s">
        <v>442</v>
      </c>
      <c r="AS89">
        <v>2.50177</v>
      </c>
      <c r="AT89">
        <v>5.3460000000000001E-2</v>
      </c>
      <c r="AU89" t="s">
        <v>442</v>
      </c>
      <c r="AV89">
        <v>2.4920000000000001E-2</v>
      </c>
      <c r="AW89">
        <v>5.8E-4</v>
      </c>
      <c r="AX89" t="s">
        <v>442</v>
      </c>
      <c r="AY89">
        <v>4.7499999999999999E-3</v>
      </c>
      <c r="AZ89">
        <v>3.8999999999999999E-4</v>
      </c>
      <c r="BA89" t="s">
        <v>442</v>
      </c>
      <c r="BB89">
        <v>4.8599999999999997E-3</v>
      </c>
      <c r="BC89">
        <v>1.7000000000000001E-4</v>
      </c>
      <c r="BD89" t="s">
        <v>442</v>
      </c>
      <c r="BE89">
        <v>7.1000000000000002E-4</v>
      </c>
      <c r="BF89">
        <v>2.0000000000000001E-4</v>
      </c>
      <c r="BG89" t="s">
        <v>439</v>
      </c>
      <c r="BH89">
        <v>5.9999999999999995E-4</v>
      </c>
      <c r="BI89">
        <v>6.0000000000000002E-5</v>
      </c>
      <c r="BJ89" t="s">
        <v>439</v>
      </c>
      <c r="BK89">
        <v>1.5200000000000001E-3</v>
      </c>
      <c r="BL89">
        <v>2.0000000000000002E-5</v>
      </c>
      <c r="BM89" t="s">
        <v>439</v>
      </c>
      <c r="BN89">
        <v>-8.0000000000000007E-5</v>
      </c>
      <c r="BO89">
        <v>5.0000000000000002E-5</v>
      </c>
      <c r="BP89" t="s">
        <v>439</v>
      </c>
      <c r="BQ89">
        <v>1.7090000000000001E-2</v>
      </c>
      <c r="BR89">
        <v>1.1000000000000001E-3</v>
      </c>
      <c r="BS89" t="s">
        <v>442</v>
      </c>
      <c r="BV89" t="s">
        <v>440</v>
      </c>
      <c r="BW89">
        <v>-2.05348</v>
      </c>
      <c r="BX89">
        <v>5.8E-4</v>
      </c>
      <c r="BY89" t="s">
        <v>439</v>
      </c>
      <c r="BZ89">
        <v>3.2129999999999999E-2</v>
      </c>
      <c r="CA89">
        <v>7.5000000000000002E-4</v>
      </c>
      <c r="CB89" t="s">
        <v>442</v>
      </c>
      <c r="CC89">
        <v>10.779400000000001</v>
      </c>
      <c r="CD89">
        <v>0.14921000000000001</v>
      </c>
      <c r="CE89" t="s">
        <v>442</v>
      </c>
      <c r="CF89">
        <v>11.768420000000001</v>
      </c>
      <c r="CG89">
        <v>0.10541</v>
      </c>
      <c r="CH89" t="s">
        <v>442</v>
      </c>
      <c r="CI89">
        <v>10.96461</v>
      </c>
      <c r="CJ89">
        <v>0.11532000000000001</v>
      </c>
      <c r="CK89" t="s">
        <v>442</v>
      </c>
      <c r="CL89">
        <v>1.5252300000000001</v>
      </c>
      <c r="CM89">
        <v>2.111E-2</v>
      </c>
      <c r="CN89" t="s">
        <v>442</v>
      </c>
      <c r="CO89">
        <v>574.48986000000002</v>
      </c>
      <c r="CP89">
        <v>3.9441700000000002</v>
      </c>
      <c r="CQ89" t="s">
        <v>442</v>
      </c>
      <c r="CR89">
        <v>1.35212</v>
      </c>
      <c r="CS89">
        <v>1.6629999999999999E-2</v>
      </c>
      <c r="CT89" t="s">
        <v>442</v>
      </c>
      <c r="CU89">
        <v>3.39994</v>
      </c>
      <c r="CV89">
        <v>4.2000000000000003E-2</v>
      </c>
      <c r="CW89" t="s">
        <v>442</v>
      </c>
      <c r="CX89">
        <v>323.44445000000002</v>
      </c>
      <c r="CY89">
        <v>3.3157800000000002</v>
      </c>
      <c r="CZ89" t="s">
        <v>442</v>
      </c>
      <c r="DA89">
        <v>202.97300000000001</v>
      </c>
      <c r="DB89">
        <v>2.6342099999999999</v>
      </c>
      <c r="DC89" t="s">
        <v>442</v>
      </c>
      <c r="DD89">
        <v>240.06384</v>
      </c>
      <c r="DE89">
        <v>2.03626</v>
      </c>
      <c r="DF89" t="s">
        <v>442</v>
      </c>
      <c r="DG89">
        <v>27.435359999999999</v>
      </c>
      <c r="DH89">
        <v>0.24636</v>
      </c>
      <c r="DI89" t="s">
        <v>442</v>
      </c>
      <c r="DJ89">
        <v>4.4990000000000002E-2</v>
      </c>
      <c r="DK89">
        <v>1.72E-3</v>
      </c>
      <c r="DL89" t="s">
        <v>442</v>
      </c>
      <c r="DM89">
        <v>5.3800000000000002E-3</v>
      </c>
      <c r="DN89">
        <v>1.0300000000000001E-3</v>
      </c>
      <c r="DO89" t="s">
        <v>442</v>
      </c>
      <c r="DP89">
        <v>0.18883</v>
      </c>
      <c r="DQ89">
        <v>6.2700000000000004E-3</v>
      </c>
      <c r="DR89" t="s">
        <v>442</v>
      </c>
      <c r="DS89">
        <v>1.0345</v>
      </c>
      <c r="DT89">
        <v>1.426E-2</v>
      </c>
      <c r="DU89" t="s">
        <v>442</v>
      </c>
      <c r="DV89">
        <v>7.4227600000000002</v>
      </c>
      <c r="DW89">
        <v>0.11176999999999999</v>
      </c>
      <c r="DX89" t="s">
        <v>442</v>
      </c>
      <c r="DY89">
        <v>0.77688000000000001</v>
      </c>
      <c r="DZ89">
        <v>4.5399999999999998E-3</v>
      </c>
      <c r="EA89" t="s">
        <v>442</v>
      </c>
      <c r="EB89">
        <v>0.42326999999999998</v>
      </c>
      <c r="EC89">
        <v>8.3700000000000007E-3</v>
      </c>
      <c r="ED89" t="s">
        <v>442</v>
      </c>
      <c r="EE89">
        <v>8.1220599999999994</v>
      </c>
      <c r="EF89">
        <v>0.15115000000000001</v>
      </c>
      <c r="EG89" t="s">
        <v>442</v>
      </c>
      <c r="EH89">
        <v>3820.4738200000002</v>
      </c>
      <c r="EI89">
        <v>11.27436</v>
      </c>
      <c r="EJ89" t="s">
        <v>442</v>
      </c>
      <c r="EM89" t="s">
        <v>440</v>
      </c>
      <c r="EN89">
        <v>71.417529999999999</v>
      </c>
      <c r="EO89">
        <v>0.66998000000000002</v>
      </c>
      <c r="EP89" t="s">
        <v>442</v>
      </c>
      <c r="ES89" t="s">
        <v>440</v>
      </c>
      <c r="ET89">
        <v>808.7473</v>
      </c>
      <c r="EU89">
        <v>8.5824400000000001</v>
      </c>
      <c r="EV89" t="s">
        <v>442</v>
      </c>
      <c r="EW89">
        <v>0.10684</v>
      </c>
      <c r="EX89">
        <v>9.9299999999999996E-3</v>
      </c>
      <c r="EY89" t="s">
        <v>442</v>
      </c>
      <c r="EZ89">
        <v>183.04414</v>
      </c>
      <c r="FA89">
        <v>5.8702500000000004</v>
      </c>
      <c r="FB89" t="s">
        <v>442</v>
      </c>
      <c r="FC89">
        <v>3.2798099999999999</v>
      </c>
      <c r="FD89">
        <v>0.32625999999999999</v>
      </c>
      <c r="FE89" t="s">
        <v>442</v>
      </c>
      <c r="FF89">
        <v>5.8468900000000001</v>
      </c>
      <c r="FG89">
        <v>0.34514</v>
      </c>
      <c r="FH89" t="s">
        <v>441</v>
      </c>
      <c r="FK89" t="s">
        <v>440</v>
      </c>
      <c r="FN89" t="s">
        <v>440</v>
      </c>
      <c r="FO89">
        <v>71.182140000000004</v>
      </c>
      <c r="FP89">
        <v>1.853</v>
      </c>
      <c r="FQ89" t="s">
        <v>441</v>
      </c>
      <c r="FT89" t="s">
        <v>440</v>
      </c>
      <c r="FX89">
        <v>88</v>
      </c>
    </row>
    <row r="90" spans="2:180" x14ac:dyDescent="0.2">
      <c r="B90" t="s">
        <v>156</v>
      </c>
      <c r="C90">
        <v>0.10432</v>
      </c>
      <c r="D90">
        <v>2.7799999999999999E-3</v>
      </c>
      <c r="E90" t="s">
        <v>442</v>
      </c>
      <c r="F90">
        <v>1.5789999999999998E-2</v>
      </c>
      <c r="G90">
        <v>2.5000000000000001E-3</v>
      </c>
      <c r="H90" t="s">
        <v>439</v>
      </c>
      <c r="I90">
        <v>1.07406</v>
      </c>
      <c r="J90">
        <v>2.4649999999999998E-2</v>
      </c>
      <c r="K90" t="s">
        <v>442</v>
      </c>
      <c r="L90">
        <v>6.1249999999999999E-2</v>
      </c>
      <c r="M90">
        <v>2.2499999999999998E-3</v>
      </c>
      <c r="N90" t="s">
        <v>442</v>
      </c>
      <c r="O90">
        <v>4.1999999999999997E-3</v>
      </c>
      <c r="P90">
        <v>6.9999999999999994E-5</v>
      </c>
      <c r="Q90" t="s">
        <v>442</v>
      </c>
      <c r="R90">
        <v>9.0450000000000003E-2</v>
      </c>
      <c r="S90">
        <v>7.6000000000000004E-4</v>
      </c>
      <c r="T90" t="s">
        <v>442</v>
      </c>
      <c r="U90">
        <v>7.7999999999999999E-4</v>
      </c>
      <c r="V90">
        <v>5.0000000000000002E-5</v>
      </c>
      <c r="W90" t="s">
        <v>439</v>
      </c>
      <c r="X90">
        <v>1.1209999999999999E-2</v>
      </c>
      <c r="Y90">
        <v>2.3000000000000001E-4</v>
      </c>
      <c r="Z90" t="s">
        <v>439</v>
      </c>
      <c r="AA90">
        <v>9.6269999999999994E-2</v>
      </c>
      <c r="AB90">
        <v>5.6999999999999998E-4</v>
      </c>
      <c r="AC90" t="s">
        <v>442</v>
      </c>
      <c r="AD90">
        <v>1.2506999999999999</v>
      </c>
      <c r="AE90">
        <v>1.3469999999999999E-2</v>
      </c>
      <c r="AF90" t="s">
        <v>442</v>
      </c>
      <c r="AI90" t="s">
        <v>440</v>
      </c>
      <c r="AJ90">
        <v>30.845780000000001</v>
      </c>
      <c r="AK90">
        <v>0.66547000000000001</v>
      </c>
      <c r="AL90" t="s">
        <v>441</v>
      </c>
      <c r="AM90">
        <v>173.60043999999999</v>
      </c>
      <c r="AN90">
        <v>4.1772200000000002</v>
      </c>
      <c r="AO90" t="s">
        <v>442</v>
      </c>
      <c r="AP90">
        <v>3.7339999999999998E-2</v>
      </c>
      <c r="AQ90">
        <v>1.5299999999999999E-3</v>
      </c>
      <c r="AR90" t="s">
        <v>442</v>
      </c>
      <c r="AS90">
        <v>0.98251999999999995</v>
      </c>
      <c r="AT90">
        <v>1.831E-2</v>
      </c>
      <c r="AU90" t="s">
        <v>442</v>
      </c>
      <c r="AV90">
        <v>5.1060000000000001E-2</v>
      </c>
      <c r="AW90">
        <v>1.07E-3</v>
      </c>
      <c r="AX90" t="s">
        <v>442</v>
      </c>
      <c r="AY90">
        <v>0.11819</v>
      </c>
      <c r="AZ90">
        <v>2.3400000000000001E-3</v>
      </c>
      <c r="BA90" t="s">
        <v>442</v>
      </c>
      <c r="BB90">
        <v>3.5929999999999997E-2</v>
      </c>
      <c r="BC90">
        <v>1.6299999999999999E-3</v>
      </c>
      <c r="BD90" t="s">
        <v>442</v>
      </c>
      <c r="BE90">
        <v>8.1999999999999998E-4</v>
      </c>
      <c r="BF90">
        <v>3.6000000000000002E-4</v>
      </c>
      <c r="BG90" t="s">
        <v>439</v>
      </c>
      <c r="BH90">
        <v>2.63E-3</v>
      </c>
      <c r="BI90">
        <v>3.6000000000000002E-4</v>
      </c>
      <c r="BJ90" t="s">
        <v>442</v>
      </c>
      <c r="BK90">
        <v>1.6100000000000001E-3</v>
      </c>
      <c r="BL90">
        <v>1.0000000000000001E-5</v>
      </c>
      <c r="BM90" t="s">
        <v>439</v>
      </c>
      <c r="BN90">
        <v>8.8999999999999995E-4</v>
      </c>
      <c r="BO90">
        <v>1.6000000000000001E-4</v>
      </c>
      <c r="BP90" t="s">
        <v>439</v>
      </c>
      <c r="BQ90">
        <v>8.9599999999999992E-3</v>
      </c>
      <c r="BR90">
        <v>6.6E-4</v>
      </c>
      <c r="BS90" t="s">
        <v>442</v>
      </c>
      <c r="BV90" t="s">
        <v>440</v>
      </c>
      <c r="BW90">
        <v>-2.0534599999999998</v>
      </c>
      <c r="BX90">
        <v>1.1E-4</v>
      </c>
      <c r="BY90" t="s">
        <v>439</v>
      </c>
      <c r="BZ90">
        <v>3.3140000000000003E-2</v>
      </c>
      <c r="CA90">
        <v>7.3999999999999999E-4</v>
      </c>
      <c r="CB90" t="s">
        <v>442</v>
      </c>
      <c r="CC90">
        <v>4.9442899999999996</v>
      </c>
      <c r="CD90">
        <v>0.11945</v>
      </c>
      <c r="CE90" t="s">
        <v>442</v>
      </c>
      <c r="CF90">
        <v>4.8112700000000004</v>
      </c>
      <c r="CG90">
        <v>0.10155</v>
      </c>
      <c r="CH90" t="s">
        <v>442</v>
      </c>
      <c r="CI90">
        <v>4.9867600000000003</v>
      </c>
      <c r="CJ90">
        <v>0.17874000000000001</v>
      </c>
      <c r="CK90" t="s">
        <v>442</v>
      </c>
      <c r="CL90">
        <v>0.68820000000000003</v>
      </c>
      <c r="CM90">
        <v>1.864E-2</v>
      </c>
      <c r="CN90" t="s">
        <v>442</v>
      </c>
      <c r="CO90">
        <v>259.77465000000001</v>
      </c>
      <c r="CP90">
        <v>4.1559600000000003</v>
      </c>
      <c r="CQ90" t="s">
        <v>442</v>
      </c>
      <c r="CR90">
        <v>0.62409000000000003</v>
      </c>
      <c r="CS90">
        <v>9.8499999999999994E-3</v>
      </c>
      <c r="CT90" t="s">
        <v>442</v>
      </c>
      <c r="CU90">
        <v>3.1810900000000002</v>
      </c>
      <c r="CV90">
        <v>8.0479999999999996E-2</v>
      </c>
      <c r="CW90" t="s">
        <v>442</v>
      </c>
      <c r="CX90">
        <v>153.20044999999999</v>
      </c>
      <c r="CY90">
        <v>0.64719000000000004</v>
      </c>
      <c r="CZ90" t="s">
        <v>442</v>
      </c>
      <c r="DA90">
        <v>92.097769999999997</v>
      </c>
      <c r="DB90">
        <v>1.09087</v>
      </c>
      <c r="DC90" t="s">
        <v>442</v>
      </c>
      <c r="DD90">
        <v>96.924229999999994</v>
      </c>
      <c r="DE90">
        <v>0.93871000000000004</v>
      </c>
      <c r="DF90" t="s">
        <v>442</v>
      </c>
      <c r="DG90">
        <v>15.755940000000001</v>
      </c>
      <c r="DH90">
        <v>9.1670000000000001E-2</v>
      </c>
      <c r="DI90" t="s">
        <v>442</v>
      </c>
      <c r="DJ90">
        <v>1.8749999999999999E-2</v>
      </c>
      <c r="DK90">
        <v>4.81E-3</v>
      </c>
      <c r="DL90" t="s">
        <v>439</v>
      </c>
      <c r="DM90">
        <v>2.7699999999999999E-3</v>
      </c>
      <c r="DN90">
        <v>4.2999999999999999E-4</v>
      </c>
      <c r="DO90" t="s">
        <v>439</v>
      </c>
      <c r="DP90">
        <v>0.12742000000000001</v>
      </c>
      <c r="DQ90">
        <v>2.5999999999999999E-3</v>
      </c>
      <c r="DR90" t="s">
        <v>442</v>
      </c>
      <c r="DS90">
        <v>0.58487</v>
      </c>
      <c r="DT90">
        <v>7.2700000000000004E-3</v>
      </c>
      <c r="DU90" t="s">
        <v>442</v>
      </c>
      <c r="DV90">
        <v>6.8817399999999997</v>
      </c>
      <c r="DW90">
        <v>5.151E-2</v>
      </c>
      <c r="DX90" t="s">
        <v>442</v>
      </c>
      <c r="DY90">
        <v>0.35174</v>
      </c>
      <c r="DZ90">
        <v>4.7400000000000003E-3</v>
      </c>
      <c r="EA90" t="s">
        <v>442</v>
      </c>
      <c r="EB90">
        <v>0.27361000000000002</v>
      </c>
      <c r="EC90">
        <v>1.397E-2</v>
      </c>
      <c r="ED90" t="s">
        <v>442</v>
      </c>
      <c r="EE90">
        <v>5.5703199999999997</v>
      </c>
      <c r="EF90">
        <v>7.7420000000000003E-2</v>
      </c>
      <c r="EG90" t="s">
        <v>442</v>
      </c>
      <c r="EH90">
        <v>1682.6511399999999</v>
      </c>
      <c r="EI90">
        <v>40.679679999999998</v>
      </c>
      <c r="EJ90" t="s">
        <v>442</v>
      </c>
      <c r="EM90" t="s">
        <v>440</v>
      </c>
      <c r="EN90">
        <v>36.993749999999999</v>
      </c>
      <c r="EO90">
        <v>0.35732000000000003</v>
      </c>
      <c r="EP90" t="s">
        <v>442</v>
      </c>
      <c r="ES90" t="s">
        <v>440</v>
      </c>
      <c r="ET90">
        <v>339.0745</v>
      </c>
      <c r="EU90">
        <v>9.4995700000000003</v>
      </c>
      <c r="EV90" t="s">
        <v>442</v>
      </c>
      <c r="EW90">
        <v>4.6010000000000002E-2</v>
      </c>
      <c r="EX90">
        <v>1.244E-2</v>
      </c>
      <c r="EY90" t="s">
        <v>442</v>
      </c>
      <c r="EZ90">
        <v>76.761660000000006</v>
      </c>
      <c r="FA90">
        <v>2.9882200000000001</v>
      </c>
      <c r="FB90" t="s">
        <v>442</v>
      </c>
      <c r="FC90">
        <v>2.52955</v>
      </c>
      <c r="FD90">
        <v>0.20909</v>
      </c>
      <c r="FE90" t="s">
        <v>442</v>
      </c>
      <c r="FF90">
        <v>6.2067600000000001</v>
      </c>
      <c r="FG90">
        <v>0.45528999999999997</v>
      </c>
      <c r="FH90" t="s">
        <v>441</v>
      </c>
      <c r="FK90" t="s">
        <v>440</v>
      </c>
      <c r="FN90" t="s">
        <v>440</v>
      </c>
      <c r="FO90">
        <v>36.862819999999999</v>
      </c>
      <c r="FP90">
        <v>0.69089999999999996</v>
      </c>
      <c r="FQ90" t="s">
        <v>441</v>
      </c>
      <c r="FT90" t="s">
        <v>440</v>
      </c>
      <c r="FX90">
        <v>89</v>
      </c>
    </row>
    <row r="91" spans="2:180" x14ac:dyDescent="0.2">
      <c r="B91" t="s">
        <v>157</v>
      </c>
      <c r="C91">
        <v>4.7989999999999998E-2</v>
      </c>
      <c r="D91">
        <v>1.57E-3</v>
      </c>
      <c r="E91" t="s">
        <v>439</v>
      </c>
      <c r="F91">
        <v>1.635E-2</v>
      </c>
      <c r="G91">
        <v>3.6900000000000001E-3</v>
      </c>
      <c r="H91" t="s">
        <v>439</v>
      </c>
      <c r="I91">
        <v>0.19312000000000001</v>
      </c>
      <c r="J91">
        <v>3.8899999999999998E-3</v>
      </c>
      <c r="K91" t="s">
        <v>442</v>
      </c>
      <c r="L91">
        <v>1.677E-2</v>
      </c>
      <c r="M91">
        <v>8.8000000000000003E-4</v>
      </c>
      <c r="N91" t="s">
        <v>439</v>
      </c>
      <c r="O91">
        <v>3.5799999999999998E-3</v>
      </c>
      <c r="P91">
        <v>6.9999999999999994E-5</v>
      </c>
      <c r="Q91" t="s">
        <v>439</v>
      </c>
      <c r="R91">
        <v>4.827E-2</v>
      </c>
      <c r="S91">
        <v>4.8000000000000001E-4</v>
      </c>
      <c r="T91" t="s">
        <v>442</v>
      </c>
      <c r="U91">
        <v>5.5000000000000003E-4</v>
      </c>
      <c r="V91">
        <v>9.0000000000000006E-5</v>
      </c>
      <c r="W91" t="s">
        <v>439</v>
      </c>
      <c r="X91">
        <v>1.0290000000000001E-2</v>
      </c>
      <c r="Y91">
        <v>2.5999999999999998E-4</v>
      </c>
      <c r="Z91" t="s">
        <v>439</v>
      </c>
      <c r="AA91">
        <v>2.896E-2</v>
      </c>
      <c r="AB91">
        <v>2.2000000000000001E-4</v>
      </c>
      <c r="AC91" t="s">
        <v>442</v>
      </c>
      <c r="AD91">
        <v>0.27943000000000001</v>
      </c>
      <c r="AE91">
        <v>1.014E-2</v>
      </c>
      <c r="AF91" t="s">
        <v>442</v>
      </c>
      <c r="AI91" t="s">
        <v>440</v>
      </c>
      <c r="AJ91">
        <v>15.221410000000001</v>
      </c>
      <c r="AK91">
        <v>0.26236999999999999</v>
      </c>
      <c r="AL91" t="s">
        <v>441</v>
      </c>
      <c r="AM91">
        <v>42.287959999999998</v>
      </c>
      <c r="AN91">
        <v>0.80025000000000002</v>
      </c>
      <c r="AO91" t="s">
        <v>442</v>
      </c>
      <c r="AP91">
        <v>-5.1799999999999997E-3</v>
      </c>
      <c r="AQ91">
        <v>2.5000000000000001E-4</v>
      </c>
      <c r="AR91" t="s">
        <v>439</v>
      </c>
      <c r="AS91">
        <v>0.46828999999999998</v>
      </c>
      <c r="AT91">
        <v>5.4799999999999996E-3</v>
      </c>
      <c r="AU91" t="s">
        <v>442</v>
      </c>
      <c r="AV91">
        <v>1.8E-3</v>
      </c>
      <c r="AW91">
        <v>1.9000000000000001E-4</v>
      </c>
      <c r="AX91" t="s">
        <v>442</v>
      </c>
      <c r="AY91">
        <v>-3.15E-3</v>
      </c>
      <c r="AZ91">
        <v>6.9999999999999994E-5</v>
      </c>
      <c r="BA91" t="s">
        <v>439</v>
      </c>
      <c r="BB91">
        <v>2.2899999999999999E-3</v>
      </c>
      <c r="BC91">
        <v>4.0000000000000003E-5</v>
      </c>
      <c r="BD91" t="s">
        <v>442</v>
      </c>
      <c r="BE91">
        <v>5.9999999999999995E-4</v>
      </c>
      <c r="BF91">
        <v>4.2000000000000002E-4</v>
      </c>
      <c r="BG91" t="s">
        <v>439</v>
      </c>
      <c r="BH91">
        <v>2.5999999999999998E-4</v>
      </c>
      <c r="BI91">
        <v>6.0000000000000002E-5</v>
      </c>
      <c r="BJ91" t="s">
        <v>439</v>
      </c>
      <c r="BK91">
        <v>1.49E-3</v>
      </c>
      <c r="BL91">
        <v>1.0000000000000001E-5</v>
      </c>
      <c r="BM91" t="s">
        <v>439</v>
      </c>
      <c r="BN91">
        <v>-4.4999999999999999E-4</v>
      </c>
      <c r="BO91">
        <v>2.0000000000000002E-5</v>
      </c>
      <c r="BP91" t="s">
        <v>439</v>
      </c>
      <c r="BQ91">
        <v>-3.8500000000000001E-3</v>
      </c>
      <c r="BR91">
        <v>2.5999999999999998E-4</v>
      </c>
      <c r="BS91" t="s">
        <v>439</v>
      </c>
      <c r="BV91" t="s">
        <v>440</v>
      </c>
      <c r="BW91">
        <v>-2.05335</v>
      </c>
      <c r="BX91">
        <v>3.0000000000000001E-5</v>
      </c>
      <c r="BY91" t="s">
        <v>439</v>
      </c>
      <c r="BZ91">
        <v>8.5500000000000003E-3</v>
      </c>
      <c r="CA91">
        <v>2.9E-4</v>
      </c>
      <c r="CB91" t="s">
        <v>442</v>
      </c>
      <c r="CC91">
        <v>0.73646</v>
      </c>
      <c r="CD91">
        <v>2.5569999999999999E-2</v>
      </c>
      <c r="CE91" t="s">
        <v>442</v>
      </c>
      <c r="CF91">
        <v>0.74717</v>
      </c>
      <c r="CG91">
        <v>1.397E-2</v>
      </c>
      <c r="CH91" t="s">
        <v>442</v>
      </c>
      <c r="CI91">
        <v>0.74283999999999994</v>
      </c>
      <c r="CJ91">
        <v>1.762E-2</v>
      </c>
      <c r="CK91" t="s">
        <v>442</v>
      </c>
      <c r="CL91">
        <v>0.11093</v>
      </c>
      <c r="CM91">
        <v>9.7000000000000005E-4</v>
      </c>
      <c r="CN91" t="s">
        <v>442</v>
      </c>
      <c r="CO91">
        <v>73.317480000000003</v>
      </c>
      <c r="CP91">
        <v>1.46882</v>
      </c>
      <c r="CQ91" t="s">
        <v>442</v>
      </c>
      <c r="CR91">
        <v>0.75675999999999999</v>
      </c>
      <c r="CS91">
        <v>2.349E-2</v>
      </c>
      <c r="CT91" t="s">
        <v>442</v>
      </c>
      <c r="CU91">
        <v>2.0165299999999999</v>
      </c>
      <c r="CV91">
        <v>5.0270000000000002E-2</v>
      </c>
      <c r="CW91" t="s">
        <v>442</v>
      </c>
      <c r="CX91">
        <v>31.015219999999999</v>
      </c>
      <c r="CY91">
        <v>0.96655000000000002</v>
      </c>
      <c r="CZ91" t="s">
        <v>442</v>
      </c>
      <c r="DA91">
        <v>74.540930000000003</v>
      </c>
      <c r="DB91">
        <v>1.1221300000000001</v>
      </c>
      <c r="DC91" t="s">
        <v>442</v>
      </c>
      <c r="DD91">
        <v>18.639790000000001</v>
      </c>
      <c r="DE91">
        <v>0.61868000000000001</v>
      </c>
      <c r="DF91" t="s">
        <v>442</v>
      </c>
      <c r="DG91">
        <v>8.2239299999999993</v>
      </c>
      <c r="DH91">
        <v>0.46022999999999997</v>
      </c>
      <c r="DI91" t="s">
        <v>442</v>
      </c>
      <c r="DJ91">
        <v>2.3779999999999999E-2</v>
      </c>
      <c r="DK91">
        <v>3.5100000000000001E-3</v>
      </c>
      <c r="DL91" t="s">
        <v>439</v>
      </c>
      <c r="DM91">
        <v>2.5699999999999998E-3</v>
      </c>
      <c r="DN91">
        <v>9.7000000000000005E-4</v>
      </c>
      <c r="DO91" t="s">
        <v>439</v>
      </c>
      <c r="DP91">
        <v>0.18447</v>
      </c>
      <c r="DQ91">
        <v>7.0099999999999997E-3</v>
      </c>
      <c r="DR91" t="s">
        <v>442</v>
      </c>
      <c r="DS91">
        <v>0.16411999999999999</v>
      </c>
      <c r="DT91">
        <v>3.0000000000000001E-3</v>
      </c>
      <c r="DU91" t="s">
        <v>442</v>
      </c>
      <c r="DV91">
        <v>8.0626499999999997</v>
      </c>
      <c r="DW91">
        <v>0.30503999999999998</v>
      </c>
      <c r="DX91" t="s">
        <v>442</v>
      </c>
      <c r="DY91">
        <v>4.4170000000000001E-2</v>
      </c>
      <c r="DZ91">
        <v>2.47E-3</v>
      </c>
      <c r="EA91" t="s">
        <v>442</v>
      </c>
      <c r="EB91">
        <v>0.19470000000000001</v>
      </c>
      <c r="EC91">
        <v>2.6700000000000001E-3</v>
      </c>
      <c r="ED91" t="s">
        <v>442</v>
      </c>
      <c r="EE91">
        <v>1.1420699999999999</v>
      </c>
      <c r="EF91">
        <v>1.678E-2</v>
      </c>
      <c r="EG91" t="s">
        <v>442</v>
      </c>
      <c r="EH91">
        <v>266.16636</v>
      </c>
      <c r="EI91">
        <v>9.8561300000000003</v>
      </c>
      <c r="EJ91" t="s">
        <v>442</v>
      </c>
      <c r="EM91" t="s">
        <v>440</v>
      </c>
      <c r="EN91">
        <v>17.298220000000001</v>
      </c>
      <c r="EO91">
        <v>0.67420000000000002</v>
      </c>
      <c r="EP91" t="s">
        <v>442</v>
      </c>
      <c r="ES91" t="s">
        <v>440</v>
      </c>
      <c r="ET91">
        <v>80.53586</v>
      </c>
      <c r="EU91">
        <v>0.23988000000000001</v>
      </c>
      <c r="EV91" t="s">
        <v>442</v>
      </c>
      <c r="EW91">
        <v>1.175E-2</v>
      </c>
      <c r="EX91">
        <v>4.6999999999999999E-4</v>
      </c>
      <c r="EY91" t="s">
        <v>442</v>
      </c>
      <c r="EZ91">
        <v>10.450530000000001</v>
      </c>
      <c r="FA91">
        <v>0.16092000000000001</v>
      </c>
      <c r="FB91" t="s">
        <v>442</v>
      </c>
      <c r="FC91">
        <v>0.66374</v>
      </c>
      <c r="FD91">
        <v>0.24542</v>
      </c>
      <c r="FE91" t="s">
        <v>439</v>
      </c>
      <c r="FF91">
        <v>2.83127</v>
      </c>
      <c r="FG91">
        <v>9.8290000000000002E-2</v>
      </c>
      <c r="FH91" t="s">
        <v>441</v>
      </c>
      <c r="FK91" t="s">
        <v>440</v>
      </c>
      <c r="FN91" t="s">
        <v>440</v>
      </c>
      <c r="FO91">
        <v>18.20843</v>
      </c>
      <c r="FP91">
        <v>0.11758</v>
      </c>
      <c r="FQ91" t="s">
        <v>441</v>
      </c>
      <c r="FT91" t="s">
        <v>440</v>
      </c>
      <c r="FX91">
        <v>90</v>
      </c>
    </row>
    <row r="92" spans="2:180" x14ac:dyDescent="0.2">
      <c r="B92" t="s">
        <v>158</v>
      </c>
      <c r="C92">
        <v>0.29698999999999998</v>
      </c>
      <c r="D92">
        <v>5.4400000000000004E-3</v>
      </c>
      <c r="E92" t="e">
        <f>IF((ABS($C$92-$C$78)/(($C$92+$C$78)/2)) &lt;#REF!, "Dp","Df")</f>
        <v>#REF!</v>
      </c>
      <c r="F92">
        <v>1.43E-2</v>
      </c>
      <c r="G92">
        <v>3.5100000000000001E-3</v>
      </c>
      <c r="H92" t="e">
        <f>IF((ABS($F$92-$F$78)/(($F$92+$F$78)/2)) &lt;#REF!, "Dp","Df")</f>
        <v>#REF!</v>
      </c>
      <c r="I92">
        <v>4.5573300000000003</v>
      </c>
      <c r="J92">
        <v>9.5469999999999999E-2</v>
      </c>
      <c r="K92" t="e">
        <f>IF((ABS($I$92-$I$78)/(($I$92+$I$78)/2)) &lt;#REF!, "Dp","Df")</f>
        <v>#REF!</v>
      </c>
      <c r="L92">
        <v>0.10013</v>
      </c>
      <c r="M92">
        <v>2.0999999999999999E-3</v>
      </c>
      <c r="N92" t="e">
        <f>IF((ABS($L$92-$L$78)/(($L$92+$L$78)/2)) &lt;#REF!, "Dp","Df")</f>
        <v>#REF!</v>
      </c>
      <c r="O92">
        <v>3.8300000000000001E-3</v>
      </c>
      <c r="P92">
        <v>1.0000000000000001E-5</v>
      </c>
      <c r="Q92" t="e">
        <f>IF((ABS($O$92-$O$78)/(($O$92+$O$78)/2)) &lt;#REF!, "Dp","Df")</f>
        <v>#REF!</v>
      </c>
      <c r="R92">
        <v>0.25657999999999997</v>
      </c>
      <c r="S92">
        <v>6.7000000000000002E-4</v>
      </c>
      <c r="T92" t="e">
        <f>IF((ABS($R$92-$R$78)/(($R$92+$R$78)/2)) &lt;#REF!, "Dp","Df")</f>
        <v>#REF!</v>
      </c>
      <c r="U92">
        <v>1.1800000000000001E-3</v>
      </c>
      <c r="V92">
        <v>4.0000000000000003E-5</v>
      </c>
      <c r="W92" t="e">
        <f>IF((ABS($U$92-$U$78)/(($U$92+$U$78)/2)) &lt;#REF!, "Dp","Df")</f>
        <v>#REF!</v>
      </c>
      <c r="X92">
        <v>1.115E-2</v>
      </c>
      <c r="Y92">
        <v>7.3999999999999999E-4</v>
      </c>
      <c r="Z92" t="e">
        <f>IF((ABS($X$92-$X$78)/(($X$92+$X$78)/2)) &lt;#REF!, "Dp","Df")</f>
        <v>#REF!</v>
      </c>
      <c r="AA92">
        <v>0.31697999999999998</v>
      </c>
      <c r="AB92">
        <v>4.9100000000000003E-3</v>
      </c>
      <c r="AC92" t="e">
        <f>IF((ABS($AA$92-$AA$78)/(($AA$92+$AA$78)/2)) &lt;#REF!, "Dp","Df")</f>
        <v>#REF!</v>
      </c>
      <c r="AD92">
        <v>2.28844</v>
      </c>
      <c r="AE92">
        <v>4.9950000000000001E-2</v>
      </c>
      <c r="AF92" t="e">
        <f>IF((ABS($AD$92-$AD$78)/(($AD$92+$AD$78)/2)) &lt;#REF!, "Dp","Df")</f>
        <v>#REF!</v>
      </c>
      <c r="AI92" t="e">
        <f>IF((ABS($AG$92-$AG$78)/(($AG$92+$AG$78)/2)) &lt;#REF!, "Dp","Df")</f>
        <v>#DIV/0!</v>
      </c>
      <c r="AJ92">
        <v>45.869239999999998</v>
      </c>
      <c r="AK92">
        <v>1.5720700000000001</v>
      </c>
      <c r="AL92" t="e">
        <f>IF((ABS($AJ$92-$AJ$78)/(($AJ$92+$AJ$78)/2)) &lt;#REF!, "Dp","Df")</f>
        <v>#REF!</v>
      </c>
      <c r="AM92">
        <v>267.55043999999998</v>
      </c>
      <c r="AN92">
        <v>8.0659299999999998</v>
      </c>
      <c r="AO92" t="e">
        <f>IF((ABS($AM$92-$AM$78)/(($AM$92+$AM$78)/2)) &lt;#REF!, "Dp","Df")</f>
        <v>#REF!</v>
      </c>
      <c r="AP92">
        <v>0.18138000000000001</v>
      </c>
      <c r="AQ92">
        <v>4.7800000000000004E-3</v>
      </c>
      <c r="AR92" t="e">
        <f>IF((ABS($AP$92-$AP$78)/(($AP$92+$AP$78)/2)) &lt;#REF!, "Dp","Df")</f>
        <v>#REF!</v>
      </c>
      <c r="AS92">
        <v>6.7180099999999996</v>
      </c>
      <c r="AT92">
        <v>0.18532999999999999</v>
      </c>
      <c r="AU92" t="e">
        <f>IF((ABS($AS$92-$AS$78)/(($AS$92+$AS$78)/2)) &lt;#REF!, "Dp","Df")</f>
        <v>#REF!</v>
      </c>
      <c r="AV92">
        <v>1.695E-2</v>
      </c>
      <c r="AW92">
        <v>4.6999999999999999E-4</v>
      </c>
      <c r="AX92" t="e">
        <f>IF((ABS($AV$92-$AV$78)/(($AV$92+$AV$78)/2)) &lt;#REF!, "Dp","Df")</f>
        <v>#REF!</v>
      </c>
      <c r="AY92">
        <v>-2.81E-3</v>
      </c>
      <c r="AZ92">
        <v>1.8000000000000001E-4</v>
      </c>
      <c r="BA92" t="e">
        <f>IF((ABS($AY$92-$AY$78)/(($AY$92+$AY$78)/2)) &lt;#REF!, "Dp","Df")</f>
        <v>#REF!</v>
      </c>
      <c r="BB92">
        <v>2.7399999999999998E-3</v>
      </c>
      <c r="BC92">
        <v>1.2E-4</v>
      </c>
      <c r="BD92" t="e">
        <f>IF((ABS($BB$92-$BB$78)/(($BB$92+$BB$78)/2)) &lt;#REF!, "Dp","Df")</f>
        <v>#REF!</v>
      </c>
      <c r="BE92">
        <v>7.7999999999999999E-4</v>
      </c>
      <c r="BF92">
        <v>2.4000000000000001E-4</v>
      </c>
      <c r="BG92" t="e">
        <f>IF((ABS($BE$92-$BE$78)/(($BE$92+$BE$78)/2)) &lt;#REF!, "Dp","Df")</f>
        <v>#REF!</v>
      </c>
      <c r="BH92">
        <v>1.9000000000000001E-4</v>
      </c>
      <c r="BI92">
        <v>8.0000000000000007E-5</v>
      </c>
      <c r="BJ92" t="e">
        <f>IF((ABS($BH$92-$BH$78)/(($BH$92+$BH$78)/2)) &lt;#REF!, "Dp","Df")</f>
        <v>#REF!</v>
      </c>
      <c r="BK92">
        <v>1.5200000000000001E-3</v>
      </c>
      <c r="BL92">
        <v>2.0000000000000002E-5</v>
      </c>
      <c r="BM92" t="e">
        <f>IF((ABS($BK$92-$BK$78)/(($BK$92+$BK$78)/2)) &lt;#REF!, "Dp","Df")</f>
        <v>#REF!</v>
      </c>
      <c r="BN92">
        <v>-1.9000000000000001E-4</v>
      </c>
      <c r="BO92">
        <v>6.0000000000000002E-5</v>
      </c>
      <c r="BP92" t="e">
        <f>IF((ABS($BN$92-$BN$78)/(($BN$92+$BN$78)/2)) &lt;#REF!, "Dp","Df")</f>
        <v>#REF!</v>
      </c>
      <c r="BQ92">
        <v>3.3829999999999999E-2</v>
      </c>
      <c r="BR92">
        <v>3.6999999999999999E-4</v>
      </c>
      <c r="BS92" t="e">
        <f>IF((ABS($BQ$92-$BQ$78)/(($BQ$92+$BQ$78)/2)) &lt;#REF!, "Dp","Df")</f>
        <v>#REF!</v>
      </c>
      <c r="BV92" t="e">
        <f>IF((ABS($BT$92-$BT$78)/(($BT$92+$BT$78)/2)) &lt;#REF!, "Dp","Df")</f>
        <v>#DIV/0!</v>
      </c>
      <c r="BW92">
        <v>-2.05355</v>
      </c>
      <c r="BX92">
        <v>5.0000000000000001E-4</v>
      </c>
      <c r="BY92" t="e">
        <f>IF((ABS($BW$92-$BW$78)/(($BW$92+$BW$78)/2)) &lt;#REF!, "Dp","Df")</f>
        <v>#REF!</v>
      </c>
      <c r="BZ92">
        <v>4.8680000000000001E-2</v>
      </c>
      <c r="CA92">
        <v>1.0499999999999999E-3</v>
      </c>
      <c r="CB92" t="e">
        <f>IF((ABS($BZ$92-$BZ$78)/(($BZ$92+$BZ$78)/2)) &lt;#REF!, "Dp","Df")</f>
        <v>#REF!</v>
      </c>
      <c r="CC92">
        <v>14.175269999999999</v>
      </c>
      <c r="CD92">
        <v>0.38904</v>
      </c>
      <c r="CE92" t="e">
        <f>IF((ABS($CC$92-$CC$78)/(($CC$92+$CC$78)/2)) &lt;#REF!, "Dp","Df")</f>
        <v>#REF!</v>
      </c>
      <c r="CF92">
        <v>13.676019999999999</v>
      </c>
      <c r="CG92">
        <v>0.47311999999999999</v>
      </c>
      <c r="CH92" t="e">
        <f>IF((ABS($CF$92-$CF$78)/(($CF$92+$CF$78)/2)) &lt;#REF!, "Dp","Df")</f>
        <v>#REF!</v>
      </c>
      <c r="CI92">
        <v>14.008749999999999</v>
      </c>
      <c r="CJ92">
        <v>0.42321999999999999</v>
      </c>
      <c r="CK92" t="e">
        <f>IF((ABS($CI$92-$CI$78)/(($CI$92+$CI$78)/2)) &lt;#REF!, "Dp","Df")</f>
        <v>#REF!</v>
      </c>
      <c r="CL92">
        <v>1.9940899999999999</v>
      </c>
      <c r="CM92">
        <v>3.3410000000000002E-2</v>
      </c>
      <c r="CN92" t="e">
        <f>IF((ABS($CL$92-$CL$78)/(($CL$92+$CL$78)/2)) &lt;#REF!, "Dp","Df")</f>
        <v>#REF!</v>
      </c>
      <c r="CO92">
        <v>748.73545999999999</v>
      </c>
      <c r="CP92">
        <v>7.7944899999999997</v>
      </c>
      <c r="CQ92" t="e">
        <f>IF((ABS($CO$92-$CO$78)/(($CO$92+$CO$78)/2)) &lt;#REF!, "Dp","Df")</f>
        <v>#REF!</v>
      </c>
      <c r="CR92">
        <v>1.6349899999999999</v>
      </c>
      <c r="CS92">
        <v>5.2560000000000003E-2</v>
      </c>
      <c r="CT92" t="e">
        <f>IF((ABS($CR$92-$CR$78)/(($CR$92+$CR$78)/2)) &lt;#REF!, "Dp","Df")</f>
        <v>#REF!</v>
      </c>
      <c r="CU92">
        <v>2.9627500000000002</v>
      </c>
      <c r="CV92">
        <v>0.14419000000000001</v>
      </c>
      <c r="CW92" t="e">
        <f>IF((ABS($CU$92-$CU$78)/(($CU$92+$CU$78)/2)) &lt;#REF!, "Dp","Df")</f>
        <v>#REF!</v>
      </c>
      <c r="CX92">
        <v>267.61277999999999</v>
      </c>
      <c r="CY92">
        <v>3.3210600000000001</v>
      </c>
      <c r="CZ92" t="e">
        <f>IF((ABS($CX$92-$CX$78)/(($CX$92+$CX$78)/2)) &lt;#REF!, "Dp","Df")</f>
        <v>#REF!</v>
      </c>
      <c r="DA92">
        <v>157.85980000000001</v>
      </c>
      <c r="DB92">
        <v>5.4803600000000001</v>
      </c>
      <c r="DC92" t="e">
        <f>IF((ABS($DA$92-$DA$78)/(($DA$92+$DA$78)/2)) &lt;#REF!, "Dp","Df")</f>
        <v>#REF!</v>
      </c>
      <c r="DD92">
        <v>624.86557000000005</v>
      </c>
      <c r="DE92">
        <v>8.9222000000000001</v>
      </c>
      <c r="DF92" t="e">
        <f>IF((ABS($DD$92-$DD$78)/(($DD$92+$DD$78)/2)) &lt;#REF!, "Dp","Df")</f>
        <v>#REF!</v>
      </c>
      <c r="DG92">
        <v>26.68563</v>
      </c>
      <c r="DH92">
        <v>0.57245000000000001</v>
      </c>
      <c r="DI92" t="e">
        <f>IF((ABS($DG$92-$DG$78)/(($DG$92+$DG$78)/2)) &lt;#REF!, "Dp","Df")</f>
        <v>#REF!</v>
      </c>
      <c r="DJ92">
        <v>5.8229999999999997E-2</v>
      </c>
      <c r="DK92">
        <v>0.01</v>
      </c>
      <c r="DL92" t="e">
        <f>IF((ABS($DJ$92-$DJ$78)/(($DJ$92+$DJ$78)/2)) &lt;#REF!, "Dp","Df")</f>
        <v>#REF!</v>
      </c>
      <c r="DM92">
        <v>7.1900000000000002E-3</v>
      </c>
      <c r="DN92">
        <v>4.8999999999999998E-4</v>
      </c>
      <c r="DO92" t="e">
        <f>IF((ABS($DM$92-$DM$78)/(($DM$92+$DM$78)/2)) &lt;#REF!, "Dp","Df")</f>
        <v>#REF!</v>
      </c>
      <c r="DP92">
        <v>0.35164000000000001</v>
      </c>
      <c r="DQ92">
        <v>6.0999999999999997E-4</v>
      </c>
      <c r="DR92" t="e">
        <f>IF((ABS($DP$92-$DP$78)/(($DP$92+$DP$78)/2)) &lt;#REF!, "Dp","Df")</f>
        <v>#REF!</v>
      </c>
      <c r="DS92">
        <v>1.44103</v>
      </c>
      <c r="DT92">
        <v>1.14E-3</v>
      </c>
      <c r="DU92" t="e">
        <f>IF((ABS($DS$92-$DS$78)/(($DS$92+$DS$78)/2)) &lt;#REF!, "Dp","Df")</f>
        <v>#REF!</v>
      </c>
      <c r="DV92">
        <v>10.345459999999999</v>
      </c>
      <c r="DW92">
        <v>5.8259999999999999E-2</v>
      </c>
      <c r="DX92" t="e">
        <f>IF((ABS($DV$92-$DV$78)/(($DV$92+$DV$78)/2)) &lt;#REF!, "Dp","Df")</f>
        <v>#REF!</v>
      </c>
      <c r="DY92">
        <v>0.42758000000000002</v>
      </c>
      <c r="DZ92">
        <v>6.8599999999999998E-3</v>
      </c>
      <c r="EA92" t="e">
        <f>IF((ABS($DY$92-$DY$78)/(($DY$92+$DY$78)/2)) &lt;#REF!, "Dp","Df")</f>
        <v>#REF!</v>
      </c>
      <c r="EB92">
        <v>1.0561199999999999</v>
      </c>
      <c r="EC92">
        <v>2.009E-2</v>
      </c>
      <c r="ED92" t="e">
        <f>IF((ABS($EB$92-$EB$78)/(($EB$92+$EB$78)/2)) &lt;#REF!, "Dp","Df")</f>
        <v>#REF!</v>
      </c>
      <c r="EE92">
        <v>9.2225599999999996</v>
      </c>
      <c r="EF92">
        <v>6.7680000000000004E-2</v>
      </c>
      <c r="EG92" t="e">
        <f>IF((ABS($EE$92-$EE$78)/(($EE$92+$EE$78)/2)) &lt;#REF!, "Dp","Df")</f>
        <v>#REF!</v>
      </c>
      <c r="EH92">
        <v>3759.7546000000002</v>
      </c>
      <c r="EI92">
        <v>26.741530000000001</v>
      </c>
      <c r="EJ92" t="e">
        <f>IF((ABS($EH$92-$EH$78)/(($EH$92+$EH$78)/2)) &lt;#REF!, "Dp","Df")</f>
        <v>#REF!</v>
      </c>
      <c r="EM92" t="e">
        <f>IF((ABS($EK$92-$EK$78)/(($EK$92+$EK$78)/2)) &lt;#REF!, "Dp","Df")</f>
        <v>#DIV/0!</v>
      </c>
      <c r="EN92">
        <v>54.784439999999996</v>
      </c>
      <c r="EO92">
        <v>0.47704999999999997</v>
      </c>
      <c r="EP92" t="e">
        <f>IF((ABS($EN$92-$EN$78)/(($EN$92+$EN$78)/2)) &lt;#REF!, "Dp","Df")</f>
        <v>#REF!</v>
      </c>
      <c r="ES92" t="e">
        <f>IF((ABS($EQ$92-$EQ$78)/(($EQ$92+$EQ$78)/2)) &lt;#REF!, "Dp","Df")</f>
        <v>#DIV/0!</v>
      </c>
      <c r="ET92">
        <v>1314.96136</v>
      </c>
      <c r="EU92">
        <v>17.898319999999998</v>
      </c>
      <c r="EV92" t="e">
        <f>IF((ABS($ET$92-$ET$78)/(($ET$92+$ET$78)/2)) &lt;#REF!, "Dp","Df")</f>
        <v>#REF!</v>
      </c>
      <c r="EW92">
        <v>0.24657000000000001</v>
      </c>
      <c r="EX92">
        <v>1.0670000000000001E-2</v>
      </c>
      <c r="EY92" t="e">
        <f>IF((ABS($EW$92-$EW$78)/(($EW$92+$EW$78)/2)) &lt;#REF!, "Dp","Df")</f>
        <v>#REF!</v>
      </c>
      <c r="EZ92">
        <v>164.66354000000001</v>
      </c>
      <c r="FA92">
        <v>2.6078600000000001</v>
      </c>
      <c r="FB92" t="e">
        <f>IF((ABS($EZ$92-$EZ$78)/(($EZ$92+$EZ$78)/2)) &lt;#REF!, "Dp","Df")</f>
        <v>#REF!</v>
      </c>
      <c r="FC92">
        <v>2.8555600000000001</v>
      </c>
      <c r="FD92">
        <v>0.50895999999999997</v>
      </c>
      <c r="FE92" t="e">
        <f>IF((ABS($FC$92-$FC$78)/(($FC$92+$FC$78)/2)) &lt;#REF!, "Dp","Df")</f>
        <v>#REF!</v>
      </c>
      <c r="FF92">
        <v>6.1836099999999998</v>
      </c>
      <c r="FG92">
        <v>0.11888</v>
      </c>
      <c r="FH92" t="e">
        <f>IF((ABS($FF$92-$FF$78)/(($FF$92+$FF$78)/2)) &lt;#REF!, "Dp","Df")</f>
        <v>#REF!</v>
      </c>
      <c r="FK92" t="e">
        <f>IF((ABS($FI$92-$FI$78)/(($FI$92+$FI$78)/2)) &lt;#REF!, "Dp","Df")</f>
        <v>#DIV/0!</v>
      </c>
      <c r="FN92" t="e">
        <f>IF((ABS($FL$92-$FL$78)/(($FL$92+$FL$78)/2)) &lt;#REF!, "Dp","Df")</f>
        <v>#DIV/0!</v>
      </c>
      <c r="FO92">
        <v>53.955440000000003</v>
      </c>
      <c r="FP92">
        <v>0.41221000000000002</v>
      </c>
      <c r="FQ92" t="e">
        <f>IF((ABS($FO$92-$FO$78)/(($FO$92+$FO$78)/2)) &lt;#REF!, "Dp","Df")</f>
        <v>#REF!</v>
      </c>
      <c r="FT92" t="e">
        <f>IF((ABS($FR$92-$FR$78)/(($FR$92+$FR$78)/2)) &lt;#REF!, "Dp","Df")</f>
        <v>#DIV/0!</v>
      </c>
      <c r="FU92">
        <v>2</v>
      </c>
      <c r="FX92">
        <v>91</v>
      </c>
    </row>
    <row r="93" spans="2:180" x14ac:dyDescent="0.2">
      <c r="B93" t="s">
        <v>159</v>
      </c>
      <c r="C93">
        <v>4.342E-2</v>
      </c>
      <c r="D93">
        <v>1.6999999999999999E-3</v>
      </c>
      <c r="E93" t="s">
        <v>439</v>
      </c>
      <c r="F93">
        <v>1.3339999999999999E-2</v>
      </c>
      <c r="G93">
        <v>2.5999999999999999E-3</v>
      </c>
      <c r="H93" t="s">
        <v>439</v>
      </c>
      <c r="I93">
        <v>0.13136999999999999</v>
      </c>
      <c r="J93">
        <v>1.7799999999999999E-3</v>
      </c>
      <c r="K93" t="s">
        <v>442</v>
      </c>
      <c r="L93">
        <v>4.172E-2</v>
      </c>
      <c r="M93">
        <v>1.16E-3</v>
      </c>
      <c r="N93" t="s">
        <v>442</v>
      </c>
      <c r="O93">
        <v>3.62E-3</v>
      </c>
      <c r="P93">
        <v>9.0000000000000006E-5</v>
      </c>
      <c r="Q93" t="s">
        <v>442</v>
      </c>
      <c r="R93">
        <v>3.8850000000000003E-2</v>
      </c>
      <c r="S93">
        <v>1.2600000000000001E-3</v>
      </c>
      <c r="T93" t="s">
        <v>442</v>
      </c>
      <c r="U93">
        <v>5.8E-4</v>
      </c>
      <c r="V93">
        <v>1.1E-4</v>
      </c>
      <c r="W93" t="s">
        <v>439</v>
      </c>
      <c r="X93">
        <v>1.0240000000000001E-2</v>
      </c>
      <c r="Y93">
        <v>2.4000000000000001E-4</v>
      </c>
      <c r="Z93" t="s">
        <v>439</v>
      </c>
      <c r="AA93">
        <v>6.5320000000000003E-2</v>
      </c>
      <c r="AB93">
        <v>1.34E-3</v>
      </c>
      <c r="AC93" t="s">
        <v>442</v>
      </c>
      <c r="AD93">
        <v>8.9829999999999993E-2</v>
      </c>
      <c r="AE93">
        <v>1.5900000000000001E-3</v>
      </c>
      <c r="AF93" t="s">
        <v>442</v>
      </c>
      <c r="AI93" t="s">
        <v>440</v>
      </c>
      <c r="AJ93">
        <v>5.24437</v>
      </c>
      <c r="AK93">
        <v>3.4130000000000001E-2</v>
      </c>
      <c r="AL93" t="s">
        <v>441</v>
      </c>
      <c r="AM93">
        <v>11.36073</v>
      </c>
      <c r="AN93">
        <v>0.1179</v>
      </c>
      <c r="AO93" t="s">
        <v>442</v>
      </c>
      <c r="AP93">
        <v>-9.4900000000000002E-3</v>
      </c>
      <c r="AQ93">
        <v>2.5000000000000001E-4</v>
      </c>
      <c r="AR93" t="s">
        <v>439</v>
      </c>
      <c r="AS93">
        <v>1.85297</v>
      </c>
      <c r="AT93">
        <v>1.2409999999999999E-2</v>
      </c>
      <c r="AU93" t="s">
        <v>442</v>
      </c>
      <c r="AV93">
        <v>-6.9999999999999994E-5</v>
      </c>
      <c r="AW93">
        <v>1.6000000000000001E-4</v>
      </c>
      <c r="AX93" t="s">
        <v>439</v>
      </c>
      <c r="AY93">
        <v>-2.5999999999999999E-3</v>
      </c>
      <c r="AZ93">
        <v>1.2E-4</v>
      </c>
      <c r="BA93" t="s">
        <v>439</v>
      </c>
      <c r="BB93">
        <v>2.7499999999999998E-3</v>
      </c>
      <c r="BC93">
        <v>2.0000000000000001E-4</v>
      </c>
      <c r="BD93" t="s">
        <v>442</v>
      </c>
      <c r="BE93">
        <v>9.3000000000000005E-4</v>
      </c>
      <c r="BF93">
        <v>1.3999999999999999E-4</v>
      </c>
      <c r="BG93" t="s">
        <v>439</v>
      </c>
      <c r="BH93">
        <v>1.8000000000000001E-4</v>
      </c>
      <c r="BI93">
        <v>2.9E-4</v>
      </c>
      <c r="BJ93" t="s">
        <v>439</v>
      </c>
      <c r="BK93">
        <v>1.5E-3</v>
      </c>
      <c r="BL93">
        <v>2.0000000000000002E-5</v>
      </c>
      <c r="BM93" t="s">
        <v>439</v>
      </c>
      <c r="BN93">
        <v>-4.2000000000000002E-4</v>
      </c>
      <c r="BO93">
        <v>4.0000000000000003E-5</v>
      </c>
      <c r="BP93" t="s">
        <v>439</v>
      </c>
      <c r="BQ93">
        <v>-2.6199999999999999E-3</v>
      </c>
      <c r="BR93">
        <v>1.6000000000000001E-4</v>
      </c>
      <c r="BS93" t="s">
        <v>439</v>
      </c>
      <c r="BV93" t="s">
        <v>440</v>
      </c>
      <c r="BW93">
        <v>-2.0536799999999999</v>
      </c>
      <c r="BX93">
        <v>8.0000000000000007E-5</v>
      </c>
      <c r="BY93" t="s">
        <v>439</v>
      </c>
      <c r="BZ93">
        <v>5.7200000000000003E-3</v>
      </c>
      <c r="CA93">
        <v>1.3999999999999999E-4</v>
      </c>
      <c r="CB93" t="s">
        <v>442</v>
      </c>
      <c r="CC93">
        <v>0.43481999999999998</v>
      </c>
      <c r="CD93">
        <v>2.7399999999999998E-3</v>
      </c>
      <c r="CE93" t="s">
        <v>442</v>
      </c>
      <c r="CF93">
        <v>0.44416</v>
      </c>
      <c r="CG93">
        <v>1.97E-3</v>
      </c>
      <c r="CH93" t="s">
        <v>442</v>
      </c>
      <c r="CI93">
        <v>0.42649999999999999</v>
      </c>
      <c r="CJ93">
        <v>3.9300000000000003E-3</v>
      </c>
      <c r="CK93" t="s">
        <v>442</v>
      </c>
      <c r="CL93">
        <v>4.9630000000000001E-2</v>
      </c>
      <c r="CM93">
        <v>8.0000000000000004E-4</v>
      </c>
      <c r="CN93" t="s">
        <v>442</v>
      </c>
      <c r="CO93">
        <v>27.18619</v>
      </c>
      <c r="CP93">
        <v>0.39108999999999999</v>
      </c>
      <c r="CQ93" t="s">
        <v>442</v>
      </c>
      <c r="CR93">
        <v>0.85394999999999999</v>
      </c>
      <c r="CS93">
        <v>1.8159999999999999E-2</v>
      </c>
      <c r="CT93" t="s">
        <v>442</v>
      </c>
      <c r="CU93">
        <v>5.56236</v>
      </c>
      <c r="CV93">
        <v>0.12934999999999999</v>
      </c>
      <c r="CW93" t="s">
        <v>442</v>
      </c>
      <c r="CX93">
        <v>11.595739999999999</v>
      </c>
      <c r="CY93">
        <v>0.57084000000000001</v>
      </c>
      <c r="CZ93" t="s">
        <v>442</v>
      </c>
      <c r="DA93">
        <v>10.61721</v>
      </c>
      <c r="DB93">
        <v>0.1512</v>
      </c>
      <c r="DC93" t="s">
        <v>442</v>
      </c>
      <c r="DD93">
        <v>12.957940000000001</v>
      </c>
      <c r="DE93">
        <v>0.40526000000000001</v>
      </c>
      <c r="DF93" t="s">
        <v>442</v>
      </c>
      <c r="DG93">
        <v>14.271000000000001</v>
      </c>
      <c r="DH93">
        <v>0.27604000000000001</v>
      </c>
      <c r="DI93" t="s">
        <v>442</v>
      </c>
      <c r="DJ93">
        <v>1.5350000000000001E-2</v>
      </c>
      <c r="DK93">
        <v>3.5899999999999999E-3</v>
      </c>
      <c r="DL93" t="s">
        <v>439</v>
      </c>
      <c r="DM93">
        <v>2.4199999999999998E-3</v>
      </c>
      <c r="DN93">
        <v>5.1000000000000004E-4</v>
      </c>
      <c r="DO93" t="s">
        <v>439</v>
      </c>
      <c r="DP93">
        <v>0.11461</v>
      </c>
      <c r="DQ93">
        <v>2.3999999999999998E-3</v>
      </c>
      <c r="DR93" t="s">
        <v>442</v>
      </c>
      <c r="DS93">
        <v>0.35413</v>
      </c>
      <c r="DT93">
        <v>1.145E-2</v>
      </c>
      <c r="DU93" t="s">
        <v>442</v>
      </c>
      <c r="DV93">
        <v>7.5074100000000001</v>
      </c>
      <c r="DW93">
        <v>0.20735999999999999</v>
      </c>
      <c r="DX93" t="s">
        <v>442</v>
      </c>
      <c r="DY93">
        <v>2.1270000000000001E-2</v>
      </c>
      <c r="DZ93">
        <v>5.9000000000000003E-4</v>
      </c>
      <c r="EA93" t="s">
        <v>439</v>
      </c>
      <c r="EB93">
        <v>0.43073</v>
      </c>
      <c r="EC93">
        <v>2.2679999999999999E-2</v>
      </c>
      <c r="ED93" t="s">
        <v>442</v>
      </c>
      <c r="EE93">
        <v>0.63290999999999997</v>
      </c>
      <c r="EF93">
        <v>1.65E-3</v>
      </c>
      <c r="EG93" t="s">
        <v>442</v>
      </c>
      <c r="EH93">
        <v>139.47873000000001</v>
      </c>
      <c r="EI93">
        <v>3.9533999999999998</v>
      </c>
      <c r="EJ93" t="s">
        <v>442</v>
      </c>
      <c r="EM93" t="s">
        <v>440</v>
      </c>
      <c r="EN93">
        <v>5.35886</v>
      </c>
      <c r="EO93">
        <v>4.999E-2</v>
      </c>
      <c r="EP93" t="s">
        <v>442</v>
      </c>
      <c r="ES93" t="s">
        <v>440</v>
      </c>
      <c r="ET93">
        <v>39.964669999999998</v>
      </c>
      <c r="EU93">
        <v>1.3418699999999999</v>
      </c>
      <c r="EV93" t="s">
        <v>442</v>
      </c>
      <c r="EW93">
        <v>7.1199999999999996E-3</v>
      </c>
      <c r="EX93">
        <v>3.8E-3</v>
      </c>
      <c r="EY93" t="s">
        <v>442</v>
      </c>
      <c r="EZ93">
        <v>3.7161400000000002</v>
      </c>
      <c r="FA93">
        <v>1.728E-2</v>
      </c>
      <c r="FB93" t="s">
        <v>442</v>
      </c>
      <c r="FC93">
        <v>2.5735199999999998</v>
      </c>
      <c r="FD93">
        <v>0.67427999999999999</v>
      </c>
      <c r="FE93" t="s">
        <v>442</v>
      </c>
      <c r="FF93">
        <v>6.8690699999999998</v>
      </c>
      <c r="FG93">
        <v>0.42413000000000001</v>
      </c>
      <c r="FH93" t="s">
        <v>441</v>
      </c>
      <c r="FK93" t="s">
        <v>440</v>
      </c>
      <c r="FN93" t="s">
        <v>440</v>
      </c>
      <c r="FO93">
        <v>5.6257400000000004</v>
      </c>
      <c r="FP93">
        <v>0.14229</v>
      </c>
      <c r="FQ93" t="s">
        <v>441</v>
      </c>
      <c r="FT93" t="s">
        <v>440</v>
      </c>
      <c r="FX93">
        <v>92</v>
      </c>
    </row>
    <row r="94" spans="2:180" x14ac:dyDescent="0.2">
      <c r="B94" t="s">
        <v>160</v>
      </c>
      <c r="C94">
        <v>3.8830000000000003E-2</v>
      </c>
      <c r="D94">
        <v>4.15E-3</v>
      </c>
      <c r="E94" t="s">
        <v>439</v>
      </c>
      <c r="F94">
        <v>1.239E-2</v>
      </c>
      <c r="G94">
        <v>1.8400000000000001E-3</v>
      </c>
      <c r="H94" t="s">
        <v>439</v>
      </c>
      <c r="I94">
        <v>3.5700000000000003E-2</v>
      </c>
      <c r="J94">
        <v>7.1000000000000002E-4</v>
      </c>
      <c r="K94" t="s">
        <v>442</v>
      </c>
      <c r="L94">
        <v>4.2770000000000002E-2</v>
      </c>
      <c r="M94">
        <v>4.4000000000000002E-4</v>
      </c>
      <c r="N94" t="s">
        <v>442</v>
      </c>
      <c r="O94">
        <v>3.8E-3</v>
      </c>
      <c r="P94">
        <v>1E-4</v>
      </c>
      <c r="Q94" t="s">
        <v>442</v>
      </c>
      <c r="R94">
        <v>4.1959999999999997E-2</v>
      </c>
      <c r="S94">
        <v>6.8999999999999997E-4</v>
      </c>
      <c r="T94" t="s">
        <v>442</v>
      </c>
      <c r="U94">
        <v>5.2999999999999998E-4</v>
      </c>
      <c r="V94">
        <v>1E-4</v>
      </c>
      <c r="W94" t="s">
        <v>439</v>
      </c>
      <c r="X94">
        <v>1.009E-2</v>
      </c>
      <c r="Y94">
        <v>2.4000000000000001E-4</v>
      </c>
      <c r="Z94" t="s">
        <v>439</v>
      </c>
      <c r="AA94">
        <v>1.1849999999999999E-2</v>
      </c>
      <c r="AB94">
        <v>1.1E-4</v>
      </c>
      <c r="AC94" t="s">
        <v>442</v>
      </c>
      <c r="AD94">
        <v>2.521E-2</v>
      </c>
      <c r="AE94">
        <v>1.2999999999999999E-3</v>
      </c>
      <c r="AF94" t="s">
        <v>442</v>
      </c>
      <c r="AI94" t="s">
        <v>440</v>
      </c>
      <c r="AJ94">
        <v>6.8073699999999997</v>
      </c>
      <c r="AK94">
        <v>3.5290000000000002E-2</v>
      </c>
      <c r="AL94" t="s">
        <v>441</v>
      </c>
      <c r="AM94">
        <v>3.87446</v>
      </c>
      <c r="AN94">
        <v>2.9479999999999999E-2</v>
      </c>
      <c r="AO94" t="s">
        <v>442</v>
      </c>
      <c r="AP94">
        <v>-1.3780000000000001E-2</v>
      </c>
      <c r="AQ94">
        <v>2.0000000000000001E-4</v>
      </c>
      <c r="AR94" t="s">
        <v>439</v>
      </c>
      <c r="AS94">
        <v>0.13905999999999999</v>
      </c>
      <c r="AT94">
        <v>1.48E-3</v>
      </c>
      <c r="AU94" t="s">
        <v>442</v>
      </c>
      <c r="AV94">
        <v>-5.4000000000000001E-4</v>
      </c>
      <c r="AW94">
        <v>5.0000000000000002E-5</v>
      </c>
      <c r="AX94" t="s">
        <v>439</v>
      </c>
      <c r="AY94">
        <v>-2.8400000000000001E-3</v>
      </c>
      <c r="AZ94">
        <v>1.3999999999999999E-4</v>
      </c>
      <c r="BA94" t="s">
        <v>439</v>
      </c>
      <c r="BB94">
        <v>2.8400000000000001E-3</v>
      </c>
      <c r="BC94">
        <v>9.0000000000000006E-5</v>
      </c>
      <c r="BD94" t="s">
        <v>442</v>
      </c>
      <c r="BE94">
        <v>6.8999999999999997E-4</v>
      </c>
      <c r="BF94">
        <v>1.2999999999999999E-4</v>
      </c>
      <c r="BG94" t="s">
        <v>439</v>
      </c>
      <c r="BH94">
        <v>1.8000000000000001E-4</v>
      </c>
      <c r="BI94">
        <v>1.3999999999999999E-4</v>
      </c>
      <c r="BJ94" t="s">
        <v>439</v>
      </c>
      <c r="BK94">
        <v>1.5E-3</v>
      </c>
      <c r="BL94">
        <v>1.0000000000000001E-5</v>
      </c>
      <c r="BM94" t="s">
        <v>439</v>
      </c>
      <c r="BN94">
        <v>-4.2999999999999999E-4</v>
      </c>
      <c r="BO94">
        <v>2.0000000000000002E-5</v>
      </c>
      <c r="BP94" t="s">
        <v>439</v>
      </c>
      <c r="BQ94">
        <v>-4.4000000000000002E-4</v>
      </c>
      <c r="BR94">
        <v>2.9999999999999997E-4</v>
      </c>
      <c r="BS94" t="s">
        <v>439</v>
      </c>
      <c r="BV94" t="s">
        <v>440</v>
      </c>
      <c r="BW94">
        <v>-2.05409</v>
      </c>
      <c r="BX94">
        <v>1E-4</v>
      </c>
      <c r="BY94" t="s">
        <v>439</v>
      </c>
      <c r="BZ94">
        <v>3.46E-3</v>
      </c>
      <c r="CA94">
        <v>1.0000000000000001E-5</v>
      </c>
      <c r="CB94" t="s">
        <v>439</v>
      </c>
      <c r="CC94">
        <v>0.17025999999999999</v>
      </c>
      <c r="CD94">
        <v>1.1299999999999999E-3</v>
      </c>
      <c r="CE94" t="s">
        <v>442</v>
      </c>
      <c r="CF94">
        <v>0.18820000000000001</v>
      </c>
      <c r="CG94">
        <v>1.3699999999999999E-3</v>
      </c>
      <c r="CH94" t="s">
        <v>442</v>
      </c>
      <c r="CI94">
        <v>0.16356000000000001</v>
      </c>
      <c r="CJ94">
        <v>9.5E-4</v>
      </c>
      <c r="CK94" t="s">
        <v>442</v>
      </c>
      <c r="CL94">
        <v>7.8380000000000005E-2</v>
      </c>
      <c r="CM94">
        <v>7.2000000000000005E-4</v>
      </c>
      <c r="CN94" t="s">
        <v>442</v>
      </c>
      <c r="CO94">
        <v>10.173170000000001</v>
      </c>
      <c r="CP94">
        <v>0.71382999999999996</v>
      </c>
      <c r="CQ94" t="s">
        <v>442</v>
      </c>
      <c r="CR94">
        <v>1.3551599999999999</v>
      </c>
      <c r="CS94">
        <v>0.11584999999999999</v>
      </c>
      <c r="CT94" t="s">
        <v>442</v>
      </c>
      <c r="CU94">
        <v>3.8038799999999999</v>
      </c>
      <c r="CV94">
        <v>0.31058000000000002</v>
      </c>
      <c r="CW94" t="s">
        <v>442</v>
      </c>
      <c r="CX94">
        <v>13.42712</v>
      </c>
      <c r="CY94">
        <v>1.5202800000000001</v>
      </c>
      <c r="CZ94" t="s">
        <v>442</v>
      </c>
      <c r="DA94">
        <v>6.7204699999999997</v>
      </c>
      <c r="DB94">
        <v>0.41221999999999998</v>
      </c>
      <c r="DC94" t="s">
        <v>442</v>
      </c>
      <c r="DD94">
        <v>5.3395200000000003</v>
      </c>
      <c r="DE94">
        <v>0.49778</v>
      </c>
      <c r="DF94" t="s">
        <v>442</v>
      </c>
      <c r="DG94">
        <v>23.347529999999999</v>
      </c>
      <c r="DH94">
        <v>1.57019</v>
      </c>
      <c r="DI94" t="s">
        <v>442</v>
      </c>
      <c r="DJ94">
        <v>7.986E-2</v>
      </c>
      <c r="DK94">
        <v>1.014E-2</v>
      </c>
      <c r="DL94" t="s">
        <v>442</v>
      </c>
      <c r="DM94">
        <v>2.64E-3</v>
      </c>
      <c r="DN94">
        <v>6.8000000000000005E-4</v>
      </c>
      <c r="DO94" t="s">
        <v>439</v>
      </c>
      <c r="DP94">
        <v>0.54064999999999996</v>
      </c>
      <c r="DQ94">
        <v>3.7940000000000002E-2</v>
      </c>
      <c r="DR94" t="s">
        <v>442</v>
      </c>
      <c r="DS94">
        <v>0.30021999999999999</v>
      </c>
      <c r="DT94">
        <v>2.4109999999999999E-2</v>
      </c>
      <c r="DU94" t="s">
        <v>442</v>
      </c>
      <c r="DV94">
        <v>4.2740499999999999</v>
      </c>
      <c r="DW94">
        <v>0.37080000000000002</v>
      </c>
      <c r="DX94" t="s">
        <v>442</v>
      </c>
      <c r="DY94">
        <v>2.9510000000000002E-2</v>
      </c>
      <c r="DZ94">
        <v>3.2399999999999998E-3</v>
      </c>
      <c r="EA94" t="s">
        <v>442</v>
      </c>
      <c r="EB94">
        <v>5.6346100000000003</v>
      </c>
      <c r="EC94">
        <v>0.35603000000000001</v>
      </c>
      <c r="ED94" t="s">
        <v>442</v>
      </c>
      <c r="EE94">
        <v>1.5794299999999999</v>
      </c>
      <c r="EF94">
        <v>0.11849</v>
      </c>
      <c r="EG94" t="s">
        <v>442</v>
      </c>
      <c r="EH94">
        <v>40.34066</v>
      </c>
      <c r="EI94">
        <v>2.9557699999999998</v>
      </c>
      <c r="EJ94" t="s">
        <v>442</v>
      </c>
      <c r="EM94" t="s">
        <v>440</v>
      </c>
      <c r="EN94">
        <v>6.9281600000000001</v>
      </c>
      <c r="EO94">
        <v>0.57986000000000004</v>
      </c>
      <c r="EP94" t="s">
        <v>442</v>
      </c>
      <c r="ES94" t="s">
        <v>440</v>
      </c>
      <c r="ET94">
        <v>13.10041</v>
      </c>
      <c r="EU94">
        <v>0.27046999999999999</v>
      </c>
      <c r="EV94" t="s">
        <v>442</v>
      </c>
      <c r="EW94">
        <v>4.4000000000000002E-4</v>
      </c>
      <c r="EX94">
        <v>2.2000000000000001E-4</v>
      </c>
      <c r="EY94" t="s">
        <v>439</v>
      </c>
      <c r="EZ94">
        <v>0.87170999999999998</v>
      </c>
      <c r="FA94">
        <v>4.6620000000000002E-2</v>
      </c>
      <c r="FB94" t="s">
        <v>442</v>
      </c>
      <c r="FC94">
        <v>0.65561999999999998</v>
      </c>
      <c r="FD94">
        <v>6.2370000000000002E-2</v>
      </c>
      <c r="FE94" t="s">
        <v>439</v>
      </c>
      <c r="FF94">
        <v>2.8283700000000001</v>
      </c>
      <c r="FG94">
        <v>0.57201999999999997</v>
      </c>
      <c r="FH94" t="s">
        <v>441</v>
      </c>
      <c r="FK94" t="s">
        <v>440</v>
      </c>
      <c r="FN94" t="s">
        <v>440</v>
      </c>
      <c r="FO94">
        <v>7.0679100000000004</v>
      </c>
      <c r="FP94">
        <v>9.5259999999999997E-2</v>
      </c>
      <c r="FQ94" t="s">
        <v>441</v>
      </c>
      <c r="FT94" t="s">
        <v>440</v>
      </c>
      <c r="FX94">
        <v>93</v>
      </c>
    </row>
    <row r="95" spans="2:180" x14ac:dyDescent="0.2">
      <c r="B95" t="s">
        <v>161</v>
      </c>
      <c r="C95">
        <v>4.2599999999999999E-2</v>
      </c>
      <c r="D95">
        <v>2.4599999999999999E-3</v>
      </c>
      <c r="E95" t="s">
        <v>439</v>
      </c>
      <c r="F95">
        <v>1.102E-2</v>
      </c>
      <c r="G95">
        <v>2.7499999999999998E-3</v>
      </c>
      <c r="H95" t="s">
        <v>439</v>
      </c>
      <c r="I95">
        <v>7.2910000000000003E-2</v>
      </c>
      <c r="J95">
        <v>1.0200000000000001E-3</v>
      </c>
      <c r="K95" t="s">
        <v>442</v>
      </c>
      <c r="L95">
        <v>4.4819999999999999E-2</v>
      </c>
      <c r="M95">
        <v>8.7000000000000001E-4</v>
      </c>
      <c r="N95" t="s">
        <v>442</v>
      </c>
      <c r="O95">
        <v>3.8500000000000001E-3</v>
      </c>
      <c r="P95">
        <v>1.3999999999999999E-4</v>
      </c>
      <c r="Q95" t="s">
        <v>442</v>
      </c>
      <c r="R95">
        <v>6.83E-2</v>
      </c>
      <c r="S95">
        <v>1.06E-3</v>
      </c>
      <c r="T95" t="s">
        <v>442</v>
      </c>
      <c r="U95">
        <v>3.2000000000000003E-4</v>
      </c>
      <c r="V95">
        <v>1E-4</v>
      </c>
      <c r="W95" t="s">
        <v>439</v>
      </c>
      <c r="X95">
        <v>1.008E-2</v>
      </c>
      <c r="Y95">
        <v>1.8000000000000001E-4</v>
      </c>
      <c r="Z95" t="s">
        <v>439</v>
      </c>
      <c r="AA95">
        <v>3.4729999999999997E-2</v>
      </c>
      <c r="AB95">
        <v>3.6999999999999999E-4</v>
      </c>
      <c r="AC95" t="s">
        <v>442</v>
      </c>
      <c r="AD95">
        <v>5.543E-2</v>
      </c>
      <c r="AE95">
        <v>1.9E-3</v>
      </c>
      <c r="AF95" t="s">
        <v>442</v>
      </c>
      <c r="AI95" t="s">
        <v>440</v>
      </c>
      <c r="AJ95">
        <v>7.6881300000000001</v>
      </c>
      <c r="AK95">
        <v>2.1850000000000001E-2</v>
      </c>
      <c r="AL95" t="s">
        <v>441</v>
      </c>
      <c r="AM95">
        <v>9.8044499999999992</v>
      </c>
      <c r="AN95">
        <v>0.11745999999999999</v>
      </c>
      <c r="AO95" t="s">
        <v>442</v>
      </c>
      <c r="AP95">
        <v>-1.264E-2</v>
      </c>
      <c r="AQ95">
        <v>5.0000000000000002E-5</v>
      </c>
      <c r="AR95" t="s">
        <v>439</v>
      </c>
      <c r="AS95">
        <v>0.27639000000000002</v>
      </c>
      <c r="AT95">
        <v>3.2000000000000003E-4</v>
      </c>
      <c r="AU95" t="s">
        <v>442</v>
      </c>
      <c r="AV95">
        <v>6.9999999999999994E-5</v>
      </c>
      <c r="AW95">
        <v>1.2E-4</v>
      </c>
      <c r="AX95" t="s">
        <v>439</v>
      </c>
      <c r="AY95">
        <v>-3.0500000000000002E-3</v>
      </c>
      <c r="AZ95">
        <v>3.0000000000000001E-5</v>
      </c>
      <c r="BA95" t="s">
        <v>439</v>
      </c>
      <c r="BB95">
        <v>2.97E-3</v>
      </c>
      <c r="BC95">
        <v>1.7000000000000001E-4</v>
      </c>
      <c r="BD95" t="s">
        <v>442</v>
      </c>
      <c r="BE95">
        <v>8.0000000000000004E-4</v>
      </c>
      <c r="BF95">
        <v>1E-4</v>
      </c>
      <c r="BG95" t="s">
        <v>439</v>
      </c>
      <c r="BH95">
        <v>4.0000000000000002E-4</v>
      </c>
      <c r="BI95">
        <v>1.2999999999999999E-4</v>
      </c>
      <c r="BJ95" t="s">
        <v>439</v>
      </c>
      <c r="BK95">
        <v>1.5100000000000001E-3</v>
      </c>
      <c r="BL95">
        <v>1.0000000000000001E-5</v>
      </c>
      <c r="BM95" t="s">
        <v>439</v>
      </c>
      <c r="BN95">
        <v>-4.0999999999999999E-4</v>
      </c>
      <c r="BO95">
        <v>5.0000000000000002E-5</v>
      </c>
      <c r="BP95" t="s">
        <v>439</v>
      </c>
      <c r="BQ95">
        <v>-5.7000000000000002E-3</v>
      </c>
      <c r="BR95">
        <v>2.4000000000000001E-4</v>
      </c>
      <c r="BS95" t="s">
        <v>439</v>
      </c>
      <c r="BV95" t="s">
        <v>440</v>
      </c>
      <c r="BW95">
        <v>-2.0535999999999999</v>
      </c>
      <c r="BX95">
        <v>4.4999999999999999E-4</v>
      </c>
      <c r="BY95" t="s">
        <v>439</v>
      </c>
      <c r="BZ95">
        <v>4.64E-3</v>
      </c>
      <c r="CA95">
        <v>9.0000000000000006E-5</v>
      </c>
      <c r="CB95" t="s">
        <v>442</v>
      </c>
      <c r="CC95">
        <v>0.31716</v>
      </c>
      <c r="CD95">
        <v>4.0600000000000002E-3</v>
      </c>
      <c r="CE95" t="s">
        <v>442</v>
      </c>
      <c r="CF95">
        <v>0.33090999999999998</v>
      </c>
      <c r="CG95">
        <v>4.4600000000000004E-3</v>
      </c>
      <c r="CH95" t="s">
        <v>442</v>
      </c>
      <c r="CI95">
        <v>0.31052999999999997</v>
      </c>
      <c r="CJ95">
        <v>2.5100000000000001E-3</v>
      </c>
      <c r="CK95" t="s">
        <v>442</v>
      </c>
      <c r="CL95">
        <v>7.1599999999999997E-2</v>
      </c>
      <c r="CM95">
        <v>5.9000000000000003E-4</v>
      </c>
      <c r="CN95" t="s">
        <v>442</v>
      </c>
      <c r="CO95">
        <v>20.455159999999999</v>
      </c>
      <c r="CP95">
        <v>0.20383000000000001</v>
      </c>
      <c r="CQ95" t="s">
        <v>442</v>
      </c>
      <c r="CR95">
        <v>2.1133500000000001</v>
      </c>
      <c r="CS95">
        <v>5.2909999999999999E-2</v>
      </c>
      <c r="CT95" t="s">
        <v>442</v>
      </c>
      <c r="CU95">
        <v>2.9065500000000002</v>
      </c>
      <c r="CV95">
        <v>3.8190000000000002E-2</v>
      </c>
      <c r="CW95" t="s">
        <v>442</v>
      </c>
      <c r="CX95">
        <v>16.028580000000002</v>
      </c>
      <c r="CY95">
        <v>0.63829999999999998</v>
      </c>
      <c r="CZ95" t="s">
        <v>442</v>
      </c>
      <c r="DA95">
        <v>9.4647900000000007</v>
      </c>
      <c r="DB95">
        <v>0.32835999999999999</v>
      </c>
      <c r="DC95" t="s">
        <v>442</v>
      </c>
      <c r="DD95">
        <v>13.736079999999999</v>
      </c>
      <c r="DE95">
        <v>0.12973000000000001</v>
      </c>
      <c r="DF95" t="s">
        <v>442</v>
      </c>
      <c r="DG95">
        <v>19.35745</v>
      </c>
      <c r="DH95">
        <v>0.26839000000000002</v>
      </c>
      <c r="DI95" t="s">
        <v>442</v>
      </c>
      <c r="DJ95">
        <v>8.6379999999999998E-2</v>
      </c>
      <c r="DK95">
        <v>7.7799999999999996E-3</v>
      </c>
      <c r="DL95" t="s">
        <v>442</v>
      </c>
      <c r="DM95">
        <v>4.6600000000000001E-3</v>
      </c>
      <c r="DN95">
        <v>8.4000000000000003E-4</v>
      </c>
      <c r="DO95" t="s">
        <v>442</v>
      </c>
      <c r="DP95">
        <v>1.5350900000000001</v>
      </c>
      <c r="DQ95">
        <v>2.99E-3</v>
      </c>
      <c r="DR95" t="s">
        <v>442</v>
      </c>
      <c r="DS95">
        <v>0.84655000000000002</v>
      </c>
      <c r="DT95">
        <v>1.225E-2</v>
      </c>
      <c r="DU95" t="s">
        <v>442</v>
      </c>
      <c r="DV95">
        <v>7.7027900000000002</v>
      </c>
      <c r="DW95">
        <v>8.133E-2</v>
      </c>
      <c r="DX95" t="s">
        <v>442</v>
      </c>
      <c r="DY95">
        <v>3.4750000000000003E-2</v>
      </c>
      <c r="DZ95">
        <v>2.0300000000000001E-3</v>
      </c>
      <c r="EA95" t="s">
        <v>442</v>
      </c>
      <c r="EB95">
        <v>1.71488</v>
      </c>
      <c r="EC95">
        <v>1.5440000000000001E-2</v>
      </c>
      <c r="ED95" t="s">
        <v>442</v>
      </c>
      <c r="EE95">
        <v>1.10538</v>
      </c>
      <c r="EF95">
        <v>1.8030000000000001E-2</v>
      </c>
      <c r="EG95" t="s">
        <v>442</v>
      </c>
      <c r="EH95">
        <v>72.619380000000007</v>
      </c>
      <c r="EI95">
        <v>1.42075</v>
      </c>
      <c r="EJ95" t="s">
        <v>442</v>
      </c>
      <c r="EM95" t="s">
        <v>440</v>
      </c>
      <c r="EN95">
        <v>7.7425199999999998</v>
      </c>
      <c r="EO95">
        <v>0.18314</v>
      </c>
      <c r="EP95" t="s">
        <v>442</v>
      </c>
      <c r="ES95" t="s">
        <v>440</v>
      </c>
      <c r="ET95">
        <v>36.36448</v>
      </c>
      <c r="EU95">
        <v>1.1715</v>
      </c>
      <c r="EV95" t="s">
        <v>442</v>
      </c>
      <c r="EW95">
        <v>2.6800000000000001E-3</v>
      </c>
      <c r="EX95">
        <v>1.72E-3</v>
      </c>
      <c r="EY95" t="s">
        <v>439</v>
      </c>
      <c r="EZ95">
        <v>3.0825499999999999</v>
      </c>
      <c r="FA95">
        <v>0.18310000000000001</v>
      </c>
      <c r="FB95" t="s">
        <v>442</v>
      </c>
      <c r="FC95">
        <v>1.4130100000000001</v>
      </c>
      <c r="FD95">
        <v>7.911E-2</v>
      </c>
      <c r="FE95" t="s">
        <v>439</v>
      </c>
      <c r="FF95">
        <v>5.7623899999999999</v>
      </c>
      <c r="FG95">
        <v>0.57081000000000004</v>
      </c>
      <c r="FH95" t="s">
        <v>441</v>
      </c>
      <c r="FK95" t="s">
        <v>440</v>
      </c>
      <c r="FN95" t="s">
        <v>440</v>
      </c>
      <c r="FO95">
        <v>8.0287100000000002</v>
      </c>
      <c r="FP95">
        <v>0.27872000000000002</v>
      </c>
      <c r="FQ95" t="s">
        <v>441</v>
      </c>
      <c r="FT95" t="s">
        <v>440</v>
      </c>
      <c r="FX95">
        <v>94</v>
      </c>
    </row>
    <row r="96" spans="2:180" x14ac:dyDescent="0.2">
      <c r="B96" t="s">
        <v>162</v>
      </c>
      <c r="C96">
        <v>5.5129999999999998E-2</v>
      </c>
      <c r="D96">
        <v>2.5000000000000001E-3</v>
      </c>
      <c r="E96" t="s">
        <v>439</v>
      </c>
      <c r="F96">
        <v>1.208E-2</v>
      </c>
      <c r="G96">
        <v>1.1299999999999999E-3</v>
      </c>
      <c r="H96" t="s">
        <v>439</v>
      </c>
      <c r="I96">
        <v>0.38729000000000002</v>
      </c>
      <c r="J96">
        <v>7.8399999999999997E-3</v>
      </c>
      <c r="K96" t="s">
        <v>442</v>
      </c>
      <c r="L96">
        <v>0.70245000000000002</v>
      </c>
      <c r="M96">
        <v>1.1820000000000001E-2</v>
      </c>
      <c r="N96" t="s">
        <v>442</v>
      </c>
      <c r="O96">
        <v>5.0400000000000002E-3</v>
      </c>
      <c r="P96">
        <v>4.0000000000000003E-5</v>
      </c>
      <c r="Q96" t="s">
        <v>442</v>
      </c>
      <c r="R96">
        <v>9.0810000000000002E-2</v>
      </c>
      <c r="S96">
        <v>2.4000000000000001E-4</v>
      </c>
      <c r="T96" t="s">
        <v>442</v>
      </c>
      <c r="U96">
        <v>7.2999999999999996E-4</v>
      </c>
      <c r="V96">
        <v>4.0000000000000003E-5</v>
      </c>
      <c r="W96" t="s">
        <v>439</v>
      </c>
      <c r="X96">
        <v>1.1169999999999999E-2</v>
      </c>
      <c r="Y96">
        <v>4.0999999999999999E-4</v>
      </c>
      <c r="Z96" t="s">
        <v>439</v>
      </c>
      <c r="AA96">
        <v>4.3279999999999999E-2</v>
      </c>
      <c r="AB96">
        <v>1.7099999999999999E-3</v>
      </c>
      <c r="AC96" t="s">
        <v>442</v>
      </c>
      <c r="AD96">
        <v>0.13442000000000001</v>
      </c>
      <c r="AE96">
        <v>1.39E-3</v>
      </c>
      <c r="AF96" t="s">
        <v>442</v>
      </c>
      <c r="AI96" t="s">
        <v>440</v>
      </c>
      <c r="AJ96">
        <v>4.0225400000000002</v>
      </c>
      <c r="AK96">
        <v>9.6299999999999997E-2</v>
      </c>
      <c r="AL96" t="s">
        <v>441</v>
      </c>
      <c r="AM96">
        <v>2.6538300000000001</v>
      </c>
      <c r="AN96">
        <v>6.7080000000000001E-2</v>
      </c>
      <c r="AO96" t="s">
        <v>442</v>
      </c>
      <c r="AP96">
        <v>5.5500000000000002E-3</v>
      </c>
      <c r="AQ96">
        <v>7.6000000000000004E-4</v>
      </c>
      <c r="AR96" t="s">
        <v>442</v>
      </c>
      <c r="AS96">
        <v>2.9276900000000001</v>
      </c>
      <c r="AT96">
        <v>7.0379999999999998E-2</v>
      </c>
      <c r="AU96" t="s">
        <v>442</v>
      </c>
      <c r="AV96">
        <v>2.64E-3</v>
      </c>
      <c r="AW96">
        <v>8.0000000000000007E-5</v>
      </c>
      <c r="AX96" t="s">
        <v>442</v>
      </c>
      <c r="AY96">
        <v>2.9999999999999997E-4</v>
      </c>
      <c r="AZ96">
        <v>2.7999999999999998E-4</v>
      </c>
      <c r="BA96" t="s">
        <v>439</v>
      </c>
      <c r="BB96">
        <v>3.96E-3</v>
      </c>
      <c r="BC96">
        <v>1.9000000000000001E-4</v>
      </c>
      <c r="BD96" t="s">
        <v>442</v>
      </c>
      <c r="BE96">
        <v>7.6000000000000004E-4</v>
      </c>
      <c r="BF96">
        <v>1.9000000000000001E-4</v>
      </c>
      <c r="BG96" t="s">
        <v>439</v>
      </c>
      <c r="BH96">
        <v>4.2999999999999999E-4</v>
      </c>
      <c r="BI96">
        <v>6.0000000000000002E-5</v>
      </c>
      <c r="BJ96" t="s">
        <v>439</v>
      </c>
      <c r="BK96">
        <v>1.5299999999999999E-3</v>
      </c>
      <c r="BL96">
        <v>2.0000000000000002E-5</v>
      </c>
      <c r="BM96" t="s">
        <v>439</v>
      </c>
      <c r="BN96">
        <v>-2.0000000000000001E-4</v>
      </c>
      <c r="BO96">
        <v>1.2999999999999999E-4</v>
      </c>
      <c r="BP96" t="s">
        <v>439</v>
      </c>
      <c r="BQ96">
        <v>7.1799999999999998E-3</v>
      </c>
      <c r="BR96">
        <v>8.4999999999999995E-4</v>
      </c>
      <c r="BS96" t="s">
        <v>442</v>
      </c>
      <c r="BV96" t="s">
        <v>440</v>
      </c>
      <c r="BW96">
        <v>-2.0534400000000002</v>
      </c>
      <c r="BX96">
        <v>6.4999999999999997E-4</v>
      </c>
      <c r="BY96" t="s">
        <v>439</v>
      </c>
      <c r="BZ96">
        <v>2.707E-2</v>
      </c>
      <c r="CA96">
        <v>2.1000000000000001E-4</v>
      </c>
      <c r="CB96" t="s">
        <v>442</v>
      </c>
      <c r="CC96">
        <v>1.6599600000000001</v>
      </c>
      <c r="CD96">
        <v>4.4679999999999997E-2</v>
      </c>
      <c r="CE96" t="s">
        <v>442</v>
      </c>
      <c r="CF96">
        <v>1.58673</v>
      </c>
      <c r="CG96">
        <v>2.555E-2</v>
      </c>
      <c r="CH96" t="s">
        <v>442</v>
      </c>
      <c r="CI96">
        <v>1.6460999999999999</v>
      </c>
      <c r="CJ96">
        <v>3.8030000000000001E-2</v>
      </c>
      <c r="CK96" t="s">
        <v>442</v>
      </c>
      <c r="CL96">
        <v>6.9709999999999994E-2</v>
      </c>
      <c r="CM96">
        <v>5.9000000000000003E-4</v>
      </c>
      <c r="CN96" t="s">
        <v>442</v>
      </c>
      <c r="CO96">
        <v>33.770269999999996</v>
      </c>
      <c r="CP96">
        <v>5.1029999999999999E-2</v>
      </c>
      <c r="CQ96" t="s">
        <v>442</v>
      </c>
      <c r="CR96">
        <v>13.234819999999999</v>
      </c>
      <c r="CS96">
        <v>7.9469999999999999E-2</v>
      </c>
      <c r="CT96" t="s">
        <v>442</v>
      </c>
      <c r="CU96">
        <v>3.89161</v>
      </c>
      <c r="CV96">
        <v>1.443E-2</v>
      </c>
      <c r="CW96" t="s">
        <v>442</v>
      </c>
      <c r="CX96">
        <v>18.50695</v>
      </c>
      <c r="CY96">
        <v>0.30959999999999999</v>
      </c>
      <c r="CZ96" t="s">
        <v>442</v>
      </c>
      <c r="DA96">
        <v>5.8853999999999997</v>
      </c>
      <c r="DB96">
        <v>0.11002000000000001</v>
      </c>
      <c r="DC96" t="s">
        <v>442</v>
      </c>
      <c r="DD96">
        <v>146.5796</v>
      </c>
      <c r="DE96">
        <v>0.93535000000000001</v>
      </c>
      <c r="DF96" t="s">
        <v>442</v>
      </c>
      <c r="DG96">
        <v>59.415660000000003</v>
      </c>
      <c r="DH96">
        <v>0.90195999999999998</v>
      </c>
      <c r="DI96" t="s">
        <v>442</v>
      </c>
      <c r="DJ96">
        <v>0.34342</v>
      </c>
      <c r="DK96">
        <v>3.0500000000000002E-3</v>
      </c>
      <c r="DL96" t="s">
        <v>442</v>
      </c>
      <c r="DM96">
        <v>9.3399999999999993E-3</v>
      </c>
      <c r="DN96">
        <v>9.3000000000000005E-4</v>
      </c>
      <c r="DO96" t="s">
        <v>442</v>
      </c>
      <c r="DP96">
        <v>0.3957</v>
      </c>
      <c r="DQ96">
        <v>9.3699999999999999E-3</v>
      </c>
      <c r="DR96" t="s">
        <v>442</v>
      </c>
      <c r="DS96">
        <v>2.6767500000000002</v>
      </c>
      <c r="DT96">
        <v>4.4060000000000002E-2</v>
      </c>
      <c r="DU96" t="s">
        <v>442</v>
      </c>
      <c r="DV96">
        <v>13.65192</v>
      </c>
      <c r="DW96">
        <v>0.30829000000000001</v>
      </c>
      <c r="DX96" t="s">
        <v>442</v>
      </c>
      <c r="DY96">
        <v>1.125E-2</v>
      </c>
      <c r="DZ96">
        <v>3.6000000000000002E-4</v>
      </c>
      <c r="EA96" t="s">
        <v>439</v>
      </c>
      <c r="EB96">
        <v>3.2647400000000002</v>
      </c>
      <c r="EC96">
        <v>9.8290000000000002E-2</v>
      </c>
      <c r="ED96" t="s">
        <v>442</v>
      </c>
      <c r="EE96">
        <v>2.2044999999999999</v>
      </c>
      <c r="EF96">
        <v>6.0080000000000001E-2</v>
      </c>
      <c r="EG96" t="s">
        <v>442</v>
      </c>
      <c r="EH96">
        <v>35.109050000000003</v>
      </c>
      <c r="EI96">
        <v>0.56837000000000004</v>
      </c>
      <c r="EJ96" t="s">
        <v>442</v>
      </c>
      <c r="EM96" t="s">
        <v>440</v>
      </c>
      <c r="EN96">
        <v>4.1443300000000001</v>
      </c>
      <c r="EO96">
        <v>5.0819999999999997E-2</v>
      </c>
      <c r="EP96" t="s">
        <v>442</v>
      </c>
      <c r="ES96" t="s">
        <v>440</v>
      </c>
      <c r="ET96">
        <v>162.79419999999999</v>
      </c>
      <c r="EU96">
        <v>3.1974200000000002</v>
      </c>
      <c r="EV96" t="s">
        <v>442</v>
      </c>
      <c r="EW96">
        <v>3.2100000000000002E-3</v>
      </c>
      <c r="EX96">
        <v>3.8500000000000001E-3</v>
      </c>
      <c r="EY96" t="s">
        <v>439</v>
      </c>
      <c r="EZ96">
        <v>257.71375999999998</v>
      </c>
      <c r="FA96">
        <v>6.5460599999999998</v>
      </c>
      <c r="FB96" t="s">
        <v>442</v>
      </c>
      <c r="FC96">
        <v>2.1068600000000002</v>
      </c>
      <c r="FD96">
        <v>0.31134000000000001</v>
      </c>
      <c r="FE96" t="s">
        <v>442</v>
      </c>
      <c r="FF96">
        <v>5.2233999999999998</v>
      </c>
      <c r="FG96">
        <v>0.21531</v>
      </c>
      <c r="FH96" t="s">
        <v>441</v>
      </c>
      <c r="FK96" t="s">
        <v>440</v>
      </c>
      <c r="FN96" t="s">
        <v>440</v>
      </c>
      <c r="FO96">
        <v>4.2891300000000001</v>
      </c>
      <c r="FP96">
        <v>7.2279999999999997E-2</v>
      </c>
      <c r="FQ96" t="s">
        <v>441</v>
      </c>
      <c r="FT96" t="s">
        <v>440</v>
      </c>
      <c r="FX96">
        <v>95</v>
      </c>
    </row>
    <row r="97" spans="2:180" x14ac:dyDescent="0.2">
      <c r="B97" t="s">
        <v>163</v>
      </c>
      <c r="C97">
        <v>8.4080000000000002E-2</v>
      </c>
      <c r="D97">
        <v>5.11E-3</v>
      </c>
      <c r="E97" t="s">
        <v>442</v>
      </c>
      <c r="F97">
        <v>1.298E-2</v>
      </c>
      <c r="G97">
        <v>2.8400000000000001E-3</v>
      </c>
      <c r="H97" t="s">
        <v>439</v>
      </c>
      <c r="I97">
        <v>0.82835000000000003</v>
      </c>
      <c r="J97">
        <v>1.349E-2</v>
      </c>
      <c r="K97" t="s">
        <v>442</v>
      </c>
      <c r="L97">
        <v>0.25470999999999999</v>
      </c>
      <c r="M97">
        <v>4.0499999999999998E-3</v>
      </c>
      <c r="N97" t="s">
        <v>442</v>
      </c>
      <c r="O97">
        <v>3.9300000000000003E-3</v>
      </c>
      <c r="P97">
        <v>8.0000000000000007E-5</v>
      </c>
      <c r="Q97" t="s">
        <v>442</v>
      </c>
      <c r="R97">
        <v>0.11012</v>
      </c>
      <c r="S97">
        <v>4.8000000000000001E-4</v>
      </c>
      <c r="T97" t="s">
        <v>442</v>
      </c>
      <c r="U97">
        <v>8.8000000000000003E-4</v>
      </c>
      <c r="V97">
        <v>8.0000000000000007E-5</v>
      </c>
      <c r="W97" t="s">
        <v>439</v>
      </c>
      <c r="X97">
        <v>1.0840000000000001E-2</v>
      </c>
      <c r="Y97">
        <v>8.0000000000000007E-5</v>
      </c>
      <c r="Z97" t="s">
        <v>439</v>
      </c>
      <c r="AA97">
        <v>7.6999999999999999E-2</v>
      </c>
      <c r="AB97">
        <v>6.6E-4</v>
      </c>
      <c r="AC97" t="s">
        <v>442</v>
      </c>
      <c r="AD97">
        <v>0.30179</v>
      </c>
      <c r="AE97">
        <v>7.28E-3</v>
      </c>
      <c r="AF97" t="s">
        <v>442</v>
      </c>
      <c r="AI97" t="s">
        <v>440</v>
      </c>
      <c r="AJ97">
        <v>7.9483600000000001</v>
      </c>
      <c r="AK97">
        <v>6.7879999999999996E-2</v>
      </c>
      <c r="AL97" t="s">
        <v>441</v>
      </c>
      <c r="AM97">
        <v>4.3624299999999998</v>
      </c>
      <c r="AN97">
        <v>7.8100000000000001E-3</v>
      </c>
      <c r="AO97" t="s">
        <v>442</v>
      </c>
      <c r="AP97">
        <v>3.209E-2</v>
      </c>
      <c r="AQ97">
        <v>4.2000000000000002E-4</v>
      </c>
      <c r="AR97" t="s">
        <v>442</v>
      </c>
      <c r="AS97">
        <v>1.77624</v>
      </c>
      <c r="AT97">
        <v>3.585E-2</v>
      </c>
      <c r="AU97" t="s">
        <v>442</v>
      </c>
      <c r="AV97">
        <v>1.9109999999999999E-2</v>
      </c>
      <c r="AW97">
        <v>2.5999999999999998E-4</v>
      </c>
      <c r="AX97" t="s">
        <v>442</v>
      </c>
      <c r="AY97">
        <v>1.6299999999999999E-2</v>
      </c>
      <c r="AZ97">
        <v>1.7000000000000001E-4</v>
      </c>
      <c r="BA97" t="s">
        <v>442</v>
      </c>
      <c r="BB97">
        <v>1.3639999999999999E-2</v>
      </c>
      <c r="BC97">
        <v>6.4000000000000005E-4</v>
      </c>
      <c r="BD97" t="s">
        <v>442</v>
      </c>
      <c r="BE97">
        <v>1.1100000000000001E-3</v>
      </c>
      <c r="BF97">
        <v>2.9E-4</v>
      </c>
      <c r="BG97" t="s">
        <v>439</v>
      </c>
      <c r="BH97">
        <v>7.6999999999999996E-4</v>
      </c>
      <c r="BI97">
        <v>1.4999999999999999E-4</v>
      </c>
      <c r="BJ97" t="s">
        <v>439</v>
      </c>
      <c r="BK97">
        <v>1.5499999999999999E-3</v>
      </c>
      <c r="BL97">
        <v>3.0000000000000001E-5</v>
      </c>
      <c r="BM97" t="s">
        <v>439</v>
      </c>
      <c r="BN97">
        <v>-4.6999999999999999E-4</v>
      </c>
      <c r="BO97">
        <v>1.0000000000000001E-5</v>
      </c>
      <c r="BP97" t="s">
        <v>439</v>
      </c>
      <c r="BQ97">
        <v>1.31E-3</v>
      </c>
      <c r="BR97">
        <v>6.4999999999999997E-4</v>
      </c>
      <c r="BS97" t="s">
        <v>439</v>
      </c>
      <c r="BV97" t="s">
        <v>440</v>
      </c>
      <c r="BW97">
        <v>-2.0529799999999998</v>
      </c>
      <c r="BX97">
        <v>3.4000000000000002E-4</v>
      </c>
      <c r="BY97" t="s">
        <v>439</v>
      </c>
      <c r="BZ97">
        <v>6.0539999999999997E-2</v>
      </c>
      <c r="CA97">
        <v>8.4999999999999995E-4</v>
      </c>
      <c r="CB97" t="s">
        <v>442</v>
      </c>
      <c r="CC97">
        <v>3.9476599999999999</v>
      </c>
      <c r="CD97">
        <v>7.1279999999999996E-2</v>
      </c>
      <c r="CE97" t="s">
        <v>442</v>
      </c>
      <c r="CF97">
        <v>3.7357900000000002</v>
      </c>
      <c r="CG97">
        <v>8.9940000000000006E-2</v>
      </c>
      <c r="CH97" t="s">
        <v>442</v>
      </c>
      <c r="CI97">
        <v>4.0026799999999998</v>
      </c>
      <c r="CJ97">
        <v>7.0980000000000001E-2</v>
      </c>
      <c r="CK97" t="s">
        <v>442</v>
      </c>
      <c r="CL97">
        <v>0.16044</v>
      </c>
      <c r="CM97">
        <v>2.0899999999999998E-3</v>
      </c>
      <c r="CN97" t="s">
        <v>442</v>
      </c>
      <c r="CO97">
        <v>75.199789999999993</v>
      </c>
      <c r="CP97">
        <v>1.4347700000000001</v>
      </c>
      <c r="CQ97" t="s">
        <v>442</v>
      </c>
      <c r="CR97">
        <v>5.2331799999999999</v>
      </c>
      <c r="CS97">
        <v>0.11198</v>
      </c>
      <c r="CT97" t="s">
        <v>442</v>
      </c>
      <c r="CU97">
        <v>3.5101100000000001</v>
      </c>
      <c r="CV97">
        <v>9.4479999999999995E-2</v>
      </c>
      <c r="CW97" t="s">
        <v>442</v>
      </c>
      <c r="CX97">
        <v>36.993130000000001</v>
      </c>
      <c r="CY97">
        <v>0.84326999999999996</v>
      </c>
      <c r="CZ97" t="s">
        <v>442</v>
      </c>
      <c r="DA97">
        <v>5.27867</v>
      </c>
      <c r="DB97">
        <v>0.26735999999999999</v>
      </c>
      <c r="DC97" t="s">
        <v>442</v>
      </c>
      <c r="DD97">
        <v>301.83951000000002</v>
      </c>
      <c r="DE97">
        <v>8.3355200000000007</v>
      </c>
      <c r="DF97" t="s">
        <v>442</v>
      </c>
      <c r="DG97">
        <v>29.563500000000001</v>
      </c>
      <c r="DH97">
        <v>0.52905000000000002</v>
      </c>
      <c r="DI97" t="s">
        <v>442</v>
      </c>
      <c r="DJ97">
        <v>0.14016000000000001</v>
      </c>
      <c r="DK97">
        <v>5.9500000000000004E-3</v>
      </c>
      <c r="DL97" t="s">
        <v>442</v>
      </c>
      <c r="DM97">
        <v>8.2900000000000005E-3</v>
      </c>
      <c r="DN97">
        <v>5.5000000000000003E-4</v>
      </c>
      <c r="DO97" t="s">
        <v>442</v>
      </c>
      <c r="DP97">
        <v>0.27771000000000001</v>
      </c>
      <c r="DQ97">
        <v>1.225E-2</v>
      </c>
      <c r="DR97" t="s">
        <v>442</v>
      </c>
      <c r="DS97">
        <v>1.3697299999999999</v>
      </c>
      <c r="DT97">
        <v>5.7880000000000001E-2</v>
      </c>
      <c r="DU97" t="s">
        <v>442</v>
      </c>
      <c r="DV97">
        <v>11.50239</v>
      </c>
      <c r="DW97">
        <v>0.50871</v>
      </c>
      <c r="DX97" t="s">
        <v>442</v>
      </c>
      <c r="DY97">
        <v>6.8300000000000001E-3</v>
      </c>
      <c r="DZ97">
        <v>2.0000000000000001E-4</v>
      </c>
      <c r="EA97" t="s">
        <v>439</v>
      </c>
      <c r="EB97">
        <v>0.23807</v>
      </c>
      <c r="EC97">
        <v>7.5700000000000003E-3</v>
      </c>
      <c r="ED97" t="s">
        <v>442</v>
      </c>
      <c r="EE97">
        <v>3.6067</v>
      </c>
      <c r="EF97">
        <v>0.14011999999999999</v>
      </c>
      <c r="EG97" t="s">
        <v>442</v>
      </c>
      <c r="EH97">
        <v>61.906019999999998</v>
      </c>
      <c r="EI97">
        <v>2.4267300000000001</v>
      </c>
      <c r="EJ97" t="s">
        <v>442</v>
      </c>
      <c r="EM97" t="s">
        <v>440</v>
      </c>
      <c r="EN97">
        <v>8.0767299999999995</v>
      </c>
      <c r="EO97">
        <v>0.33350000000000002</v>
      </c>
      <c r="EP97" t="s">
        <v>442</v>
      </c>
      <c r="ES97" t="s">
        <v>440</v>
      </c>
      <c r="ET97">
        <v>329.49488000000002</v>
      </c>
      <c r="EU97">
        <v>5.0751400000000002</v>
      </c>
      <c r="EV97" t="s">
        <v>442</v>
      </c>
      <c r="EW97">
        <v>6.6100000000000004E-3</v>
      </c>
      <c r="EX97">
        <v>1.1299999999999999E-3</v>
      </c>
      <c r="EY97" t="s">
        <v>442</v>
      </c>
      <c r="EZ97">
        <v>171.66571999999999</v>
      </c>
      <c r="FA97">
        <v>2.4488300000000001</v>
      </c>
      <c r="FB97" t="s">
        <v>442</v>
      </c>
      <c r="FC97">
        <v>2.9619</v>
      </c>
      <c r="FD97">
        <v>0.17568</v>
      </c>
      <c r="FE97" t="s">
        <v>442</v>
      </c>
      <c r="FF97">
        <v>5.9629599999999998</v>
      </c>
      <c r="FG97">
        <v>0.36468</v>
      </c>
      <c r="FH97" t="s">
        <v>441</v>
      </c>
      <c r="FK97" t="s">
        <v>440</v>
      </c>
      <c r="FN97" t="s">
        <v>440</v>
      </c>
      <c r="FO97">
        <v>8.1499799999999993</v>
      </c>
      <c r="FP97">
        <v>0.14341000000000001</v>
      </c>
      <c r="FQ97" t="s">
        <v>441</v>
      </c>
      <c r="FT97" t="s">
        <v>440</v>
      </c>
      <c r="FU97">
        <v>2</v>
      </c>
      <c r="FX97">
        <v>96</v>
      </c>
    </row>
    <row r="98" spans="2:180" x14ac:dyDescent="0.2">
      <c r="B98" t="s">
        <v>164</v>
      </c>
      <c r="C98">
        <v>1.1388799999999999</v>
      </c>
      <c r="D98">
        <v>2.93E-2</v>
      </c>
      <c r="E98" t="s">
        <v>443</v>
      </c>
      <c r="F98">
        <v>1.17266</v>
      </c>
      <c r="G98">
        <v>2.7269999999999999E-2</v>
      </c>
      <c r="H98" t="s">
        <v>443</v>
      </c>
      <c r="I98">
        <v>1.1352199999999999</v>
      </c>
      <c r="J98">
        <v>0.04</v>
      </c>
      <c r="K98" t="s">
        <v>443</v>
      </c>
      <c r="L98">
        <v>1.1627799999999999</v>
      </c>
      <c r="M98">
        <v>2.4119999999999999E-2</v>
      </c>
      <c r="N98" t="s">
        <v>443</v>
      </c>
      <c r="O98">
        <v>1.14829</v>
      </c>
      <c r="P98">
        <v>2.6079999999999999E-2</v>
      </c>
      <c r="Q98" t="s">
        <v>443</v>
      </c>
      <c r="R98">
        <v>1.1175900000000001</v>
      </c>
      <c r="S98">
        <v>3.236E-2</v>
      </c>
      <c r="T98" t="s">
        <v>443</v>
      </c>
      <c r="U98">
        <v>1.1366099999999999</v>
      </c>
      <c r="V98">
        <v>3.1910000000000001E-2</v>
      </c>
      <c r="W98" t="s">
        <v>443</v>
      </c>
      <c r="X98">
        <v>1.0965100000000001</v>
      </c>
      <c r="Y98">
        <v>3.9149999999999997E-2</v>
      </c>
      <c r="Z98" t="s">
        <v>443</v>
      </c>
      <c r="AA98">
        <v>1.1208400000000001</v>
      </c>
      <c r="AB98">
        <v>4.1200000000000001E-2</v>
      </c>
      <c r="AC98" t="s">
        <v>443</v>
      </c>
      <c r="AD98">
        <v>1.12856</v>
      </c>
      <c r="AE98">
        <v>3.8309999999999997E-2</v>
      </c>
      <c r="AF98" t="s">
        <v>443</v>
      </c>
      <c r="AI98" t="s">
        <v>440</v>
      </c>
      <c r="AJ98">
        <v>1.1172500000000001</v>
      </c>
      <c r="AK98">
        <v>5.0470000000000001E-2</v>
      </c>
      <c r="AL98" t="s">
        <v>444</v>
      </c>
      <c r="AM98">
        <v>1.1706099999999999</v>
      </c>
      <c r="AN98">
        <v>4.2549999999999998E-2</v>
      </c>
      <c r="AO98" t="s">
        <v>443</v>
      </c>
      <c r="AP98">
        <v>1.15768</v>
      </c>
      <c r="AQ98">
        <v>5.534E-2</v>
      </c>
      <c r="AR98" t="s">
        <v>443</v>
      </c>
      <c r="AS98">
        <v>3.9136799999999998</v>
      </c>
      <c r="AT98">
        <v>0.15586</v>
      </c>
      <c r="AU98" t="s">
        <v>443</v>
      </c>
      <c r="AV98">
        <v>1.13856</v>
      </c>
      <c r="AW98">
        <v>4.9439999999999998E-2</v>
      </c>
      <c r="AX98" t="s">
        <v>443</v>
      </c>
      <c r="AY98">
        <v>1.1481300000000001</v>
      </c>
      <c r="AZ98">
        <v>3.5790000000000002E-2</v>
      </c>
      <c r="BA98" t="s">
        <v>443</v>
      </c>
      <c r="BB98">
        <v>1.14727</v>
      </c>
      <c r="BC98">
        <v>3.943E-2</v>
      </c>
      <c r="BD98" t="s">
        <v>443</v>
      </c>
      <c r="BE98">
        <v>1.15235</v>
      </c>
      <c r="BF98">
        <v>4.6899999999999997E-2</v>
      </c>
      <c r="BG98" t="s">
        <v>443</v>
      </c>
      <c r="BH98">
        <v>1.12954</v>
      </c>
      <c r="BI98">
        <v>2.8060000000000002E-2</v>
      </c>
      <c r="BJ98" t="s">
        <v>443</v>
      </c>
      <c r="BK98">
        <v>1.18604</v>
      </c>
      <c r="BL98">
        <v>3.6970000000000003E-2</v>
      </c>
      <c r="BM98" t="s">
        <v>443</v>
      </c>
      <c r="BN98">
        <v>1.1558900000000001</v>
      </c>
      <c r="BO98">
        <v>3.9190000000000003E-2</v>
      </c>
      <c r="BP98" t="s">
        <v>443</v>
      </c>
      <c r="BQ98">
        <v>1.1606000000000001</v>
      </c>
      <c r="BR98">
        <v>4.8759999999999998E-2</v>
      </c>
      <c r="BS98" t="s">
        <v>443</v>
      </c>
      <c r="BV98" t="s">
        <v>440</v>
      </c>
      <c r="BW98">
        <v>-1.2011000000000001</v>
      </c>
      <c r="BX98">
        <v>2.7400000000000001E-2</v>
      </c>
      <c r="BY98" t="s">
        <v>445</v>
      </c>
      <c r="BZ98">
        <v>1.1395999999999999</v>
      </c>
      <c r="CA98">
        <v>1.333E-2</v>
      </c>
      <c r="CB98" t="s">
        <v>443</v>
      </c>
      <c r="CC98">
        <v>1.0866499999999999</v>
      </c>
      <c r="CD98">
        <v>3.9399999999999998E-2</v>
      </c>
      <c r="CE98" t="s">
        <v>443</v>
      </c>
      <c r="CF98">
        <v>1.0972599999999999</v>
      </c>
      <c r="CG98">
        <v>3.8379999999999997E-2</v>
      </c>
      <c r="CH98" t="s">
        <v>443</v>
      </c>
      <c r="CI98">
        <v>1.09965</v>
      </c>
      <c r="CJ98">
        <v>4.6609999999999999E-2</v>
      </c>
      <c r="CK98" t="s">
        <v>443</v>
      </c>
      <c r="CL98">
        <v>1.20058</v>
      </c>
      <c r="CM98">
        <v>3.8449999999999998E-2</v>
      </c>
      <c r="CN98" t="s">
        <v>443</v>
      </c>
      <c r="CO98">
        <v>7.2759600000000004</v>
      </c>
      <c r="CP98">
        <v>6.9690000000000002E-2</v>
      </c>
      <c r="CQ98" t="s">
        <v>443</v>
      </c>
      <c r="CR98">
        <v>8.0501000000000005</v>
      </c>
      <c r="CS98">
        <v>0.14363999999999999</v>
      </c>
      <c r="CT98" t="s">
        <v>443</v>
      </c>
      <c r="CU98">
        <v>3.9406099999999999</v>
      </c>
      <c r="CV98">
        <v>0.12425</v>
      </c>
      <c r="CW98" t="s">
        <v>443</v>
      </c>
      <c r="CX98">
        <v>7.3215000000000003</v>
      </c>
      <c r="CY98">
        <v>0.21768999999999999</v>
      </c>
      <c r="CZ98" t="s">
        <v>443</v>
      </c>
      <c r="DA98">
        <v>1.2370099999999999</v>
      </c>
      <c r="DB98">
        <v>8.6330000000000004E-2</v>
      </c>
      <c r="DC98" t="s">
        <v>443</v>
      </c>
      <c r="DD98">
        <v>22.66835</v>
      </c>
      <c r="DE98">
        <v>8.8279999999999997E-2</v>
      </c>
      <c r="DF98" t="s">
        <v>443</v>
      </c>
      <c r="DG98">
        <v>8.6611200000000004</v>
      </c>
      <c r="DH98">
        <v>0.19650999999999999</v>
      </c>
      <c r="DI98" t="s">
        <v>443</v>
      </c>
      <c r="DJ98">
        <v>1.1537500000000001</v>
      </c>
      <c r="DK98">
        <v>6.6400000000000001E-3</v>
      </c>
      <c r="DL98" t="s">
        <v>443</v>
      </c>
      <c r="DM98">
        <v>1.1640900000000001</v>
      </c>
      <c r="DN98">
        <v>3.4259999999999999E-2</v>
      </c>
      <c r="DO98" t="s">
        <v>443</v>
      </c>
      <c r="DP98">
        <v>1.15509</v>
      </c>
      <c r="DQ98">
        <v>3.3160000000000002E-2</v>
      </c>
      <c r="DR98" t="s">
        <v>443</v>
      </c>
      <c r="DS98">
        <v>1.1170199999999999</v>
      </c>
      <c r="DT98">
        <v>1.992E-2</v>
      </c>
      <c r="DU98" t="s">
        <v>443</v>
      </c>
      <c r="DV98">
        <v>3.6288100000000001</v>
      </c>
      <c r="DW98">
        <v>9.6970000000000001E-2</v>
      </c>
      <c r="DX98" t="s">
        <v>443</v>
      </c>
      <c r="DY98">
        <v>1.15211</v>
      </c>
      <c r="DZ98">
        <v>2.7869999999999999E-2</v>
      </c>
      <c r="EA98" t="s">
        <v>443</v>
      </c>
      <c r="EB98">
        <v>1.05464</v>
      </c>
      <c r="EC98">
        <v>2.4639999999999999E-2</v>
      </c>
      <c r="ED98" t="s">
        <v>443</v>
      </c>
      <c r="EE98">
        <v>1.12999</v>
      </c>
      <c r="EF98">
        <v>1.3599999999999999E-2</v>
      </c>
      <c r="EG98" t="s">
        <v>443</v>
      </c>
      <c r="EH98">
        <v>4.8584800000000001</v>
      </c>
      <c r="EI98">
        <v>7.9990000000000006E-2</v>
      </c>
      <c r="EJ98" t="s">
        <v>443</v>
      </c>
      <c r="EM98" t="s">
        <v>440</v>
      </c>
      <c r="EN98">
        <v>1.13696</v>
      </c>
      <c r="EO98">
        <v>1.4069999999999999E-2</v>
      </c>
      <c r="EP98" t="s">
        <v>443</v>
      </c>
      <c r="ES98" t="s">
        <v>440</v>
      </c>
      <c r="ET98">
        <v>11.8622</v>
      </c>
      <c r="EU98">
        <v>0.18389</v>
      </c>
      <c r="EV98" t="s">
        <v>443</v>
      </c>
      <c r="EW98">
        <v>1.4505999999999999</v>
      </c>
      <c r="EX98">
        <v>3.4880000000000001E-2</v>
      </c>
      <c r="EY98" t="s">
        <v>443</v>
      </c>
      <c r="EZ98">
        <v>1.3768</v>
      </c>
      <c r="FA98">
        <v>5.7779999999999998E-2</v>
      </c>
      <c r="FB98" t="s">
        <v>443</v>
      </c>
      <c r="FC98">
        <v>4.5151300000000001</v>
      </c>
      <c r="FD98">
        <v>0.53181999999999996</v>
      </c>
      <c r="FE98" t="s">
        <v>443</v>
      </c>
      <c r="FF98">
        <v>10.56508</v>
      </c>
      <c r="FG98">
        <v>0.51685000000000003</v>
      </c>
      <c r="FH98" t="s">
        <v>444</v>
      </c>
      <c r="FK98" t="s">
        <v>440</v>
      </c>
      <c r="FN98" t="s">
        <v>440</v>
      </c>
      <c r="FO98">
        <v>1.22414</v>
      </c>
      <c r="FP98">
        <v>3.5860000000000003E-2</v>
      </c>
      <c r="FQ98" t="s">
        <v>444</v>
      </c>
      <c r="FT98" t="s">
        <v>440</v>
      </c>
      <c r="FU98">
        <v>1</v>
      </c>
      <c r="FX98">
        <v>97</v>
      </c>
    </row>
    <row r="99" spans="2:180" x14ac:dyDescent="0.2">
      <c r="B99" t="s">
        <v>165</v>
      </c>
      <c r="C99">
        <v>4.6100000000000002E-2</v>
      </c>
      <c r="D99">
        <v>1E-3</v>
      </c>
      <c r="E99" t="s">
        <v>439</v>
      </c>
      <c r="F99">
        <v>1.7680000000000001E-2</v>
      </c>
      <c r="G99">
        <v>3.65E-3</v>
      </c>
      <c r="H99" t="s">
        <v>439</v>
      </c>
      <c r="I99">
        <v>7.7600000000000004E-3</v>
      </c>
      <c r="J99">
        <v>4.6999999999999999E-4</v>
      </c>
      <c r="K99" t="s">
        <v>439</v>
      </c>
      <c r="L99">
        <v>-6.8700000000000002E-3</v>
      </c>
      <c r="M99">
        <v>3.4000000000000002E-4</v>
      </c>
      <c r="N99" t="s">
        <v>439</v>
      </c>
      <c r="O99">
        <v>3.14E-3</v>
      </c>
      <c r="P99">
        <v>2.0000000000000002E-5</v>
      </c>
      <c r="Q99" t="s">
        <v>439</v>
      </c>
      <c r="R99">
        <v>2.4629999999999999E-2</v>
      </c>
      <c r="S99">
        <v>1.7000000000000001E-4</v>
      </c>
      <c r="T99" t="s">
        <v>439</v>
      </c>
      <c r="U99">
        <v>6.9999999999999999E-4</v>
      </c>
      <c r="V99">
        <v>6.0000000000000002E-5</v>
      </c>
      <c r="W99" t="s">
        <v>439</v>
      </c>
      <c r="X99">
        <v>1.0319999999999999E-2</v>
      </c>
      <c r="Y99">
        <v>6.9999999999999999E-4</v>
      </c>
      <c r="Z99" t="s">
        <v>439</v>
      </c>
      <c r="AA99">
        <v>7.0400000000000003E-3</v>
      </c>
      <c r="AB99">
        <v>1.2999999999999999E-4</v>
      </c>
      <c r="AC99" t="s">
        <v>439</v>
      </c>
      <c r="AD99">
        <v>5.1000000000000004E-4</v>
      </c>
      <c r="AE99">
        <v>2.5000000000000001E-4</v>
      </c>
      <c r="AF99" t="s">
        <v>439</v>
      </c>
      <c r="AI99" t="s">
        <v>440</v>
      </c>
      <c r="AJ99">
        <v>4.845E-2</v>
      </c>
      <c r="AK99">
        <v>2.4000000000000001E-4</v>
      </c>
      <c r="AL99" t="s">
        <v>441</v>
      </c>
      <c r="AM99">
        <v>6.232E-2</v>
      </c>
      <c r="AN99">
        <v>3.6000000000000002E-4</v>
      </c>
      <c r="AO99" t="s">
        <v>439</v>
      </c>
      <c r="AP99">
        <v>-1.4579999999999999E-2</v>
      </c>
      <c r="AQ99">
        <v>1.3999999999999999E-4</v>
      </c>
      <c r="AR99" t="s">
        <v>439</v>
      </c>
      <c r="AS99">
        <v>3.551E-2</v>
      </c>
      <c r="AT99">
        <v>4.0999999999999999E-4</v>
      </c>
      <c r="AU99" t="s">
        <v>439</v>
      </c>
      <c r="AV99">
        <v>-1.8699999999999999E-3</v>
      </c>
      <c r="AW99">
        <v>3.0000000000000001E-5</v>
      </c>
      <c r="AX99" t="s">
        <v>439</v>
      </c>
      <c r="AY99">
        <v>-5.4999999999999997E-3</v>
      </c>
      <c r="AZ99">
        <v>3.0000000000000001E-5</v>
      </c>
      <c r="BA99" t="s">
        <v>439</v>
      </c>
      <c r="BB99">
        <v>1.92E-3</v>
      </c>
      <c r="BC99">
        <v>6.9999999999999994E-5</v>
      </c>
      <c r="BD99" t="s">
        <v>439</v>
      </c>
      <c r="BE99">
        <v>8.9999999999999998E-4</v>
      </c>
      <c r="BF99">
        <v>2.5999999999999998E-4</v>
      </c>
      <c r="BG99" t="s">
        <v>439</v>
      </c>
      <c r="BH99">
        <v>1.7000000000000001E-4</v>
      </c>
      <c r="BI99">
        <v>5.0000000000000002E-5</v>
      </c>
      <c r="BJ99" t="s">
        <v>439</v>
      </c>
      <c r="BK99">
        <v>1.64E-3</v>
      </c>
      <c r="BL99">
        <v>2.0000000000000002E-5</v>
      </c>
      <c r="BM99" t="s">
        <v>439</v>
      </c>
      <c r="BN99">
        <v>-4.0000000000000002E-4</v>
      </c>
      <c r="BO99">
        <v>4.0000000000000003E-5</v>
      </c>
      <c r="BP99" t="s">
        <v>439</v>
      </c>
      <c r="BQ99">
        <v>-4.5700000000000003E-3</v>
      </c>
      <c r="BR99">
        <v>5.1000000000000004E-4</v>
      </c>
      <c r="BS99" t="s">
        <v>439</v>
      </c>
      <c r="BV99" t="s">
        <v>440</v>
      </c>
      <c r="BW99">
        <v>-2.0527299999999999</v>
      </c>
      <c r="BX99">
        <v>4.8999999999999998E-4</v>
      </c>
      <c r="BY99" t="s">
        <v>439</v>
      </c>
      <c r="BZ99">
        <v>2.8999999999999998E-3</v>
      </c>
      <c r="CA99">
        <v>5.0000000000000002E-5</v>
      </c>
      <c r="CB99" t="s">
        <v>439</v>
      </c>
      <c r="CC99">
        <v>-3.703E-2</v>
      </c>
      <c r="CD99">
        <v>5.0000000000000002E-5</v>
      </c>
      <c r="CE99" t="s">
        <v>439</v>
      </c>
      <c r="CF99">
        <v>-1.3990000000000001E-2</v>
      </c>
      <c r="CG99">
        <v>1.4999999999999999E-4</v>
      </c>
      <c r="CH99" t="s">
        <v>439</v>
      </c>
      <c r="CI99">
        <v>-4.607E-2</v>
      </c>
      <c r="CJ99">
        <v>6.0000000000000002E-5</v>
      </c>
      <c r="CK99" t="s">
        <v>439</v>
      </c>
      <c r="CL99">
        <v>-9.0699999999999999E-3</v>
      </c>
      <c r="CM99">
        <v>4.0000000000000003E-5</v>
      </c>
      <c r="CN99" t="s">
        <v>439</v>
      </c>
      <c r="CO99">
        <v>-0.90778000000000003</v>
      </c>
      <c r="CP99">
        <v>7.3800000000000003E-3</v>
      </c>
      <c r="CQ99" t="s">
        <v>439</v>
      </c>
      <c r="CR99">
        <v>-0.13589000000000001</v>
      </c>
      <c r="CS99">
        <v>1.404E-2</v>
      </c>
      <c r="CT99" t="s">
        <v>439</v>
      </c>
      <c r="CU99">
        <v>-0.17534</v>
      </c>
      <c r="CV99">
        <v>6.6299999999999996E-3</v>
      </c>
      <c r="CW99" t="s">
        <v>439</v>
      </c>
      <c r="CX99">
        <v>-1.53071</v>
      </c>
      <c r="CY99">
        <v>0.37540000000000001</v>
      </c>
      <c r="CZ99" t="s">
        <v>439</v>
      </c>
      <c r="DA99">
        <v>-2.3810000000000001E-2</v>
      </c>
      <c r="DB99">
        <v>6.1999999999999998E-3</v>
      </c>
      <c r="DC99" t="s">
        <v>439</v>
      </c>
      <c r="DD99">
        <v>-1.4710000000000001</v>
      </c>
      <c r="DE99">
        <v>8.6230000000000001E-2</v>
      </c>
      <c r="DF99" t="s">
        <v>439</v>
      </c>
      <c r="DG99">
        <v>0.41344999999999998</v>
      </c>
      <c r="DH99">
        <v>0.15959000000000001</v>
      </c>
      <c r="DI99" t="s">
        <v>439</v>
      </c>
      <c r="DJ99">
        <v>-9.9500000000000005E-3</v>
      </c>
      <c r="DK99">
        <v>1.3500000000000001E-3</v>
      </c>
      <c r="DL99" t="s">
        <v>439</v>
      </c>
      <c r="DM99">
        <v>3.2000000000000003E-4</v>
      </c>
      <c r="DN99">
        <v>2.0000000000000001E-4</v>
      </c>
      <c r="DO99" t="s">
        <v>439</v>
      </c>
      <c r="DP99">
        <v>-8.8000000000000005E-3</v>
      </c>
      <c r="DQ99">
        <v>5.8E-4</v>
      </c>
      <c r="DR99" t="s">
        <v>439</v>
      </c>
      <c r="DS99">
        <v>-2.7269999999999999E-2</v>
      </c>
      <c r="DT99">
        <v>5.0000000000000002E-5</v>
      </c>
      <c r="DU99" t="s">
        <v>439</v>
      </c>
      <c r="DV99">
        <v>-0.29254000000000002</v>
      </c>
      <c r="DW99">
        <v>1.2600000000000001E-3</v>
      </c>
      <c r="DX99" t="s">
        <v>439</v>
      </c>
      <c r="DY99">
        <v>-6.4000000000000003E-3</v>
      </c>
      <c r="DZ99">
        <v>3.3E-4</v>
      </c>
      <c r="EA99" t="s">
        <v>439</v>
      </c>
      <c r="EB99">
        <v>1.8929999999999999E-2</v>
      </c>
      <c r="EC99">
        <v>2E-3</v>
      </c>
      <c r="ED99" t="s">
        <v>439</v>
      </c>
      <c r="EE99">
        <v>-1.9769999999999999E-2</v>
      </c>
      <c r="EF99">
        <v>1.2199999999999999E-3</v>
      </c>
      <c r="EG99" t="s">
        <v>439</v>
      </c>
      <c r="EH99">
        <v>5.4179999999999999E-2</v>
      </c>
      <c r="EI99">
        <v>6.5399999999999998E-3</v>
      </c>
      <c r="EJ99" t="s">
        <v>439</v>
      </c>
      <c r="EM99" t="s">
        <v>440</v>
      </c>
      <c r="EN99">
        <v>-1.7909999999999999E-2</v>
      </c>
      <c r="EO99">
        <v>4.4999999999999999E-4</v>
      </c>
      <c r="EP99" t="s">
        <v>439</v>
      </c>
      <c r="ES99" t="s">
        <v>440</v>
      </c>
      <c r="ET99">
        <v>1.2906899999999999</v>
      </c>
      <c r="EU99">
        <v>2.3429999999999999E-2</v>
      </c>
      <c r="EV99" t="s">
        <v>439</v>
      </c>
      <c r="EW99">
        <v>-5.1000000000000004E-4</v>
      </c>
      <c r="EX99">
        <v>9.7000000000000005E-4</v>
      </c>
      <c r="EY99" t="s">
        <v>439</v>
      </c>
      <c r="EZ99">
        <v>4.4720000000000003E-2</v>
      </c>
      <c r="FA99">
        <v>5.3499999999999997E-3</v>
      </c>
      <c r="FB99" t="s">
        <v>439</v>
      </c>
      <c r="FC99">
        <v>0.37415999999999999</v>
      </c>
      <c r="FD99">
        <v>0.14979000000000001</v>
      </c>
      <c r="FE99" t="s">
        <v>439</v>
      </c>
      <c r="FF99">
        <v>2.60731</v>
      </c>
      <c r="FG99">
        <v>0.23479</v>
      </c>
      <c r="FH99" t="s">
        <v>441</v>
      </c>
      <c r="FK99" t="s">
        <v>440</v>
      </c>
      <c r="FN99" t="s">
        <v>440</v>
      </c>
      <c r="FO99">
        <v>-6.0000000000000002E-5</v>
      </c>
      <c r="FP99">
        <v>8.8000000000000003E-4</v>
      </c>
      <c r="FQ99" t="s">
        <v>441</v>
      </c>
      <c r="FT99" t="s">
        <v>440</v>
      </c>
      <c r="FX99">
        <v>98</v>
      </c>
    </row>
    <row r="100" spans="2:180" x14ac:dyDescent="0.2">
      <c r="B100" t="s">
        <v>166</v>
      </c>
      <c r="C100">
        <v>0.12723999999999999</v>
      </c>
      <c r="D100">
        <v>1.5200000000000001E-3</v>
      </c>
      <c r="E100" t="s">
        <v>442</v>
      </c>
      <c r="F100">
        <v>1.35E-2</v>
      </c>
      <c r="G100">
        <v>1.8600000000000001E-3</v>
      </c>
      <c r="H100" t="s">
        <v>439</v>
      </c>
      <c r="I100">
        <v>1.4914799999999999</v>
      </c>
      <c r="J100">
        <v>3.7940000000000002E-2</v>
      </c>
      <c r="K100" t="s">
        <v>442</v>
      </c>
      <c r="L100">
        <v>0.10877000000000001</v>
      </c>
      <c r="M100">
        <v>2.5200000000000001E-3</v>
      </c>
      <c r="N100" t="s">
        <v>442</v>
      </c>
      <c r="O100">
        <v>3.4199999999999999E-3</v>
      </c>
      <c r="P100">
        <v>1.0000000000000001E-5</v>
      </c>
      <c r="Q100" t="s">
        <v>439</v>
      </c>
      <c r="R100">
        <v>0.14418</v>
      </c>
      <c r="S100">
        <v>2.4599999999999999E-3</v>
      </c>
      <c r="T100" t="s">
        <v>442</v>
      </c>
      <c r="U100">
        <v>1.39E-3</v>
      </c>
      <c r="V100">
        <v>1.2999999999999999E-4</v>
      </c>
      <c r="W100" t="s">
        <v>439</v>
      </c>
      <c r="X100">
        <v>1.052E-2</v>
      </c>
      <c r="Y100">
        <v>6.8999999999999997E-4</v>
      </c>
      <c r="Z100" t="s">
        <v>439</v>
      </c>
      <c r="AA100">
        <v>9.7009999999999999E-2</v>
      </c>
      <c r="AB100">
        <v>1.47E-3</v>
      </c>
      <c r="AC100" t="s">
        <v>442</v>
      </c>
      <c r="AD100">
        <v>0.50753000000000004</v>
      </c>
      <c r="AE100">
        <v>1.166E-2</v>
      </c>
      <c r="AF100" t="s">
        <v>442</v>
      </c>
      <c r="AI100" t="s">
        <v>440</v>
      </c>
      <c r="AJ100">
        <v>11.502789999999999</v>
      </c>
      <c r="AK100">
        <v>0.19511000000000001</v>
      </c>
      <c r="AL100" t="s">
        <v>441</v>
      </c>
      <c r="AM100">
        <v>5.9238600000000003</v>
      </c>
      <c r="AN100">
        <v>0.17122999999999999</v>
      </c>
      <c r="AO100" t="s">
        <v>442</v>
      </c>
      <c r="AP100">
        <v>6.1839999999999999E-2</v>
      </c>
      <c r="AQ100">
        <v>1.8400000000000001E-3</v>
      </c>
      <c r="AR100" t="s">
        <v>442</v>
      </c>
      <c r="AS100">
        <v>1.0601799999999999</v>
      </c>
      <c r="AT100">
        <v>3.3360000000000001E-2</v>
      </c>
      <c r="AU100" t="s">
        <v>442</v>
      </c>
      <c r="AV100">
        <v>-7.7999999999999999E-4</v>
      </c>
      <c r="AW100">
        <v>2.0000000000000002E-5</v>
      </c>
      <c r="AX100" t="s">
        <v>439</v>
      </c>
      <c r="AY100">
        <v>-4.1799999999999997E-3</v>
      </c>
      <c r="AZ100">
        <v>1.3999999999999999E-4</v>
      </c>
      <c r="BA100" t="s">
        <v>439</v>
      </c>
      <c r="BB100">
        <v>2.0400000000000001E-3</v>
      </c>
      <c r="BC100">
        <v>5.0000000000000002E-5</v>
      </c>
      <c r="BD100" t="s">
        <v>439</v>
      </c>
      <c r="BE100">
        <v>6.8999999999999997E-4</v>
      </c>
      <c r="BF100">
        <v>2.0000000000000002E-5</v>
      </c>
      <c r="BG100" t="s">
        <v>439</v>
      </c>
      <c r="BH100">
        <v>1.4999999999999999E-4</v>
      </c>
      <c r="BI100">
        <v>1.2E-4</v>
      </c>
      <c r="BJ100" t="s">
        <v>439</v>
      </c>
      <c r="BK100">
        <v>1.47E-3</v>
      </c>
      <c r="BL100">
        <v>1.0000000000000001E-5</v>
      </c>
      <c r="BM100" t="s">
        <v>439</v>
      </c>
      <c r="BN100">
        <v>-5.0000000000000001E-4</v>
      </c>
      <c r="BO100">
        <v>4.0000000000000003E-5</v>
      </c>
      <c r="BP100" t="s">
        <v>439</v>
      </c>
      <c r="BQ100">
        <v>7.1700000000000002E-3</v>
      </c>
      <c r="BR100">
        <v>2.1000000000000001E-4</v>
      </c>
      <c r="BS100" t="s">
        <v>442</v>
      </c>
      <c r="BV100" t="s">
        <v>440</v>
      </c>
      <c r="BW100">
        <v>-2.0529000000000002</v>
      </c>
      <c r="BX100">
        <v>1.9000000000000001E-4</v>
      </c>
      <c r="BY100" t="s">
        <v>439</v>
      </c>
      <c r="BZ100">
        <v>0.11966</v>
      </c>
      <c r="CA100">
        <v>1.64E-3</v>
      </c>
      <c r="CB100" t="s">
        <v>442</v>
      </c>
      <c r="CC100">
        <v>6.7794100000000004</v>
      </c>
      <c r="CD100">
        <v>8.4339999999999998E-2</v>
      </c>
      <c r="CE100" t="s">
        <v>442</v>
      </c>
      <c r="CF100">
        <v>6.4416799999999999</v>
      </c>
      <c r="CG100">
        <v>0.10065</v>
      </c>
      <c r="CH100" t="s">
        <v>442</v>
      </c>
      <c r="CI100">
        <v>6.4528299999999996</v>
      </c>
      <c r="CJ100">
        <v>8.4379999999999997E-2</v>
      </c>
      <c r="CK100" t="s">
        <v>442</v>
      </c>
      <c r="CL100">
        <v>0.21285000000000001</v>
      </c>
      <c r="CM100">
        <v>4.7999999999999996E-3</v>
      </c>
      <c r="CN100" t="s">
        <v>442</v>
      </c>
      <c r="CO100">
        <v>117.60335000000001</v>
      </c>
      <c r="CP100">
        <v>0.54874999999999996</v>
      </c>
      <c r="CQ100" t="s">
        <v>442</v>
      </c>
      <c r="CR100">
        <v>1.0574699999999999</v>
      </c>
      <c r="CS100">
        <v>9.7400000000000004E-3</v>
      </c>
      <c r="CT100" t="s">
        <v>442</v>
      </c>
      <c r="CU100">
        <v>3.14331</v>
      </c>
      <c r="CV100">
        <v>8.2390000000000005E-2</v>
      </c>
      <c r="CW100" t="s">
        <v>442</v>
      </c>
      <c r="CX100">
        <v>49.733330000000002</v>
      </c>
      <c r="CY100">
        <v>0.42836000000000002</v>
      </c>
      <c r="CZ100" t="s">
        <v>442</v>
      </c>
      <c r="DA100">
        <v>5.8564499999999997</v>
      </c>
      <c r="DB100">
        <v>0.21956999999999999</v>
      </c>
      <c r="DC100" t="s">
        <v>442</v>
      </c>
      <c r="DD100">
        <v>567.00705000000005</v>
      </c>
      <c r="DE100">
        <v>10.355689999999999</v>
      </c>
      <c r="DF100" t="s">
        <v>442</v>
      </c>
      <c r="DG100">
        <v>11.40503</v>
      </c>
      <c r="DH100">
        <v>0.23619999999999999</v>
      </c>
      <c r="DI100" t="s">
        <v>442</v>
      </c>
      <c r="DJ100">
        <v>4.1759999999999999E-2</v>
      </c>
      <c r="DK100">
        <v>4.0600000000000002E-3</v>
      </c>
      <c r="DL100" t="s">
        <v>442</v>
      </c>
      <c r="DM100">
        <v>9.4400000000000005E-3</v>
      </c>
      <c r="DN100">
        <v>2.3000000000000001E-4</v>
      </c>
      <c r="DO100" t="s">
        <v>442</v>
      </c>
      <c r="DP100">
        <v>0.29200999999999999</v>
      </c>
      <c r="DQ100">
        <v>7.9699999999999997E-3</v>
      </c>
      <c r="DR100" t="s">
        <v>442</v>
      </c>
      <c r="DS100">
        <v>0.92976999999999999</v>
      </c>
      <c r="DT100">
        <v>1.1520000000000001E-2</v>
      </c>
      <c r="DU100" t="s">
        <v>442</v>
      </c>
      <c r="DV100">
        <v>5.0664600000000002</v>
      </c>
      <c r="DW100">
        <v>7.3020000000000002E-2</v>
      </c>
      <c r="DX100" t="s">
        <v>442</v>
      </c>
      <c r="DY100">
        <v>2E-3</v>
      </c>
      <c r="DZ100">
        <v>6.4000000000000005E-4</v>
      </c>
      <c r="EA100" t="s">
        <v>439</v>
      </c>
      <c r="EB100">
        <v>0.24684</v>
      </c>
      <c r="EC100">
        <v>7.1199999999999996E-3</v>
      </c>
      <c r="ED100" t="s">
        <v>442</v>
      </c>
      <c r="EE100">
        <v>5.0056099999999999</v>
      </c>
      <c r="EF100">
        <v>8.7209999999999996E-2</v>
      </c>
      <c r="EG100" t="s">
        <v>442</v>
      </c>
      <c r="EH100">
        <v>98.292699999999996</v>
      </c>
      <c r="EI100">
        <v>1.55443</v>
      </c>
      <c r="EJ100" t="s">
        <v>442</v>
      </c>
      <c r="EM100" t="s">
        <v>440</v>
      </c>
      <c r="EN100">
        <v>11.17301</v>
      </c>
      <c r="EO100">
        <v>0.27883000000000002</v>
      </c>
      <c r="EP100" t="s">
        <v>442</v>
      </c>
      <c r="ES100" t="s">
        <v>440</v>
      </c>
      <c r="ET100">
        <v>558.13944000000004</v>
      </c>
      <c r="EU100">
        <v>17.862939999999998</v>
      </c>
      <c r="EV100" t="s">
        <v>442</v>
      </c>
      <c r="EW100">
        <v>8.3700000000000007E-3</v>
      </c>
      <c r="EX100">
        <v>4.3499999999999997E-3</v>
      </c>
      <c r="EY100" t="s">
        <v>442</v>
      </c>
      <c r="EZ100">
        <v>79.974999999999994</v>
      </c>
      <c r="FA100">
        <v>2.8973200000000001</v>
      </c>
      <c r="FB100" t="s">
        <v>442</v>
      </c>
      <c r="FC100">
        <v>3.3858600000000001</v>
      </c>
      <c r="FD100">
        <v>3.2559999999999999E-2</v>
      </c>
      <c r="FE100" t="s">
        <v>442</v>
      </c>
      <c r="FF100">
        <v>5.5590299999999999</v>
      </c>
      <c r="FG100">
        <v>0.14616000000000001</v>
      </c>
      <c r="FH100" t="s">
        <v>441</v>
      </c>
      <c r="FK100" t="s">
        <v>440</v>
      </c>
      <c r="FN100" t="s">
        <v>440</v>
      </c>
      <c r="FO100">
        <v>11.259410000000001</v>
      </c>
      <c r="FP100">
        <v>0.32174999999999998</v>
      </c>
      <c r="FQ100" t="s">
        <v>441</v>
      </c>
      <c r="FT100" t="s">
        <v>440</v>
      </c>
      <c r="FX100">
        <v>99</v>
      </c>
    </row>
    <row r="101" spans="2:180" x14ac:dyDescent="0.2">
      <c r="B101" t="s">
        <v>167</v>
      </c>
      <c r="C101">
        <v>0.16211999999999999</v>
      </c>
      <c r="D101">
        <v>6.2300000000000003E-3</v>
      </c>
      <c r="E101" t="s">
        <v>442</v>
      </c>
      <c r="F101">
        <v>1.366E-2</v>
      </c>
      <c r="G101">
        <v>3.9300000000000003E-3</v>
      </c>
      <c r="H101" t="s">
        <v>439</v>
      </c>
      <c r="I101">
        <v>2.1178300000000001</v>
      </c>
      <c r="J101">
        <v>5.9389999999999998E-2</v>
      </c>
      <c r="K101" t="s">
        <v>442</v>
      </c>
      <c r="L101">
        <v>0.13483000000000001</v>
      </c>
      <c r="M101">
        <v>1.99E-3</v>
      </c>
      <c r="N101" t="s">
        <v>442</v>
      </c>
      <c r="O101">
        <v>3.5000000000000001E-3</v>
      </c>
      <c r="P101">
        <v>6.0000000000000002E-5</v>
      </c>
      <c r="Q101" t="s">
        <v>439</v>
      </c>
      <c r="R101">
        <v>0.19828999999999999</v>
      </c>
      <c r="S101">
        <v>2.99E-3</v>
      </c>
      <c r="T101" t="s">
        <v>442</v>
      </c>
      <c r="U101">
        <v>1.2199999999999999E-3</v>
      </c>
      <c r="V101">
        <v>1.1E-4</v>
      </c>
      <c r="W101" t="s">
        <v>439</v>
      </c>
      <c r="X101">
        <v>1.052E-2</v>
      </c>
      <c r="Y101">
        <v>1.2999999999999999E-4</v>
      </c>
      <c r="Z101" t="s">
        <v>439</v>
      </c>
      <c r="AA101">
        <v>0.13522999999999999</v>
      </c>
      <c r="AB101">
        <v>3.8800000000000002E-3</v>
      </c>
      <c r="AC101" t="s">
        <v>442</v>
      </c>
      <c r="AD101">
        <v>0.61204999999999998</v>
      </c>
      <c r="AE101">
        <v>1.1780000000000001E-2</v>
      </c>
      <c r="AF101" t="s">
        <v>442</v>
      </c>
      <c r="AI101" t="s">
        <v>440</v>
      </c>
      <c r="AJ101">
        <v>12.708679999999999</v>
      </c>
      <c r="AK101">
        <v>0.11955</v>
      </c>
      <c r="AL101" t="s">
        <v>441</v>
      </c>
      <c r="AM101">
        <v>6.0674000000000001</v>
      </c>
      <c r="AN101">
        <v>6.472E-2</v>
      </c>
      <c r="AO101" t="s">
        <v>442</v>
      </c>
      <c r="AP101">
        <v>9.4390000000000002E-2</v>
      </c>
      <c r="AQ101">
        <v>2.49E-3</v>
      </c>
      <c r="AR101" t="s">
        <v>442</v>
      </c>
      <c r="AS101">
        <v>1.38205</v>
      </c>
      <c r="AT101">
        <v>4.0070000000000001E-2</v>
      </c>
      <c r="AU101" t="s">
        <v>442</v>
      </c>
      <c r="AV101">
        <v>1.9460000000000002E-2</v>
      </c>
      <c r="AW101">
        <v>3.6999999999999999E-4</v>
      </c>
      <c r="AX101" t="s">
        <v>442</v>
      </c>
      <c r="AY101">
        <v>2.0119999999999999E-2</v>
      </c>
      <c r="AZ101">
        <v>7.3999999999999999E-4</v>
      </c>
      <c r="BA101" t="s">
        <v>442</v>
      </c>
      <c r="BB101">
        <v>2.48E-3</v>
      </c>
      <c r="BC101">
        <v>1.2999999999999999E-4</v>
      </c>
      <c r="BD101" t="s">
        <v>442</v>
      </c>
      <c r="BE101">
        <v>7.7999999999999999E-4</v>
      </c>
      <c r="BF101">
        <v>3.1E-4</v>
      </c>
      <c r="BG101" t="s">
        <v>439</v>
      </c>
      <c r="BH101">
        <v>3.0000000000000001E-5</v>
      </c>
      <c r="BI101">
        <v>2.1000000000000001E-4</v>
      </c>
      <c r="BJ101" t="s">
        <v>439</v>
      </c>
      <c r="BK101">
        <v>1.48E-3</v>
      </c>
      <c r="BL101">
        <v>1.0000000000000001E-5</v>
      </c>
      <c r="BM101" t="s">
        <v>439</v>
      </c>
      <c r="BN101">
        <v>-4.6000000000000001E-4</v>
      </c>
      <c r="BO101">
        <v>8.0000000000000007E-5</v>
      </c>
      <c r="BP101" t="s">
        <v>439</v>
      </c>
      <c r="BQ101">
        <v>2.4490000000000001E-2</v>
      </c>
      <c r="BR101">
        <v>1.0499999999999999E-3</v>
      </c>
      <c r="BS101" t="s">
        <v>442</v>
      </c>
      <c r="BV101" t="s">
        <v>440</v>
      </c>
      <c r="BW101">
        <v>-2.0537399999999999</v>
      </c>
      <c r="BX101">
        <v>3.8999999999999999E-4</v>
      </c>
      <c r="BY101" t="s">
        <v>439</v>
      </c>
      <c r="BZ101">
        <v>0.17365</v>
      </c>
      <c r="CA101">
        <v>6.28E-3</v>
      </c>
      <c r="CB101" t="s">
        <v>442</v>
      </c>
      <c r="CC101">
        <v>9.1262299999999996</v>
      </c>
      <c r="CD101">
        <v>0.16137000000000001</v>
      </c>
      <c r="CE101" t="s">
        <v>442</v>
      </c>
      <c r="CF101">
        <v>8.5230899999999998</v>
      </c>
      <c r="CG101">
        <v>0.23447999999999999</v>
      </c>
      <c r="CH101" t="s">
        <v>442</v>
      </c>
      <c r="CI101">
        <v>8.4763800000000007</v>
      </c>
      <c r="CJ101">
        <v>0.18861</v>
      </c>
      <c r="CK101" t="s">
        <v>442</v>
      </c>
      <c r="CL101">
        <v>0.34397</v>
      </c>
      <c r="CM101">
        <v>6.1700000000000001E-3</v>
      </c>
      <c r="CN101" t="s">
        <v>442</v>
      </c>
      <c r="CO101">
        <v>158.75854000000001</v>
      </c>
      <c r="CP101">
        <v>3.5421499999999999</v>
      </c>
      <c r="CQ101" t="s">
        <v>442</v>
      </c>
      <c r="CR101">
        <v>1.6930799999999999</v>
      </c>
      <c r="CS101">
        <v>6.1260000000000002E-2</v>
      </c>
      <c r="CT101" t="s">
        <v>442</v>
      </c>
      <c r="CU101">
        <v>6.0506599999999997</v>
      </c>
      <c r="CV101">
        <v>0.17363999999999999</v>
      </c>
      <c r="CW101" t="s">
        <v>442</v>
      </c>
      <c r="CX101">
        <v>48.132179999999998</v>
      </c>
      <c r="CY101">
        <v>1.1912199999999999</v>
      </c>
      <c r="CZ101" t="s">
        <v>442</v>
      </c>
      <c r="DA101">
        <v>6.1719900000000001</v>
      </c>
      <c r="DB101">
        <v>0.28888999999999998</v>
      </c>
      <c r="DC101" t="s">
        <v>442</v>
      </c>
      <c r="DD101">
        <v>835.87292000000002</v>
      </c>
      <c r="DE101">
        <v>17.079719999999998</v>
      </c>
      <c r="DF101" t="s">
        <v>442</v>
      </c>
      <c r="DG101">
        <v>25.18629</v>
      </c>
      <c r="DH101">
        <v>0.60270000000000001</v>
      </c>
      <c r="DI101" t="s">
        <v>442</v>
      </c>
      <c r="DJ101">
        <v>4.2000000000000003E-2</v>
      </c>
      <c r="DK101">
        <v>5.1200000000000004E-3</v>
      </c>
      <c r="DL101" t="s">
        <v>442</v>
      </c>
      <c r="DM101">
        <v>1.2160000000000001E-2</v>
      </c>
      <c r="DN101">
        <v>5.1000000000000004E-4</v>
      </c>
      <c r="DO101" t="s">
        <v>442</v>
      </c>
      <c r="DP101">
        <v>0.35282999999999998</v>
      </c>
      <c r="DQ101">
        <v>2.0449999999999999E-2</v>
      </c>
      <c r="DR101" t="s">
        <v>442</v>
      </c>
      <c r="DS101">
        <v>1.08057</v>
      </c>
      <c r="DT101">
        <v>3.4229999999999997E-2</v>
      </c>
      <c r="DU101" t="s">
        <v>442</v>
      </c>
      <c r="DV101">
        <v>6.57193</v>
      </c>
      <c r="DW101">
        <v>8.7359999999999993E-2</v>
      </c>
      <c r="DX101" t="s">
        <v>442</v>
      </c>
      <c r="DY101">
        <v>1.0399999999999999E-3</v>
      </c>
      <c r="DZ101">
        <v>3.8000000000000002E-4</v>
      </c>
      <c r="EA101" t="s">
        <v>439</v>
      </c>
      <c r="EB101">
        <v>0.16561000000000001</v>
      </c>
      <c r="EC101">
        <v>7.2300000000000003E-3</v>
      </c>
      <c r="ED101" t="s">
        <v>442</v>
      </c>
      <c r="EE101">
        <v>6.2106300000000001</v>
      </c>
      <c r="EF101">
        <v>0.11272</v>
      </c>
      <c r="EG101" t="s">
        <v>442</v>
      </c>
      <c r="EH101">
        <v>137.78022999999999</v>
      </c>
      <c r="EI101">
        <v>4.1441100000000004</v>
      </c>
      <c r="EJ101" t="s">
        <v>442</v>
      </c>
      <c r="EM101" t="s">
        <v>440</v>
      </c>
      <c r="EN101">
        <v>12.94431</v>
      </c>
      <c r="EO101">
        <v>0.36144999999999999</v>
      </c>
      <c r="EP101" t="s">
        <v>442</v>
      </c>
      <c r="ES101" t="s">
        <v>440</v>
      </c>
      <c r="ET101">
        <v>776.63000999999997</v>
      </c>
      <c r="EU101">
        <v>6.4706999999999999</v>
      </c>
      <c r="EV101" t="s">
        <v>442</v>
      </c>
      <c r="EW101">
        <v>7.7400000000000004E-3</v>
      </c>
      <c r="EX101">
        <v>2.8600000000000001E-3</v>
      </c>
      <c r="EY101" t="s">
        <v>442</v>
      </c>
      <c r="EZ101">
        <v>44.168810000000001</v>
      </c>
      <c r="FA101">
        <v>0.48254000000000002</v>
      </c>
      <c r="FB101" t="s">
        <v>442</v>
      </c>
      <c r="FC101">
        <v>4.7189399999999999</v>
      </c>
      <c r="FD101">
        <v>0.3075</v>
      </c>
      <c r="FE101" t="s">
        <v>442</v>
      </c>
      <c r="FF101">
        <v>7.2270200000000004</v>
      </c>
      <c r="FG101">
        <v>6.8339999999999998E-2</v>
      </c>
      <c r="FH101" t="s">
        <v>441</v>
      </c>
      <c r="FK101" t="s">
        <v>440</v>
      </c>
      <c r="FN101" t="s">
        <v>440</v>
      </c>
      <c r="FO101">
        <v>13.347149999999999</v>
      </c>
      <c r="FP101">
        <v>0.15225</v>
      </c>
      <c r="FQ101" t="s">
        <v>441</v>
      </c>
      <c r="FT101" t="s">
        <v>440</v>
      </c>
      <c r="FX101">
        <v>100</v>
      </c>
    </row>
    <row r="102" spans="2:180" x14ac:dyDescent="0.2">
      <c r="B102" t="s">
        <v>168</v>
      </c>
      <c r="C102">
        <v>0.17302999999999999</v>
      </c>
      <c r="D102">
        <v>1.91E-3</v>
      </c>
      <c r="E102" t="s">
        <v>442</v>
      </c>
      <c r="F102">
        <v>1.447E-2</v>
      </c>
      <c r="G102">
        <v>2.3999999999999998E-3</v>
      </c>
      <c r="H102" t="s">
        <v>439</v>
      </c>
      <c r="I102">
        <v>2.4550900000000002</v>
      </c>
      <c r="J102">
        <v>2.7179999999999999E-2</v>
      </c>
      <c r="K102" t="s">
        <v>442</v>
      </c>
      <c r="L102">
        <v>0.13718</v>
      </c>
      <c r="M102">
        <v>5.9999999999999995E-4</v>
      </c>
      <c r="N102" t="s">
        <v>442</v>
      </c>
      <c r="O102">
        <v>3.6700000000000001E-3</v>
      </c>
      <c r="P102">
        <v>4.0000000000000003E-5</v>
      </c>
      <c r="Q102" t="s">
        <v>442</v>
      </c>
      <c r="R102">
        <v>0.23726</v>
      </c>
      <c r="S102">
        <v>5.0000000000000001E-4</v>
      </c>
      <c r="T102" t="s">
        <v>442</v>
      </c>
      <c r="U102">
        <v>1.16E-3</v>
      </c>
      <c r="V102">
        <v>8.0000000000000007E-5</v>
      </c>
      <c r="W102" t="s">
        <v>439</v>
      </c>
      <c r="X102">
        <v>1.057E-2</v>
      </c>
      <c r="Y102">
        <v>5.0000000000000002E-5</v>
      </c>
      <c r="Z102" t="s">
        <v>439</v>
      </c>
      <c r="AA102">
        <v>0.13383</v>
      </c>
      <c r="AB102">
        <v>5.9000000000000003E-4</v>
      </c>
      <c r="AC102" t="s">
        <v>442</v>
      </c>
      <c r="AD102">
        <v>0.66713999999999996</v>
      </c>
      <c r="AE102">
        <v>8.8800000000000007E-3</v>
      </c>
      <c r="AF102" t="s">
        <v>442</v>
      </c>
      <c r="AI102" t="s">
        <v>440</v>
      </c>
      <c r="AJ102">
        <v>18.071079999999998</v>
      </c>
      <c r="AK102">
        <v>0.13836000000000001</v>
      </c>
      <c r="AL102" t="s">
        <v>441</v>
      </c>
      <c r="AM102">
        <v>5.5963599999999998</v>
      </c>
      <c r="AN102">
        <v>5.8990000000000001E-2</v>
      </c>
      <c r="AO102" t="s">
        <v>442</v>
      </c>
      <c r="AP102">
        <v>0.10692</v>
      </c>
      <c r="AQ102">
        <v>6.6E-4</v>
      </c>
      <c r="AR102" t="s">
        <v>442</v>
      </c>
      <c r="AS102">
        <v>1.72651</v>
      </c>
      <c r="AT102">
        <v>1.529E-2</v>
      </c>
      <c r="AU102" t="s">
        <v>442</v>
      </c>
      <c r="AV102">
        <v>-5.6999999999999998E-4</v>
      </c>
      <c r="AW102">
        <v>5.0000000000000002E-5</v>
      </c>
      <c r="AX102" t="s">
        <v>439</v>
      </c>
      <c r="AY102">
        <v>-3.3700000000000002E-3</v>
      </c>
      <c r="AZ102">
        <v>1.2999999999999999E-4</v>
      </c>
      <c r="BA102" t="s">
        <v>439</v>
      </c>
      <c r="BB102">
        <v>2.33E-3</v>
      </c>
      <c r="BC102">
        <v>2.0000000000000001E-4</v>
      </c>
      <c r="BD102" t="s">
        <v>442</v>
      </c>
      <c r="BE102">
        <v>8.4999999999999995E-4</v>
      </c>
      <c r="BF102">
        <v>3.2000000000000003E-4</v>
      </c>
      <c r="BG102" t="s">
        <v>439</v>
      </c>
      <c r="BH102">
        <v>2.5999999999999998E-4</v>
      </c>
      <c r="BI102">
        <v>1.9000000000000001E-4</v>
      </c>
      <c r="BJ102" t="s">
        <v>439</v>
      </c>
      <c r="BK102">
        <v>1.49E-3</v>
      </c>
      <c r="BL102">
        <v>2.0000000000000002E-5</v>
      </c>
      <c r="BM102" t="s">
        <v>439</v>
      </c>
      <c r="BN102">
        <v>-4.0000000000000002E-4</v>
      </c>
      <c r="BO102">
        <v>6.0000000000000002E-5</v>
      </c>
      <c r="BP102" t="s">
        <v>439</v>
      </c>
      <c r="BQ102">
        <v>2.9739999999999999E-2</v>
      </c>
      <c r="BR102">
        <v>1.3500000000000001E-3</v>
      </c>
      <c r="BS102" t="s">
        <v>442</v>
      </c>
      <c r="BV102" t="s">
        <v>440</v>
      </c>
      <c r="BW102">
        <v>-2.0536300000000001</v>
      </c>
      <c r="BX102">
        <v>4.6000000000000001E-4</v>
      </c>
      <c r="BY102" t="s">
        <v>439</v>
      </c>
      <c r="BZ102">
        <v>0.21043000000000001</v>
      </c>
      <c r="CA102">
        <v>1.5900000000000001E-3</v>
      </c>
      <c r="CB102" t="s">
        <v>442</v>
      </c>
      <c r="CC102">
        <v>9.2996999999999996</v>
      </c>
      <c r="CD102">
        <v>0.12548999999999999</v>
      </c>
      <c r="CE102" t="s">
        <v>442</v>
      </c>
      <c r="CF102">
        <v>8.7395800000000001</v>
      </c>
      <c r="CG102">
        <v>5.9729999999999998E-2</v>
      </c>
      <c r="CH102" t="s">
        <v>442</v>
      </c>
      <c r="CI102">
        <v>8.6904599999999999</v>
      </c>
      <c r="CJ102">
        <v>3.5970000000000002E-2</v>
      </c>
      <c r="CK102" t="s">
        <v>442</v>
      </c>
      <c r="CL102">
        <v>0.33078000000000002</v>
      </c>
      <c r="CM102">
        <v>6.4000000000000003E-3</v>
      </c>
      <c r="CN102" t="s">
        <v>442</v>
      </c>
      <c r="CO102">
        <v>172.08365000000001</v>
      </c>
      <c r="CP102">
        <v>1.80603</v>
      </c>
      <c r="CQ102" t="s">
        <v>442</v>
      </c>
      <c r="CR102">
        <v>0.89532</v>
      </c>
      <c r="CS102">
        <v>1.1560000000000001E-2</v>
      </c>
      <c r="CT102" t="s">
        <v>442</v>
      </c>
      <c r="CU102">
        <v>20.499120000000001</v>
      </c>
      <c r="CV102">
        <v>0.18856000000000001</v>
      </c>
      <c r="CW102" t="s">
        <v>442</v>
      </c>
      <c r="CX102">
        <v>60.002630000000003</v>
      </c>
      <c r="CY102">
        <v>1.0052399999999999</v>
      </c>
      <c r="CZ102" t="s">
        <v>442</v>
      </c>
      <c r="DA102">
        <v>6.07653</v>
      </c>
      <c r="DB102">
        <v>0.17741999999999999</v>
      </c>
      <c r="DC102" t="s">
        <v>442</v>
      </c>
      <c r="DD102">
        <v>955.85352</v>
      </c>
      <c r="DE102">
        <v>14.77422</v>
      </c>
      <c r="DF102" t="s">
        <v>442</v>
      </c>
      <c r="DG102">
        <v>13.87988</v>
      </c>
      <c r="DH102">
        <v>0.44641999999999998</v>
      </c>
      <c r="DI102" t="s">
        <v>442</v>
      </c>
      <c r="DJ102">
        <v>9.2910000000000006E-2</v>
      </c>
      <c r="DK102">
        <v>8.7500000000000008E-3</v>
      </c>
      <c r="DL102" t="s">
        <v>442</v>
      </c>
      <c r="DM102">
        <v>1.8190000000000001E-2</v>
      </c>
      <c r="DN102">
        <v>1.1299999999999999E-3</v>
      </c>
      <c r="DO102" t="s">
        <v>442</v>
      </c>
      <c r="DP102">
        <v>0.72384000000000004</v>
      </c>
      <c r="DQ102">
        <v>1.5910000000000001E-2</v>
      </c>
      <c r="DR102" t="s">
        <v>442</v>
      </c>
      <c r="DS102">
        <v>1.26715</v>
      </c>
      <c r="DT102">
        <v>1.6990000000000002E-2</v>
      </c>
      <c r="DU102" t="s">
        <v>442</v>
      </c>
      <c r="DV102">
        <v>6.7609700000000004</v>
      </c>
      <c r="DW102">
        <v>7.349E-2</v>
      </c>
      <c r="DX102" t="s">
        <v>442</v>
      </c>
      <c r="DY102">
        <v>3.0899999999999999E-3</v>
      </c>
      <c r="DZ102">
        <v>4.8000000000000001E-4</v>
      </c>
      <c r="EA102" t="s">
        <v>439</v>
      </c>
      <c r="EB102">
        <v>0.23147999999999999</v>
      </c>
      <c r="EC102">
        <v>1.7600000000000001E-3</v>
      </c>
      <c r="ED102" t="s">
        <v>442</v>
      </c>
      <c r="EE102">
        <v>6.4056100000000002</v>
      </c>
      <c r="EF102">
        <v>0.19323000000000001</v>
      </c>
      <c r="EG102" t="s">
        <v>442</v>
      </c>
      <c r="EH102">
        <v>132.84717000000001</v>
      </c>
      <c r="EI102">
        <v>2.6073300000000001</v>
      </c>
      <c r="EJ102" t="s">
        <v>442</v>
      </c>
      <c r="EM102" t="s">
        <v>440</v>
      </c>
      <c r="EN102">
        <v>19.664400000000001</v>
      </c>
      <c r="EO102">
        <v>0.29419000000000001</v>
      </c>
      <c r="EP102" t="s">
        <v>442</v>
      </c>
      <c r="ES102" t="s">
        <v>440</v>
      </c>
      <c r="ET102">
        <v>1104.7070900000001</v>
      </c>
      <c r="EU102">
        <v>36.607810000000001</v>
      </c>
      <c r="EV102" t="s">
        <v>442</v>
      </c>
      <c r="EW102">
        <v>1.059E-2</v>
      </c>
      <c r="EX102">
        <v>2.97E-3</v>
      </c>
      <c r="EY102" t="s">
        <v>442</v>
      </c>
      <c r="EZ102">
        <v>18.801559999999998</v>
      </c>
      <c r="FA102">
        <v>5.4330000000000003E-2</v>
      </c>
      <c r="FB102" t="s">
        <v>442</v>
      </c>
      <c r="FC102">
        <v>5.5998299999999999</v>
      </c>
      <c r="FD102">
        <v>0.39716000000000001</v>
      </c>
      <c r="FE102" t="s">
        <v>442</v>
      </c>
      <c r="FF102">
        <v>8.5240299999999998</v>
      </c>
      <c r="FG102">
        <v>0.11055</v>
      </c>
      <c r="FH102" t="s">
        <v>441</v>
      </c>
      <c r="FK102" t="s">
        <v>440</v>
      </c>
      <c r="FN102" t="s">
        <v>440</v>
      </c>
      <c r="FO102">
        <v>19.80931</v>
      </c>
      <c r="FP102">
        <v>0.57260999999999995</v>
      </c>
      <c r="FQ102" t="s">
        <v>441</v>
      </c>
      <c r="FT102" t="s">
        <v>440</v>
      </c>
      <c r="FX102">
        <v>101</v>
      </c>
    </row>
    <row r="103" spans="2:180" x14ac:dyDescent="0.2">
      <c r="B103" t="s">
        <v>169</v>
      </c>
      <c r="C103">
        <v>0.14827000000000001</v>
      </c>
      <c r="D103">
        <v>2.3500000000000001E-3</v>
      </c>
      <c r="E103" t="s">
        <v>442</v>
      </c>
      <c r="F103">
        <v>1.47E-2</v>
      </c>
      <c r="G103">
        <v>1.48E-3</v>
      </c>
      <c r="H103" t="s">
        <v>439</v>
      </c>
      <c r="I103">
        <v>1.99034</v>
      </c>
      <c r="J103">
        <v>1.8159999999999999E-2</v>
      </c>
      <c r="K103" t="s">
        <v>442</v>
      </c>
      <c r="L103">
        <v>0.14384</v>
      </c>
      <c r="M103">
        <v>2.2100000000000002E-3</v>
      </c>
      <c r="N103" t="s">
        <v>442</v>
      </c>
      <c r="O103">
        <v>3.2599999999999999E-3</v>
      </c>
      <c r="P103">
        <v>6.9999999999999994E-5</v>
      </c>
      <c r="Q103" t="s">
        <v>439</v>
      </c>
      <c r="R103">
        <v>0.20737</v>
      </c>
      <c r="S103">
        <v>5.5799999999999999E-3</v>
      </c>
      <c r="T103" t="s">
        <v>442</v>
      </c>
      <c r="U103">
        <v>1.0300000000000001E-3</v>
      </c>
      <c r="V103">
        <v>4.0000000000000003E-5</v>
      </c>
      <c r="W103" t="s">
        <v>439</v>
      </c>
      <c r="X103">
        <v>1.017E-2</v>
      </c>
      <c r="Y103">
        <v>5.1999999999999995E-4</v>
      </c>
      <c r="Z103" t="s">
        <v>439</v>
      </c>
      <c r="AA103">
        <v>0.14979999999999999</v>
      </c>
      <c r="AB103">
        <v>2.2799999999999999E-3</v>
      </c>
      <c r="AC103" t="s">
        <v>442</v>
      </c>
      <c r="AD103">
        <v>0.67844000000000004</v>
      </c>
      <c r="AE103">
        <v>1.3440000000000001E-2</v>
      </c>
      <c r="AF103" t="s">
        <v>442</v>
      </c>
      <c r="AI103" t="s">
        <v>440</v>
      </c>
      <c r="AJ103">
        <v>13.36355</v>
      </c>
      <c r="AK103">
        <v>0.23186000000000001</v>
      </c>
      <c r="AL103" t="s">
        <v>441</v>
      </c>
      <c r="AM103">
        <v>5.1473100000000001</v>
      </c>
      <c r="AN103">
        <v>4.5190000000000001E-2</v>
      </c>
      <c r="AO103" t="s">
        <v>442</v>
      </c>
      <c r="AP103">
        <v>8.4640000000000007E-2</v>
      </c>
      <c r="AQ103">
        <v>1.17E-3</v>
      </c>
      <c r="AR103" t="s">
        <v>442</v>
      </c>
      <c r="AS103">
        <v>1.67777</v>
      </c>
      <c r="AT103">
        <v>1.737E-2</v>
      </c>
      <c r="AU103" t="s">
        <v>442</v>
      </c>
      <c r="AV103">
        <v>-1.1800000000000001E-3</v>
      </c>
      <c r="AW103">
        <v>4.0000000000000003E-5</v>
      </c>
      <c r="AX103" t="s">
        <v>439</v>
      </c>
      <c r="AY103">
        <v>-4.7299999999999998E-3</v>
      </c>
      <c r="AZ103">
        <v>1.0000000000000001E-5</v>
      </c>
      <c r="BA103" t="s">
        <v>439</v>
      </c>
      <c r="BB103">
        <v>1.9300000000000001E-3</v>
      </c>
      <c r="BC103">
        <v>4.0000000000000003E-5</v>
      </c>
      <c r="BD103" t="s">
        <v>439</v>
      </c>
      <c r="BE103">
        <v>5.9000000000000003E-4</v>
      </c>
      <c r="BF103">
        <v>2.0000000000000001E-4</v>
      </c>
      <c r="BG103" t="s">
        <v>439</v>
      </c>
      <c r="BH103">
        <v>-2.0000000000000002E-5</v>
      </c>
      <c r="BI103">
        <v>4.0000000000000003E-5</v>
      </c>
      <c r="BJ103" t="s">
        <v>439</v>
      </c>
      <c r="BK103">
        <v>1.4499999999999999E-3</v>
      </c>
      <c r="BL103">
        <v>0</v>
      </c>
      <c r="BM103" t="s">
        <v>439</v>
      </c>
      <c r="BN103">
        <v>-5.9000000000000003E-4</v>
      </c>
      <c r="BO103">
        <v>3.0000000000000001E-5</v>
      </c>
      <c r="BP103" t="s">
        <v>439</v>
      </c>
      <c r="BQ103">
        <v>8.5000000000000006E-3</v>
      </c>
      <c r="BR103">
        <v>6.2E-4</v>
      </c>
      <c r="BS103" t="s">
        <v>442</v>
      </c>
      <c r="BV103" t="s">
        <v>440</v>
      </c>
      <c r="BW103">
        <v>-2.0533999999999999</v>
      </c>
      <c r="BX103">
        <v>1.6000000000000001E-4</v>
      </c>
      <c r="BY103" t="s">
        <v>439</v>
      </c>
      <c r="BZ103">
        <v>0.14877000000000001</v>
      </c>
      <c r="CA103">
        <v>1.98E-3</v>
      </c>
      <c r="CB103" t="s">
        <v>442</v>
      </c>
      <c r="CC103">
        <v>8.3820200000000007</v>
      </c>
      <c r="CD103">
        <v>0.19950999999999999</v>
      </c>
      <c r="CE103" t="s">
        <v>442</v>
      </c>
      <c r="CF103">
        <v>8.0244700000000009</v>
      </c>
      <c r="CG103">
        <v>0.16975000000000001</v>
      </c>
      <c r="CH103" t="s">
        <v>442</v>
      </c>
      <c r="CI103">
        <v>7.8786399999999999</v>
      </c>
      <c r="CJ103">
        <v>0.14709</v>
      </c>
      <c r="CK103" t="s">
        <v>442</v>
      </c>
      <c r="CL103">
        <v>0.28069</v>
      </c>
      <c r="CM103">
        <v>7.43E-3</v>
      </c>
      <c r="CN103" t="s">
        <v>442</v>
      </c>
      <c r="CO103">
        <v>146.46020999999999</v>
      </c>
      <c r="CP103">
        <v>3.7428400000000002</v>
      </c>
      <c r="CQ103" t="s">
        <v>442</v>
      </c>
      <c r="CR103">
        <v>0.68720999999999999</v>
      </c>
      <c r="CS103">
        <v>3.227E-2</v>
      </c>
      <c r="CT103" t="s">
        <v>442</v>
      </c>
      <c r="CU103">
        <v>0.67657</v>
      </c>
      <c r="CV103">
        <v>1.417E-2</v>
      </c>
      <c r="CW103" t="s">
        <v>442</v>
      </c>
      <c r="CX103">
        <v>48.598030000000001</v>
      </c>
      <c r="CY103">
        <v>1.4129799999999999</v>
      </c>
      <c r="CZ103" t="s">
        <v>442</v>
      </c>
      <c r="DA103">
        <v>6.3763199999999998</v>
      </c>
      <c r="DB103">
        <v>0.22209999999999999</v>
      </c>
      <c r="DC103" t="s">
        <v>442</v>
      </c>
      <c r="DD103">
        <v>651.98359000000005</v>
      </c>
      <c r="DE103">
        <v>5.6075999999999997</v>
      </c>
      <c r="DF103" t="s">
        <v>442</v>
      </c>
      <c r="DG103">
        <v>10.61651</v>
      </c>
      <c r="DH103">
        <v>0.38674999999999998</v>
      </c>
      <c r="DI103" t="s">
        <v>442</v>
      </c>
      <c r="DJ103">
        <v>3.4349999999999999E-2</v>
      </c>
      <c r="DK103">
        <v>1.7099999999999999E-3</v>
      </c>
      <c r="DL103" t="s">
        <v>442</v>
      </c>
      <c r="DM103">
        <v>1.358E-2</v>
      </c>
      <c r="DN103">
        <v>1.2E-4</v>
      </c>
      <c r="DO103" t="s">
        <v>442</v>
      </c>
      <c r="DP103">
        <v>0.61316000000000004</v>
      </c>
      <c r="DQ103">
        <v>1.9550000000000001E-2</v>
      </c>
      <c r="DR103" t="s">
        <v>442</v>
      </c>
      <c r="DS103">
        <v>1.0575399999999999</v>
      </c>
      <c r="DT103">
        <v>2.7689999999999999E-2</v>
      </c>
      <c r="DU103" t="s">
        <v>442</v>
      </c>
      <c r="DV103">
        <v>2.7234699999999998</v>
      </c>
      <c r="DW103">
        <v>8.4879999999999997E-2</v>
      </c>
      <c r="DX103" t="s">
        <v>442</v>
      </c>
      <c r="DY103">
        <v>7.2999999999999996E-4</v>
      </c>
      <c r="DZ103">
        <v>1.1199999999999999E-3</v>
      </c>
      <c r="EA103" t="s">
        <v>439</v>
      </c>
      <c r="EB103">
        <v>0.10872999999999999</v>
      </c>
      <c r="EC103">
        <v>2.7599999999999999E-3</v>
      </c>
      <c r="ED103" t="s">
        <v>442</v>
      </c>
      <c r="EE103">
        <v>6.2715899999999998</v>
      </c>
      <c r="EF103">
        <v>9.9470000000000003E-2</v>
      </c>
      <c r="EG103" t="s">
        <v>442</v>
      </c>
      <c r="EH103">
        <v>137.8776</v>
      </c>
      <c r="EI103">
        <v>2.7460900000000001</v>
      </c>
      <c r="EJ103" t="s">
        <v>442</v>
      </c>
      <c r="EM103" t="s">
        <v>440</v>
      </c>
      <c r="EN103">
        <v>14.083679999999999</v>
      </c>
      <c r="EO103">
        <v>0.55464000000000002</v>
      </c>
      <c r="EP103" t="s">
        <v>442</v>
      </c>
      <c r="ES103" t="s">
        <v>440</v>
      </c>
      <c r="ET103">
        <v>1042.3418999999999</v>
      </c>
      <c r="EU103">
        <v>25.68676</v>
      </c>
      <c r="EV103" t="s">
        <v>442</v>
      </c>
      <c r="EW103">
        <v>9.776E-2</v>
      </c>
      <c r="EX103">
        <v>0.15314</v>
      </c>
      <c r="EY103" t="s">
        <v>442</v>
      </c>
      <c r="EZ103">
        <v>13.050800000000001</v>
      </c>
      <c r="FA103">
        <v>0.20437</v>
      </c>
      <c r="FB103" t="s">
        <v>442</v>
      </c>
      <c r="FC103">
        <v>4.6122800000000002</v>
      </c>
      <c r="FD103">
        <v>0.39612999999999998</v>
      </c>
      <c r="FE103" t="s">
        <v>442</v>
      </c>
      <c r="FF103">
        <v>7.3970900000000004</v>
      </c>
      <c r="FG103">
        <v>0.47255000000000003</v>
      </c>
      <c r="FH103" t="s">
        <v>441</v>
      </c>
      <c r="FK103" t="s">
        <v>440</v>
      </c>
      <c r="FN103" t="s">
        <v>440</v>
      </c>
      <c r="FO103">
        <v>15.231640000000001</v>
      </c>
      <c r="FP103">
        <v>0.16647000000000001</v>
      </c>
      <c r="FQ103" t="s">
        <v>441</v>
      </c>
      <c r="FT103" t="s">
        <v>440</v>
      </c>
      <c r="FX103">
        <v>102</v>
      </c>
    </row>
    <row r="104" spans="2:180" x14ac:dyDescent="0.2">
      <c r="B104" t="s">
        <v>170</v>
      </c>
      <c r="C104">
        <v>0.17193</v>
      </c>
      <c r="D104">
        <v>1.5200000000000001E-3</v>
      </c>
      <c r="E104" t="s">
        <v>442</v>
      </c>
      <c r="F104">
        <v>1.225E-2</v>
      </c>
      <c r="G104">
        <v>3.0300000000000001E-3</v>
      </c>
      <c r="H104" t="s">
        <v>439</v>
      </c>
      <c r="I104">
        <v>2.3648899999999999</v>
      </c>
      <c r="J104">
        <v>2.86E-2</v>
      </c>
      <c r="K104" t="s">
        <v>442</v>
      </c>
      <c r="L104">
        <v>0.21218000000000001</v>
      </c>
      <c r="M104">
        <v>4.0099999999999997E-3</v>
      </c>
      <c r="N104" t="s">
        <v>442</v>
      </c>
      <c r="O104">
        <v>3.3700000000000002E-3</v>
      </c>
      <c r="P104">
        <v>8.0000000000000007E-5</v>
      </c>
      <c r="Q104" t="s">
        <v>439</v>
      </c>
      <c r="R104">
        <v>0.25229000000000001</v>
      </c>
      <c r="S104">
        <v>3.0999999999999999E-3</v>
      </c>
      <c r="T104" t="s">
        <v>442</v>
      </c>
      <c r="U104">
        <v>1.0399999999999999E-3</v>
      </c>
      <c r="V104">
        <v>9.0000000000000006E-5</v>
      </c>
      <c r="W104" t="s">
        <v>439</v>
      </c>
      <c r="X104">
        <v>1.055E-2</v>
      </c>
      <c r="Y104">
        <v>2.0000000000000002E-5</v>
      </c>
      <c r="Z104" t="s">
        <v>439</v>
      </c>
      <c r="AA104">
        <v>0.15653</v>
      </c>
      <c r="AB104">
        <v>8.4000000000000003E-4</v>
      </c>
      <c r="AC104" t="s">
        <v>442</v>
      </c>
      <c r="AD104">
        <v>0.74687999999999999</v>
      </c>
      <c r="AE104">
        <v>7.2500000000000004E-3</v>
      </c>
      <c r="AF104" t="s">
        <v>442</v>
      </c>
      <c r="AI104" t="s">
        <v>440</v>
      </c>
      <c r="AJ104">
        <v>10.6853</v>
      </c>
      <c r="AK104">
        <v>5.8300000000000001E-3</v>
      </c>
      <c r="AL104" t="s">
        <v>441</v>
      </c>
      <c r="AM104">
        <v>4.1825700000000001</v>
      </c>
      <c r="AN104">
        <v>5.7800000000000004E-3</v>
      </c>
      <c r="AO104" t="s">
        <v>442</v>
      </c>
      <c r="AP104">
        <v>0.10735</v>
      </c>
      <c r="AQ104">
        <v>1.3799999999999999E-3</v>
      </c>
      <c r="AR104" t="s">
        <v>442</v>
      </c>
      <c r="AS104">
        <v>2.4986999999999999</v>
      </c>
      <c r="AT104">
        <v>3.0519999999999999E-2</v>
      </c>
      <c r="AU104" t="s">
        <v>442</v>
      </c>
      <c r="AV104">
        <v>-1.2999999999999999E-3</v>
      </c>
      <c r="AW104">
        <v>9.0000000000000006E-5</v>
      </c>
      <c r="AX104" t="s">
        <v>439</v>
      </c>
      <c r="AY104">
        <v>-4.8300000000000001E-3</v>
      </c>
      <c r="AZ104">
        <v>2.0000000000000002E-5</v>
      </c>
      <c r="BA104" t="s">
        <v>439</v>
      </c>
      <c r="BB104">
        <v>2.0100000000000001E-3</v>
      </c>
      <c r="BC104">
        <v>1.8000000000000001E-4</v>
      </c>
      <c r="BD104" t="s">
        <v>439</v>
      </c>
      <c r="BE104">
        <v>5.1000000000000004E-4</v>
      </c>
      <c r="BF104">
        <v>5.0000000000000002E-5</v>
      </c>
      <c r="BG104" t="s">
        <v>439</v>
      </c>
      <c r="BH104">
        <v>1.3999999999999999E-4</v>
      </c>
      <c r="BI104">
        <v>9.0000000000000006E-5</v>
      </c>
      <c r="BJ104" t="s">
        <v>439</v>
      </c>
      <c r="BK104">
        <v>1.4599999999999999E-3</v>
      </c>
      <c r="BL104">
        <v>2.0000000000000002E-5</v>
      </c>
      <c r="BM104" t="s">
        <v>439</v>
      </c>
      <c r="BN104">
        <v>-5.0000000000000001E-4</v>
      </c>
      <c r="BO104">
        <v>2.0000000000000002E-5</v>
      </c>
      <c r="BP104" t="s">
        <v>439</v>
      </c>
      <c r="BQ104">
        <v>6.3079999999999997E-2</v>
      </c>
      <c r="BR104">
        <v>4.2999999999999999E-4</v>
      </c>
      <c r="BS104" t="s">
        <v>442</v>
      </c>
      <c r="BV104" t="s">
        <v>440</v>
      </c>
      <c r="BW104">
        <v>-2.05416</v>
      </c>
      <c r="BX104">
        <v>4.2999999999999999E-4</v>
      </c>
      <c r="BY104" t="s">
        <v>439</v>
      </c>
      <c r="BZ104">
        <v>0.19081000000000001</v>
      </c>
      <c r="CA104">
        <v>3.0899999999999999E-3</v>
      </c>
      <c r="CB104" t="s">
        <v>442</v>
      </c>
      <c r="CC104">
        <v>9.6925699999999999</v>
      </c>
      <c r="CD104">
        <v>0.23344999999999999</v>
      </c>
      <c r="CE104" t="s">
        <v>442</v>
      </c>
      <c r="CF104">
        <v>9.1121200000000009</v>
      </c>
      <c r="CG104">
        <v>0.11878</v>
      </c>
      <c r="CH104" t="s">
        <v>442</v>
      </c>
      <c r="CI104">
        <v>9.0033100000000008</v>
      </c>
      <c r="CJ104">
        <v>0.13319</v>
      </c>
      <c r="CK104" t="s">
        <v>442</v>
      </c>
      <c r="CL104">
        <v>0.30897000000000002</v>
      </c>
      <c r="CM104">
        <v>4.79E-3</v>
      </c>
      <c r="CN104" t="s">
        <v>442</v>
      </c>
      <c r="CO104">
        <v>176.97744</v>
      </c>
      <c r="CP104">
        <v>1.9262900000000001</v>
      </c>
      <c r="CQ104" t="s">
        <v>442</v>
      </c>
      <c r="CR104">
        <v>0.92547000000000001</v>
      </c>
      <c r="CS104">
        <v>1.772E-2</v>
      </c>
      <c r="CT104" t="s">
        <v>442</v>
      </c>
      <c r="CU104">
        <v>1.0827899999999999</v>
      </c>
      <c r="CV104">
        <v>1.7639999999999999E-2</v>
      </c>
      <c r="CW104" t="s">
        <v>442</v>
      </c>
      <c r="CX104">
        <v>38.375480000000003</v>
      </c>
      <c r="CY104">
        <v>0.73880000000000001</v>
      </c>
      <c r="CZ104" t="s">
        <v>442</v>
      </c>
      <c r="DA104">
        <v>5.5999299999999996</v>
      </c>
      <c r="DB104">
        <v>0.10131999999999999</v>
      </c>
      <c r="DC104" t="s">
        <v>442</v>
      </c>
      <c r="DD104">
        <v>716.50720999999999</v>
      </c>
      <c r="DE104">
        <v>1.6861999999999999</v>
      </c>
      <c r="DF104" t="s">
        <v>442</v>
      </c>
      <c r="DG104">
        <v>10.9049</v>
      </c>
      <c r="DH104">
        <v>0.14176</v>
      </c>
      <c r="DI104" t="s">
        <v>442</v>
      </c>
      <c r="DJ104">
        <v>1.562E-2</v>
      </c>
      <c r="DK104">
        <v>4.8799999999999998E-3</v>
      </c>
      <c r="DL104" t="s">
        <v>439</v>
      </c>
      <c r="DM104">
        <v>1.474E-2</v>
      </c>
      <c r="DN104">
        <v>2.5999999999999998E-4</v>
      </c>
      <c r="DO104" t="s">
        <v>442</v>
      </c>
      <c r="DP104">
        <v>0.62722999999999995</v>
      </c>
      <c r="DQ104">
        <v>1.593E-2</v>
      </c>
      <c r="DR104" t="s">
        <v>442</v>
      </c>
      <c r="DS104">
        <v>1.2524299999999999</v>
      </c>
      <c r="DT104">
        <v>3.5830000000000001E-2</v>
      </c>
      <c r="DU104" t="s">
        <v>442</v>
      </c>
      <c r="DV104">
        <v>2.7415600000000002</v>
      </c>
      <c r="DW104">
        <v>8.5589999999999999E-2</v>
      </c>
      <c r="DX104" t="s">
        <v>442</v>
      </c>
      <c r="DY104">
        <v>8.7000000000000001E-4</v>
      </c>
      <c r="DZ104">
        <v>1.9000000000000001E-4</v>
      </c>
      <c r="EA104" t="s">
        <v>439</v>
      </c>
      <c r="EB104">
        <v>0.10868999999999999</v>
      </c>
      <c r="EC104">
        <v>3.3800000000000002E-3</v>
      </c>
      <c r="ED104" t="s">
        <v>442</v>
      </c>
      <c r="EE104">
        <v>8.8206799999999994</v>
      </c>
      <c r="EF104">
        <v>0.19706000000000001</v>
      </c>
      <c r="EG104" t="s">
        <v>442</v>
      </c>
      <c r="EH104">
        <v>170.55301</v>
      </c>
      <c r="EI104">
        <v>4.9026500000000004</v>
      </c>
      <c r="EJ104" t="s">
        <v>442</v>
      </c>
      <c r="EM104" t="s">
        <v>440</v>
      </c>
      <c r="EN104">
        <v>10.32741</v>
      </c>
      <c r="EO104">
        <v>0.28381000000000001</v>
      </c>
      <c r="EP104" t="s">
        <v>442</v>
      </c>
      <c r="ES104" t="s">
        <v>440</v>
      </c>
      <c r="ET104">
        <v>1117.7951399999999</v>
      </c>
      <c r="EU104">
        <v>5.4283999999999999</v>
      </c>
      <c r="EV104" t="s">
        <v>442</v>
      </c>
      <c r="EW104">
        <v>9.0700000000000003E-2</v>
      </c>
      <c r="EX104">
        <v>0.14033999999999999</v>
      </c>
      <c r="EY104" t="s">
        <v>442</v>
      </c>
      <c r="EZ104">
        <v>10.27022</v>
      </c>
      <c r="FA104">
        <v>6.8409999999999999E-2</v>
      </c>
      <c r="FB104" t="s">
        <v>442</v>
      </c>
      <c r="FC104">
        <v>4.9785399999999997</v>
      </c>
      <c r="FD104">
        <v>0.24326999999999999</v>
      </c>
      <c r="FE104" t="s">
        <v>442</v>
      </c>
      <c r="FF104">
        <v>7.2258300000000002</v>
      </c>
      <c r="FG104">
        <v>0.30074000000000001</v>
      </c>
      <c r="FH104" t="s">
        <v>441</v>
      </c>
      <c r="FK104" t="s">
        <v>440</v>
      </c>
      <c r="FN104" t="s">
        <v>440</v>
      </c>
      <c r="FO104">
        <v>10.799799999999999</v>
      </c>
      <c r="FP104">
        <v>0.17419000000000001</v>
      </c>
      <c r="FQ104" t="s">
        <v>441</v>
      </c>
      <c r="FT104" t="s">
        <v>440</v>
      </c>
      <c r="FX104">
        <v>103</v>
      </c>
    </row>
    <row r="105" spans="2:180" x14ac:dyDescent="0.2">
      <c r="B105" t="s">
        <v>171</v>
      </c>
      <c r="C105">
        <v>8.2900000000000001E-2</v>
      </c>
      <c r="D105">
        <v>2.3400000000000001E-3</v>
      </c>
      <c r="E105" t="e">
        <f>IF((ABS($C$105-$C$97)/(($C$105+$C$97)/2)) &lt;#REF!, "Dp","Df")</f>
        <v>#REF!</v>
      </c>
      <c r="F105">
        <v>1.1820000000000001E-2</v>
      </c>
      <c r="G105">
        <v>2.0200000000000001E-3</v>
      </c>
      <c r="H105" t="e">
        <f>IF((ABS($F$105-$F$97)/(($F$105+$F$97)/2)) &lt;#REF!, "Dp","Df")</f>
        <v>#REF!</v>
      </c>
      <c r="I105">
        <v>0.81808999999999998</v>
      </c>
      <c r="J105">
        <v>1.2749999999999999E-2</v>
      </c>
      <c r="K105" t="e">
        <f>IF((ABS($I$105-$I$97)/(($I$105+$I$97)/2)) &lt;#REF!, "Dp","Df")</f>
        <v>#REF!</v>
      </c>
      <c r="L105">
        <v>0.25345000000000001</v>
      </c>
      <c r="M105">
        <v>7.2399999999999999E-3</v>
      </c>
      <c r="N105" t="e">
        <f>IF((ABS($L$105-$L$97)/(($L$105+$L$97)/2)) &lt;#REF!, "Dp","Df")</f>
        <v>#REF!</v>
      </c>
      <c r="O105">
        <v>3.9500000000000004E-3</v>
      </c>
      <c r="P105">
        <v>2.0000000000000002E-5</v>
      </c>
      <c r="Q105" t="e">
        <f>IF((ABS($O$105-$O$97)/(($O$105+$O$97)/2)) &lt;#REF!, "Dp","Df")</f>
        <v>#REF!</v>
      </c>
      <c r="R105">
        <v>0.10952000000000001</v>
      </c>
      <c r="S105">
        <v>2.9099999999999998E-3</v>
      </c>
      <c r="T105" t="e">
        <f>IF((ABS($R$105-$R$97)/(($R$105+$R$97)/2)) &lt;#REF!, "Dp","Df")</f>
        <v>#REF!</v>
      </c>
      <c r="U105">
        <v>9.1E-4</v>
      </c>
      <c r="V105">
        <v>1.2999999999999999E-4</v>
      </c>
      <c r="W105" t="e">
        <f>IF((ABS($U$105-$U$97)/(($U$105+$U$97)/2)) &lt;#REF!, "Dp","Df")</f>
        <v>#REF!</v>
      </c>
      <c r="X105">
        <v>1.069E-2</v>
      </c>
      <c r="Y105">
        <v>1.6000000000000001E-4</v>
      </c>
      <c r="Z105" t="e">
        <f>IF((ABS($X$105-$X$97)/(($X$105+$X$97)/2)) &lt;#REF!, "Dp","Df")</f>
        <v>#REF!</v>
      </c>
      <c r="AA105">
        <v>7.5840000000000005E-2</v>
      </c>
      <c r="AB105">
        <v>1.9599999999999999E-3</v>
      </c>
      <c r="AC105" t="e">
        <f>IF((ABS($AA$105-$AA$97)/(($AA$105+$AA$97)/2)) &lt;#REF!, "Dp","Df")</f>
        <v>#REF!</v>
      </c>
      <c r="AD105">
        <v>0.30187999999999998</v>
      </c>
      <c r="AE105">
        <v>7.5300000000000002E-3</v>
      </c>
      <c r="AF105" t="e">
        <f>IF((ABS($AD$105-$AD$97)/(($AD$105+$AD$97)/2)) &lt;#REF!, "Dp","Df")</f>
        <v>#REF!</v>
      </c>
      <c r="AI105" t="e">
        <f>IF((ABS($AG$105-$AG$97)/(($AG$105+$AG$97)/2)) &lt;#REF!, "Dp","Df")</f>
        <v>#DIV/0!</v>
      </c>
      <c r="AJ105">
        <v>7.96584</v>
      </c>
      <c r="AK105">
        <v>9.987E-2</v>
      </c>
      <c r="AL105" t="e">
        <f>IF((ABS($AJ$105-$AJ$97)/(($AJ$105+$AJ$97)/2)) &lt;#REF!, "Dp","Df")</f>
        <v>#REF!</v>
      </c>
      <c r="AM105">
        <v>4.2854000000000001</v>
      </c>
      <c r="AN105">
        <v>8.9560000000000001E-2</v>
      </c>
      <c r="AO105" t="e">
        <f>IF((ABS($AM$105-$AM$97)/(($AM$105+$AM$97)/2)) &lt;#REF!, "Dp","Df")</f>
        <v>#REF!</v>
      </c>
      <c r="AP105">
        <v>3.159E-2</v>
      </c>
      <c r="AQ105">
        <v>1.4999999999999999E-4</v>
      </c>
      <c r="AR105" t="e">
        <f>IF((ABS($AP$105-$AP$97)/(($AP$105+$AP$97)/2)) &lt;#REF!, "Dp","Df")</f>
        <v>#REF!</v>
      </c>
      <c r="AS105">
        <v>1.7405600000000001</v>
      </c>
      <c r="AT105">
        <v>2.879E-2</v>
      </c>
      <c r="AU105" t="e">
        <f>IF((ABS($AS$105-$AS$97)/(($AS$105+$AS$97)/2)) &lt;#REF!, "Dp","Df")</f>
        <v>#REF!</v>
      </c>
      <c r="AV105">
        <v>1.908E-2</v>
      </c>
      <c r="AW105">
        <v>2.9E-4</v>
      </c>
      <c r="AX105" t="e">
        <f>IF((ABS($AV$105-$AV$97)/(($AV$105+$AV$97)/2)) &lt;#REF!, "Dp","Df")</f>
        <v>#REF!</v>
      </c>
      <c r="AY105">
        <v>1.5699999999999999E-2</v>
      </c>
      <c r="AZ105">
        <v>3.5E-4</v>
      </c>
      <c r="BA105" t="e">
        <f>IF((ABS($AY$105-$AY$97)/(($AY$105+$AY$97)/2)) &lt;#REF!, "Dp","Df")</f>
        <v>#REF!</v>
      </c>
      <c r="BB105">
        <v>1.3180000000000001E-2</v>
      </c>
      <c r="BC105">
        <v>5.1999999999999995E-4</v>
      </c>
      <c r="BD105" t="e">
        <f>IF((ABS($BB$105-$BB$97)/(($BB$105+$BB$97)/2)) &lt;#REF!, "Dp","Df")</f>
        <v>#REF!</v>
      </c>
      <c r="BE105">
        <v>8.1999999999999998E-4</v>
      </c>
      <c r="BF105">
        <v>4.0999999999999999E-4</v>
      </c>
      <c r="BG105" t="e">
        <f>IF((ABS($BE$105-$BE$97)/(($BE$105+$BE$97)/2)) &lt;#REF!, "Dp","Df")</f>
        <v>#REF!</v>
      </c>
      <c r="BH105">
        <v>1.06E-3</v>
      </c>
      <c r="BI105">
        <v>1.2E-4</v>
      </c>
      <c r="BJ105" t="e">
        <f>IF((ABS($BH$105-$BH$97)/(($BH$105+$BH$97)/2)) &lt;#REF!, "Dp","Df")</f>
        <v>#REF!</v>
      </c>
      <c r="BK105">
        <v>1.5E-3</v>
      </c>
      <c r="BL105">
        <v>3.0000000000000001E-5</v>
      </c>
      <c r="BM105" t="e">
        <f>IF((ABS($BK$105-$BK$97)/(($BK$105+$BK$97)/2)) &lt;#REF!, "Dp","Df")</f>
        <v>#REF!</v>
      </c>
      <c r="BN105">
        <v>-4.4999999999999999E-4</v>
      </c>
      <c r="BO105">
        <v>3.0000000000000001E-5</v>
      </c>
      <c r="BP105" t="e">
        <f>IF((ABS($BN$105-$BN$97)/(($BN$105+$BN$97)/2)) &lt;#REF!, "Dp","Df")</f>
        <v>#REF!</v>
      </c>
      <c r="BQ105">
        <v>1.58E-3</v>
      </c>
      <c r="BR105">
        <v>3.3E-4</v>
      </c>
      <c r="BS105" t="e">
        <f>IF((ABS($BQ$105-$BQ$97)/(($BQ$105+$BQ$97)/2)) &lt;#REF!, "Dp","Df")</f>
        <v>#REF!</v>
      </c>
      <c r="BV105" t="e">
        <f>IF((ABS($BT$105-$BT$97)/(($BT$105+$BT$97)/2)) &lt;#REF!, "Dp","Df")</f>
        <v>#DIV/0!</v>
      </c>
      <c r="BW105">
        <v>-2.0531000000000001</v>
      </c>
      <c r="BX105">
        <v>6.3000000000000003E-4</v>
      </c>
      <c r="BY105" t="e">
        <f>IF((ABS($BW$105-$BW$97)/(($BW$105+$BW$97)/2)) &lt;#REF!, "Dp","Df")</f>
        <v>#REF!</v>
      </c>
      <c r="BZ105">
        <v>5.781E-2</v>
      </c>
      <c r="CA105">
        <v>9.7000000000000005E-4</v>
      </c>
      <c r="CB105" t="e">
        <f>IF((ABS($BZ$105-$BZ$97)/(($BZ$105+$BZ$97)/2)) &lt;#REF!, "Dp","Df")</f>
        <v>#REF!</v>
      </c>
      <c r="CC105">
        <v>3.89107</v>
      </c>
      <c r="CD105">
        <v>7.9280000000000003E-2</v>
      </c>
      <c r="CE105" t="e">
        <f>IF((ABS($CC$105-$CC$97)/(($CC$105+$CC$97)/2)) &lt;#REF!, "Dp","Df")</f>
        <v>#REF!</v>
      </c>
      <c r="CF105">
        <v>3.6755</v>
      </c>
      <c r="CG105">
        <v>6.9290000000000004E-2</v>
      </c>
      <c r="CH105" t="e">
        <f>IF((ABS($CF$105-$CF$97)/(($CF$105+$CF$97)/2)) &lt;#REF!, "Dp","Df")</f>
        <v>#REF!</v>
      </c>
      <c r="CI105">
        <v>3.9335499999999999</v>
      </c>
      <c r="CJ105">
        <v>5.7529999999999998E-2</v>
      </c>
      <c r="CK105" t="e">
        <f>IF((ABS($CI$105-$CI$97)/(($CI$105+$CI$97)/2)) &lt;#REF!, "Dp","Df")</f>
        <v>#REF!</v>
      </c>
      <c r="CL105">
        <v>0.15742999999999999</v>
      </c>
      <c r="CM105">
        <v>3.9699999999999996E-3</v>
      </c>
      <c r="CN105" t="e">
        <f>IF((ABS($CL$105-$CL$97)/(($CL$105+$CL$97)/2)) &lt;#REF!, "Dp","Df")</f>
        <v>#REF!</v>
      </c>
      <c r="CO105">
        <v>73.221519999999998</v>
      </c>
      <c r="CP105">
        <v>3.83684</v>
      </c>
      <c r="CQ105" t="e">
        <f>IF((ABS($CO$105-$CO$97)/(($CO$105+$CO$97)/2)) &lt;#REF!, "Dp","Df")</f>
        <v>#REF!</v>
      </c>
      <c r="CR105">
        <v>5.0283300000000004</v>
      </c>
      <c r="CS105">
        <v>0.27939000000000003</v>
      </c>
      <c r="CT105" t="e">
        <f>IF((ABS($CR$105-$CR$97)/(($CR$105+$CR$97)/2)) &lt;#REF!, "Dp","Df")</f>
        <v>#REF!</v>
      </c>
      <c r="CU105">
        <v>3.3677299999999999</v>
      </c>
      <c r="CV105">
        <v>0.18872</v>
      </c>
      <c r="CW105" t="e">
        <f>IF((ABS($CU$105-$CU$97)/(($CU$105+$CU$97)/2)) &lt;#REF!, "Dp","Df")</f>
        <v>#REF!</v>
      </c>
      <c r="CX105">
        <v>34.725360000000002</v>
      </c>
      <c r="CY105">
        <v>1.77298</v>
      </c>
      <c r="CZ105" t="e">
        <f>IF((ABS($CX$105-$CX$97)/(($CX$105+$CX$97)/2)) &lt;#REF!, "Dp","Df")</f>
        <v>#REF!</v>
      </c>
      <c r="DA105">
        <v>5.1388600000000002</v>
      </c>
      <c r="DB105">
        <v>0.28215000000000001</v>
      </c>
      <c r="DC105" t="e">
        <f>IF((ABS($DA$105-$DA$97)/(($DA$105+$DA$97)/2)) &lt;#REF!, "Dp","Df")</f>
        <v>#REF!</v>
      </c>
      <c r="DD105">
        <v>292.58314000000001</v>
      </c>
      <c r="DE105">
        <v>12.435890000000001</v>
      </c>
      <c r="DF105" t="e">
        <f>IF((ABS($DD$105-$DD$97)/(($DD$105+$DD$97)/2)) &lt;#REF!, "Dp","Df")</f>
        <v>#REF!</v>
      </c>
      <c r="DG105">
        <v>28.534490000000002</v>
      </c>
      <c r="DH105">
        <v>1.5272600000000001</v>
      </c>
      <c r="DI105" t="e">
        <f>IF((ABS($DG$105-$DG$97)/(($DG$105+$DG$97)/2)) &lt;#REF!, "Dp","Df")</f>
        <v>#REF!</v>
      </c>
      <c r="DJ105">
        <v>0.13169</v>
      </c>
      <c r="DK105">
        <v>1.18E-2</v>
      </c>
      <c r="DL105" t="e">
        <f>IF((ABS($DJ$105-$DJ$97)/(($DJ$105+$DJ$97)/2)) &lt;#REF!, "Dp","Df")</f>
        <v>#REF!</v>
      </c>
      <c r="DM105">
        <v>8.6599999999999993E-3</v>
      </c>
      <c r="DN105">
        <v>6.4999999999999997E-4</v>
      </c>
      <c r="DO105" t="e">
        <f>IF((ABS($DM$105-$DM$97)/(($DM$105+$DM$97)/2)) &lt;#REF!, "Dp","Df")</f>
        <v>#REF!</v>
      </c>
      <c r="DP105">
        <v>0.26783000000000001</v>
      </c>
      <c r="DQ105">
        <v>1.634E-2</v>
      </c>
      <c r="DR105" t="e">
        <f>IF((ABS($DP$105-$DP$97)/(($DP$105+$DP$97)/2)) &lt;#REF!, "Dp","Df")</f>
        <v>#REF!</v>
      </c>
      <c r="DS105">
        <v>1.3305</v>
      </c>
      <c r="DT105">
        <v>6.8339999999999998E-2</v>
      </c>
      <c r="DU105" t="e">
        <f>IF((ABS($DS$105-$DS$97)/(($DS$105+$DS$97)/2)) &lt;#REF!, "Dp","Df")</f>
        <v>#REF!</v>
      </c>
      <c r="DV105">
        <v>10.90269</v>
      </c>
      <c r="DW105">
        <v>0.57609999999999995</v>
      </c>
      <c r="DX105" t="e">
        <f>IF((ABS($DV$105-$DV$97)/(($DV$105+$DV$97)/2)) &lt;#REF!, "Dp","Df")</f>
        <v>#REF!</v>
      </c>
      <c r="DY105">
        <v>6.1500000000000001E-3</v>
      </c>
      <c r="DZ105">
        <v>7.7999999999999999E-4</v>
      </c>
      <c r="EA105" t="e">
        <f>IF((ABS($DY$105-$DY$97)/(($DY$105+$DY$97)/2)) &lt;#REF!, "Dp","Df")</f>
        <v>#REF!</v>
      </c>
      <c r="EB105">
        <v>0.22498000000000001</v>
      </c>
      <c r="EC105">
        <v>1.5730000000000001E-2</v>
      </c>
      <c r="ED105" t="e">
        <f>IF((ABS($EB$105-$EB$97)/(($EB$105+$EB$97)/2)) &lt;#REF!, "Dp","Df")</f>
        <v>#REF!</v>
      </c>
      <c r="EE105">
        <v>3.4447999999999999</v>
      </c>
      <c r="EF105">
        <v>0.17691000000000001</v>
      </c>
      <c r="EG105" t="e">
        <f>IF((ABS($EE$105-$EE$97)/(($EE$105+$EE$97)/2)) &lt;#REF!, "Dp","Df")</f>
        <v>#REF!</v>
      </c>
      <c r="EH105">
        <v>59.998080000000002</v>
      </c>
      <c r="EI105">
        <v>3.1206399999999999</v>
      </c>
      <c r="EJ105" t="e">
        <f>IF((ABS($EH$105-$EH$97)/(($EH$105+$EH$97)/2)) &lt;#REF!, "Dp","Df")</f>
        <v>#REF!</v>
      </c>
      <c r="EM105" t="e">
        <f>IF((ABS($EK$105-$EK$97)/(($EK$105+$EK$97)/2)) &lt;#REF!, "Dp","Df")</f>
        <v>#DIV/0!</v>
      </c>
      <c r="EN105">
        <v>7.80572</v>
      </c>
      <c r="EO105">
        <v>0.36807000000000001</v>
      </c>
      <c r="EP105" t="e">
        <f>IF((ABS($EN$105-$EN$97)/(($EN$105+$EN$97)/2)) &lt;#REF!, "Dp","Df")</f>
        <v>#REF!</v>
      </c>
      <c r="ES105" t="e">
        <f>IF((ABS($EQ$105-$EQ$97)/(($EQ$105+$EQ$97)/2)) &lt;#REF!, "Dp","Df")</f>
        <v>#DIV/0!</v>
      </c>
      <c r="ET105">
        <v>328.47210999999999</v>
      </c>
      <c r="EU105">
        <v>17.09244</v>
      </c>
      <c r="EV105" t="e">
        <f>IF((ABS($ET$105-$ET$97)/(($ET$105+$ET$97)/2)) &lt;#REF!, "Dp","Df")</f>
        <v>#REF!</v>
      </c>
      <c r="EW105">
        <v>3.3999999999999998E-3</v>
      </c>
      <c r="EX105">
        <v>3.1700000000000001E-3</v>
      </c>
      <c r="EY105" t="e">
        <f>IF((ABS($EW$105-$EW$97)/(($EW$105+$EW$97)/2)) &lt;#REF!, "Dp","Df")</f>
        <v>#REF!</v>
      </c>
      <c r="EZ105">
        <v>165.48473999999999</v>
      </c>
      <c r="FA105">
        <v>9.2537699999999994</v>
      </c>
      <c r="FB105" t="e">
        <f>IF((ABS($EZ$105-$EZ$97)/(($EZ$105+$EZ$97)/2)) &lt;#REF!, "Dp","Df")</f>
        <v>#REF!</v>
      </c>
      <c r="FC105">
        <v>2.8642400000000001</v>
      </c>
      <c r="FD105">
        <v>0.45863999999999999</v>
      </c>
      <c r="FE105" t="e">
        <f>IF((ABS($FC$105-$FC$97)/(($FC$105+$FC$97)/2)) &lt;#REF!, "Dp","Df")</f>
        <v>#REF!</v>
      </c>
      <c r="FF105">
        <v>5.6991100000000001</v>
      </c>
      <c r="FG105">
        <v>0.29633999999999999</v>
      </c>
      <c r="FH105" t="e">
        <f>IF((ABS($FF$105-$FF$97)/(($FF$105+$FF$97)/2)) &lt;#REF!, "Dp","Df")</f>
        <v>#REF!</v>
      </c>
      <c r="FK105" t="e">
        <f>IF((ABS($FI$105-$FI$97)/(($FI$105+$FI$97)/2)) &lt;#REF!, "Dp","Df")</f>
        <v>#DIV/0!</v>
      </c>
      <c r="FN105" t="e">
        <f>IF((ABS($FL$105-$FL$97)/(($FL$105+$FL$97)/2)) &lt;#REF!, "Dp","Df")</f>
        <v>#DIV/0!</v>
      </c>
      <c r="FO105">
        <v>8.1242599999999996</v>
      </c>
      <c r="FP105">
        <v>0.37520999999999999</v>
      </c>
      <c r="FQ105" t="e">
        <f>IF((ABS($FO$105-$FO$97)/(($FO$105+$FO$97)/2)) &lt;#REF!, "Dp","Df")</f>
        <v>#REF!</v>
      </c>
      <c r="FT105" t="e">
        <f>IF((ABS($FR$105-$FR$97)/(($FR$105+$FR$97)/2)) &lt;#REF!, "Dp","Df")</f>
        <v>#DIV/0!</v>
      </c>
      <c r="FU105">
        <v>2</v>
      </c>
      <c r="FX105">
        <v>104</v>
      </c>
    </row>
    <row r="106" spans="2:180" x14ac:dyDescent="0.2">
      <c r="B106" t="s">
        <v>172</v>
      </c>
      <c r="C106">
        <v>4.6670000000000003E-2</v>
      </c>
      <c r="D106">
        <v>7.6999999999999996E-4</v>
      </c>
      <c r="E106" t="s">
        <v>439</v>
      </c>
      <c r="F106">
        <v>1.5219999999999999E-2</v>
      </c>
      <c r="G106">
        <v>1.2999999999999999E-3</v>
      </c>
      <c r="H106" t="s">
        <v>439</v>
      </c>
      <c r="I106">
        <v>0.29402</v>
      </c>
      <c r="J106">
        <v>6.4799999999999996E-3</v>
      </c>
      <c r="K106" t="s">
        <v>442</v>
      </c>
      <c r="L106">
        <v>3.8920000000000003E-2</v>
      </c>
      <c r="M106">
        <v>1.33E-3</v>
      </c>
      <c r="N106" t="s">
        <v>442</v>
      </c>
      <c r="O106">
        <v>3.2499999999999999E-3</v>
      </c>
      <c r="P106">
        <v>4.0000000000000003E-5</v>
      </c>
      <c r="Q106" t="s">
        <v>439</v>
      </c>
      <c r="R106">
        <v>6.3479999999999995E-2</v>
      </c>
      <c r="S106">
        <v>1.3500000000000001E-3</v>
      </c>
      <c r="T106" t="s">
        <v>442</v>
      </c>
      <c r="U106">
        <v>4.8999999999999998E-4</v>
      </c>
      <c r="V106">
        <v>1E-4</v>
      </c>
      <c r="W106" t="s">
        <v>439</v>
      </c>
      <c r="X106">
        <v>9.6900000000000007E-3</v>
      </c>
      <c r="Y106">
        <v>4.2999999999999999E-4</v>
      </c>
      <c r="Z106" t="s">
        <v>439</v>
      </c>
      <c r="AA106">
        <v>4.2900000000000001E-2</v>
      </c>
      <c r="AB106">
        <v>2.7E-4</v>
      </c>
      <c r="AC106" t="s">
        <v>442</v>
      </c>
      <c r="AD106">
        <v>0.10449</v>
      </c>
      <c r="AE106">
        <v>4.3499999999999997E-3</v>
      </c>
      <c r="AF106" t="s">
        <v>442</v>
      </c>
      <c r="AI106" t="s">
        <v>440</v>
      </c>
      <c r="AJ106">
        <v>2.33114</v>
      </c>
      <c r="AK106">
        <v>3.0679999999999999E-2</v>
      </c>
      <c r="AL106" t="s">
        <v>441</v>
      </c>
      <c r="AM106">
        <v>0.87397999999999998</v>
      </c>
      <c r="AN106">
        <v>4.0699999999999998E-3</v>
      </c>
      <c r="AO106" t="s">
        <v>442</v>
      </c>
      <c r="AP106">
        <v>8.9999999999999998E-4</v>
      </c>
      <c r="AQ106">
        <v>2.3000000000000001E-4</v>
      </c>
      <c r="AR106" t="s">
        <v>439</v>
      </c>
      <c r="AS106">
        <v>0.55964000000000003</v>
      </c>
      <c r="AT106">
        <v>7.7499999999999999E-3</v>
      </c>
      <c r="AU106" t="s">
        <v>442</v>
      </c>
      <c r="AV106">
        <v>-1.5100000000000001E-3</v>
      </c>
      <c r="AW106">
        <v>1E-4</v>
      </c>
      <c r="AX106" t="s">
        <v>439</v>
      </c>
      <c r="AY106">
        <v>-4.6699999999999997E-3</v>
      </c>
      <c r="AZ106">
        <v>1E-4</v>
      </c>
      <c r="BA106" t="s">
        <v>439</v>
      </c>
      <c r="BB106">
        <v>3.7799999999999999E-3</v>
      </c>
      <c r="BC106">
        <v>4.4000000000000002E-4</v>
      </c>
      <c r="BD106" t="s">
        <v>442</v>
      </c>
      <c r="BE106">
        <v>4.8999999999999998E-4</v>
      </c>
      <c r="BF106">
        <v>2.1000000000000001E-4</v>
      </c>
      <c r="BG106" t="s">
        <v>439</v>
      </c>
      <c r="BH106">
        <v>-1.3999999999999999E-4</v>
      </c>
      <c r="BI106">
        <v>1.8000000000000001E-4</v>
      </c>
      <c r="BJ106" t="s">
        <v>439</v>
      </c>
      <c r="BK106">
        <v>1.48E-3</v>
      </c>
      <c r="BL106">
        <v>3.0000000000000001E-5</v>
      </c>
      <c r="BM106" t="s">
        <v>439</v>
      </c>
      <c r="BN106">
        <v>-9.0000000000000006E-5</v>
      </c>
      <c r="BO106">
        <v>1.4999999999999999E-4</v>
      </c>
      <c r="BP106" t="s">
        <v>439</v>
      </c>
      <c r="BQ106">
        <v>-3.3E-4</v>
      </c>
      <c r="BR106">
        <v>3.5E-4</v>
      </c>
      <c r="BS106" t="s">
        <v>439</v>
      </c>
      <c r="BV106" t="s">
        <v>440</v>
      </c>
      <c r="BW106">
        <v>-2.05375</v>
      </c>
      <c r="BX106">
        <v>5.9999999999999995E-4</v>
      </c>
      <c r="BY106" t="s">
        <v>439</v>
      </c>
      <c r="BZ106">
        <v>3.4610000000000002E-2</v>
      </c>
      <c r="CA106">
        <v>2.9999999999999997E-4</v>
      </c>
      <c r="CB106" t="s">
        <v>442</v>
      </c>
      <c r="CC106">
        <v>1.0944400000000001</v>
      </c>
      <c r="CD106">
        <v>2.7210000000000002E-2</v>
      </c>
      <c r="CE106" t="s">
        <v>442</v>
      </c>
      <c r="CF106">
        <v>1.0584800000000001</v>
      </c>
      <c r="CG106">
        <v>2.18E-2</v>
      </c>
      <c r="CH106" t="s">
        <v>442</v>
      </c>
      <c r="CI106">
        <v>1.07999</v>
      </c>
      <c r="CJ106">
        <v>1.5740000000000001E-2</v>
      </c>
      <c r="CK106" t="s">
        <v>442</v>
      </c>
      <c r="CL106">
        <v>3.6119999999999999E-2</v>
      </c>
      <c r="CM106">
        <v>3.1E-4</v>
      </c>
      <c r="CN106" t="s">
        <v>442</v>
      </c>
      <c r="CO106">
        <v>22.857430000000001</v>
      </c>
      <c r="CP106">
        <v>0.255</v>
      </c>
      <c r="CQ106" t="s">
        <v>442</v>
      </c>
      <c r="CR106">
        <v>0.44231999999999999</v>
      </c>
      <c r="CS106">
        <v>2.3999999999999998E-3</v>
      </c>
      <c r="CT106" t="s">
        <v>442</v>
      </c>
      <c r="CU106">
        <v>6.5506700000000002</v>
      </c>
      <c r="CV106">
        <v>8.4330000000000002E-2</v>
      </c>
      <c r="CW106" t="s">
        <v>442</v>
      </c>
      <c r="CX106">
        <v>6.64534</v>
      </c>
      <c r="CY106">
        <v>0.41504000000000002</v>
      </c>
      <c r="CZ106" t="s">
        <v>442</v>
      </c>
      <c r="DA106">
        <v>4.1326599999999996</v>
      </c>
      <c r="DB106">
        <v>0.11203</v>
      </c>
      <c r="DC106" t="s">
        <v>442</v>
      </c>
      <c r="DD106">
        <v>107.06672</v>
      </c>
      <c r="DE106">
        <v>1.86774</v>
      </c>
      <c r="DF106" t="s">
        <v>442</v>
      </c>
      <c r="DG106">
        <v>8.0001599999999993</v>
      </c>
      <c r="DH106">
        <v>0.20835999999999999</v>
      </c>
      <c r="DI106" t="s">
        <v>442</v>
      </c>
      <c r="DJ106">
        <v>7.2700000000000004E-3</v>
      </c>
      <c r="DK106">
        <v>2.2499999999999998E-3</v>
      </c>
      <c r="DL106" t="s">
        <v>439</v>
      </c>
      <c r="DM106">
        <v>3.6800000000000001E-3</v>
      </c>
      <c r="DN106">
        <v>4.2999999999999999E-4</v>
      </c>
      <c r="DO106" t="s">
        <v>442</v>
      </c>
      <c r="DP106">
        <v>0.14840999999999999</v>
      </c>
      <c r="DQ106">
        <v>2.5200000000000001E-3</v>
      </c>
      <c r="DR106" t="s">
        <v>442</v>
      </c>
      <c r="DS106">
        <v>0.17272000000000001</v>
      </c>
      <c r="DT106">
        <v>9.2899999999999996E-3</v>
      </c>
      <c r="DU106" t="s">
        <v>442</v>
      </c>
      <c r="DV106">
        <v>2.02264</v>
      </c>
      <c r="DW106">
        <v>6.8129999999999996E-2</v>
      </c>
      <c r="DX106" t="s">
        <v>442</v>
      </c>
      <c r="DY106">
        <v>-4.0000000000000002E-4</v>
      </c>
      <c r="DZ106">
        <v>9.2000000000000003E-4</v>
      </c>
      <c r="EA106" t="s">
        <v>439</v>
      </c>
      <c r="EB106">
        <v>8.3830000000000002E-2</v>
      </c>
      <c r="EC106">
        <v>3.65E-3</v>
      </c>
      <c r="ED106" t="s">
        <v>442</v>
      </c>
      <c r="EE106">
        <v>1.1272</v>
      </c>
      <c r="EF106">
        <v>1.7610000000000001E-2</v>
      </c>
      <c r="EG106" t="s">
        <v>442</v>
      </c>
      <c r="EH106">
        <v>21.95365</v>
      </c>
      <c r="EI106">
        <v>0.40144000000000002</v>
      </c>
      <c r="EJ106" t="s">
        <v>442</v>
      </c>
      <c r="EM106" t="s">
        <v>440</v>
      </c>
      <c r="EN106">
        <v>2.3694799999999998</v>
      </c>
      <c r="EO106">
        <v>5.1619999999999999E-2</v>
      </c>
      <c r="EP106" t="s">
        <v>442</v>
      </c>
      <c r="ES106" t="s">
        <v>440</v>
      </c>
      <c r="ET106">
        <v>150.74668</v>
      </c>
      <c r="EU106">
        <v>5.0577100000000002</v>
      </c>
      <c r="EV106" t="s">
        <v>442</v>
      </c>
      <c r="EW106">
        <v>1.3699999999999999E-3</v>
      </c>
      <c r="EX106">
        <v>9.3999999999999997E-4</v>
      </c>
      <c r="EY106" t="s">
        <v>439</v>
      </c>
      <c r="EZ106">
        <v>1.26579</v>
      </c>
      <c r="FA106">
        <v>4.5030000000000001E-2</v>
      </c>
      <c r="FB106" t="s">
        <v>442</v>
      </c>
      <c r="FC106">
        <v>1.90151</v>
      </c>
      <c r="FD106">
        <v>0.29443000000000003</v>
      </c>
      <c r="FE106" t="s">
        <v>439</v>
      </c>
      <c r="FF106">
        <v>5.0430099999999998</v>
      </c>
      <c r="FG106">
        <v>0.29041</v>
      </c>
      <c r="FH106" t="s">
        <v>441</v>
      </c>
      <c r="FK106" t="s">
        <v>440</v>
      </c>
      <c r="FN106" t="s">
        <v>440</v>
      </c>
      <c r="FO106">
        <v>2.5386000000000002</v>
      </c>
      <c r="FP106">
        <v>5.6469999999999999E-2</v>
      </c>
      <c r="FQ106" t="s">
        <v>441</v>
      </c>
      <c r="FT106" t="s">
        <v>440</v>
      </c>
      <c r="FX106">
        <v>105</v>
      </c>
    </row>
    <row r="107" spans="2:180" x14ac:dyDescent="0.2">
      <c r="B107" t="s">
        <v>173</v>
      </c>
      <c r="C107">
        <v>3.8039999999999997E-2</v>
      </c>
      <c r="D107">
        <v>4.9300000000000004E-3</v>
      </c>
      <c r="E107" t="s">
        <v>439</v>
      </c>
      <c r="F107">
        <v>1.2109999999999999E-2</v>
      </c>
      <c r="G107">
        <v>2.5500000000000002E-3</v>
      </c>
      <c r="H107" t="s">
        <v>439</v>
      </c>
      <c r="I107">
        <v>7.3709999999999998E-2</v>
      </c>
      <c r="J107">
        <v>1.8E-3</v>
      </c>
      <c r="K107" t="s">
        <v>442</v>
      </c>
      <c r="L107">
        <v>1.026E-2</v>
      </c>
      <c r="M107">
        <v>2.5999999999999998E-4</v>
      </c>
      <c r="N107" t="s">
        <v>439</v>
      </c>
      <c r="O107">
        <v>3.29E-3</v>
      </c>
      <c r="P107">
        <v>3.0000000000000001E-5</v>
      </c>
      <c r="Q107" t="s">
        <v>439</v>
      </c>
      <c r="R107">
        <v>3.7490000000000002E-2</v>
      </c>
      <c r="S107">
        <v>3.6000000000000002E-4</v>
      </c>
      <c r="T107" t="s">
        <v>442</v>
      </c>
      <c r="U107">
        <v>4.6999999999999999E-4</v>
      </c>
      <c r="V107">
        <v>1.1E-4</v>
      </c>
      <c r="W107" t="s">
        <v>439</v>
      </c>
      <c r="X107">
        <v>9.7900000000000001E-3</v>
      </c>
      <c r="Y107">
        <v>2.9999999999999997E-4</v>
      </c>
      <c r="Z107" t="s">
        <v>439</v>
      </c>
      <c r="AA107">
        <v>1.5089999999999999E-2</v>
      </c>
      <c r="AB107">
        <v>4.0000000000000003E-5</v>
      </c>
      <c r="AC107" t="s">
        <v>442</v>
      </c>
      <c r="AD107">
        <v>2.332E-2</v>
      </c>
      <c r="AE107">
        <v>1.64E-3</v>
      </c>
      <c r="AF107" t="s">
        <v>442</v>
      </c>
      <c r="AI107" t="s">
        <v>440</v>
      </c>
      <c r="AJ107">
        <v>1.03094</v>
      </c>
      <c r="AK107">
        <v>1.5959999999999998E-2</v>
      </c>
      <c r="AL107" t="s">
        <v>441</v>
      </c>
      <c r="AM107">
        <v>0.41898999999999997</v>
      </c>
      <c r="AN107">
        <v>6.3899999999999998E-3</v>
      </c>
      <c r="AO107" t="s">
        <v>442</v>
      </c>
      <c r="AP107">
        <v>-1.1259999999999999E-2</v>
      </c>
      <c r="AQ107">
        <v>2.5000000000000001E-4</v>
      </c>
      <c r="AR107" t="s">
        <v>439</v>
      </c>
      <c r="AS107">
        <v>0.14099</v>
      </c>
      <c r="AT107">
        <v>5.1000000000000004E-3</v>
      </c>
      <c r="AU107" t="s">
        <v>442</v>
      </c>
      <c r="AV107">
        <v>-1.58E-3</v>
      </c>
      <c r="AW107">
        <v>4.0000000000000003E-5</v>
      </c>
      <c r="AX107" t="s">
        <v>439</v>
      </c>
      <c r="AY107">
        <v>-4.7400000000000003E-3</v>
      </c>
      <c r="AZ107">
        <v>2.0000000000000002E-5</v>
      </c>
      <c r="BA107" t="s">
        <v>439</v>
      </c>
      <c r="BB107">
        <v>1.9400000000000001E-3</v>
      </c>
      <c r="BC107">
        <v>6.9999999999999994E-5</v>
      </c>
      <c r="BD107" t="s">
        <v>439</v>
      </c>
      <c r="BE107">
        <v>6.7000000000000002E-4</v>
      </c>
      <c r="BF107">
        <v>1.8000000000000001E-4</v>
      </c>
      <c r="BG107" t="s">
        <v>439</v>
      </c>
      <c r="BH107">
        <v>9.0000000000000006E-5</v>
      </c>
      <c r="BI107">
        <v>2.5999999999999998E-4</v>
      </c>
      <c r="BJ107" t="s">
        <v>439</v>
      </c>
      <c r="BK107">
        <v>1.47E-3</v>
      </c>
      <c r="BL107">
        <v>0</v>
      </c>
      <c r="BM107" t="s">
        <v>439</v>
      </c>
      <c r="BN107">
        <v>-4.6999999999999999E-4</v>
      </c>
      <c r="BO107">
        <v>1.1E-4</v>
      </c>
      <c r="BP107" t="s">
        <v>439</v>
      </c>
      <c r="BQ107">
        <v>-5.2199999999999998E-3</v>
      </c>
      <c r="BR107">
        <v>2.0000000000000001E-4</v>
      </c>
      <c r="BS107" t="s">
        <v>439</v>
      </c>
      <c r="BV107" t="s">
        <v>440</v>
      </c>
      <c r="BW107">
        <v>-2.0533399999999999</v>
      </c>
      <c r="BX107">
        <v>9.0000000000000006E-5</v>
      </c>
      <c r="BY107" t="s">
        <v>439</v>
      </c>
      <c r="BZ107">
        <v>1.214E-2</v>
      </c>
      <c r="CA107">
        <v>2.0000000000000001E-4</v>
      </c>
      <c r="CB107" t="s">
        <v>442</v>
      </c>
      <c r="CC107">
        <v>0.20454</v>
      </c>
      <c r="CD107">
        <v>6.3899999999999998E-3</v>
      </c>
      <c r="CE107" t="s">
        <v>442</v>
      </c>
      <c r="CF107">
        <v>0.21945000000000001</v>
      </c>
      <c r="CG107">
        <v>4.2900000000000004E-3</v>
      </c>
      <c r="CH107" t="s">
        <v>442</v>
      </c>
      <c r="CI107">
        <v>0.19605</v>
      </c>
      <c r="CJ107">
        <v>3.46E-3</v>
      </c>
      <c r="CK107" t="s">
        <v>442</v>
      </c>
      <c r="CL107">
        <v>3.2699999999999999E-3</v>
      </c>
      <c r="CM107">
        <v>2.9E-4</v>
      </c>
      <c r="CN107" t="s">
        <v>442</v>
      </c>
      <c r="CO107">
        <v>8.06602</v>
      </c>
      <c r="CP107">
        <v>0.24887999999999999</v>
      </c>
      <c r="CQ107" t="s">
        <v>442</v>
      </c>
      <c r="CR107">
        <v>0.21365000000000001</v>
      </c>
      <c r="CS107">
        <v>2.6179999999999998E-2</v>
      </c>
      <c r="CT107" t="s">
        <v>442</v>
      </c>
      <c r="CU107">
        <v>5.10867</v>
      </c>
      <c r="CV107">
        <v>0.26578000000000002</v>
      </c>
      <c r="CW107" t="s">
        <v>442</v>
      </c>
      <c r="CX107">
        <v>5.7450999999999999</v>
      </c>
      <c r="CY107">
        <v>0.45884000000000003</v>
      </c>
      <c r="CZ107" t="s">
        <v>442</v>
      </c>
      <c r="DA107">
        <v>3.88653</v>
      </c>
      <c r="DB107">
        <v>0.13544999999999999</v>
      </c>
      <c r="DC107" t="s">
        <v>442</v>
      </c>
      <c r="DD107">
        <v>27.539570000000001</v>
      </c>
      <c r="DE107">
        <v>0.31706000000000001</v>
      </c>
      <c r="DF107" t="s">
        <v>442</v>
      </c>
      <c r="DG107">
        <v>8.6463400000000004</v>
      </c>
      <c r="DH107">
        <v>0.23680000000000001</v>
      </c>
      <c r="DI107" t="s">
        <v>442</v>
      </c>
      <c r="DJ107">
        <v>5.9100000000000003E-3</v>
      </c>
      <c r="DK107">
        <v>1.07E-3</v>
      </c>
      <c r="DL107" t="s">
        <v>439</v>
      </c>
      <c r="DM107">
        <v>2.1299999999999999E-3</v>
      </c>
      <c r="DN107">
        <v>5.2999999999999998E-4</v>
      </c>
      <c r="DO107" t="s">
        <v>439</v>
      </c>
      <c r="DP107">
        <v>6.7409999999999998E-2</v>
      </c>
      <c r="DQ107">
        <v>4.0200000000000001E-3</v>
      </c>
      <c r="DR107" t="s">
        <v>442</v>
      </c>
      <c r="DS107">
        <v>4.224E-2</v>
      </c>
      <c r="DT107">
        <v>7.7999999999999999E-4</v>
      </c>
      <c r="DU107" t="s">
        <v>442</v>
      </c>
      <c r="DV107">
        <v>0.95701000000000003</v>
      </c>
      <c r="DW107">
        <v>2.146E-2</v>
      </c>
      <c r="DX107" t="s">
        <v>442</v>
      </c>
      <c r="DY107">
        <v>6.6600000000000001E-3</v>
      </c>
      <c r="DZ107">
        <v>1.07E-3</v>
      </c>
      <c r="EA107" t="s">
        <v>439</v>
      </c>
      <c r="EB107">
        <v>7.8299999999999995E-2</v>
      </c>
      <c r="EC107">
        <v>8.6800000000000002E-3</v>
      </c>
      <c r="ED107" t="s">
        <v>442</v>
      </c>
      <c r="EE107">
        <v>0.42048000000000002</v>
      </c>
      <c r="EF107">
        <v>2.1579999999999998E-2</v>
      </c>
      <c r="EG107" t="s">
        <v>442</v>
      </c>
      <c r="EH107">
        <v>7.9299499999999998</v>
      </c>
      <c r="EI107">
        <v>0.16153000000000001</v>
      </c>
      <c r="EJ107" t="s">
        <v>442</v>
      </c>
      <c r="EM107" t="s">
        <v>440</v>
      </c>
      <c r="EN107">
        <v>1.0395300000000001</v>
      </c>
      <c r="EO107">
        <v>2.971E-2</v>
      </c>
      <c r="EP107" t="s">
        <v>442</v>
      </c>
      <c r="ES107" t="s">
        <v>440</v>
      </c>
      <c r="ET107">
        <v>36.991549999999997</v>
      </c>
      <c r="EU107">
        <v>1.06525</v>
      </c>
      <c r="EV107" t="s">
        <v>442</v>
      </c>
      <c r="EW107">
        <v>1.4599999999999999E-3</v>
      </c>
      <c r="EX107">
        <v>7.5000000000000002E-4</v>
      </c>
      <c r="EY107" t="s">
        <v>439</v>
      </c>
      <c r="EZ107">
        <v>0.46283000000000002</v>
      </c>
      <c r="FA107">
        <v>1.3820000000000001E-2</v>
      </c>
      <c r="FB107" t="s">
        <v>442</v>
      </c>
      <c r="FC107">
        <v>4.2981299999999996</v>
      </c>
      <c r="FD107">
        <v>0.45115</v>
      </c>
      <c r="FE107" t="s">
        <v>442</v>
      </c>
      <c r="FF107">
        <v>9.9958600000000004</v>
      </c>
      <c r="FG107">
        <v>0.77669999999999995</v>
      </c>
      <c r="FH107" t="s">
        <v>441</v>
      </c>
      <c r="FK107" t="s">
        <v>440</v>
      </c>
      <c r="FN107" t="s">
        <v>440</v>
      </c>
      <c r="FO107">
        <v>1.1366700000000001</v>
      </c>
      <c r="FP107">
        <v>4.3110000000000002E-2</v>
      </c>
      <c r="FQ107" t="s">
        <v>441</v>
      </c>
      <c r="FT107" t="s">
        <v>440</v>
      </c>
      <c r="FX107">
        <v>106</v>
      </c>
    </row>
    <row r="108" spans="2:180" x14ac:dyDescent="0.2">
      <c r="B108" t="s">
        <v>174</v>
      </c>
      <c r="C108">
        <v>4.07E-2</v>
      </c>
      <c r="D108">
        <v>4.4000000000000002E-4</v>
      </c>
      <c r="E108" t="s">
        <v>439</v>
      </c>
      <c r="F108">
        <v>1.5100000000000001E-2</v>
      </c>
      <c r="G108">
        <v>1.58E-3</v>
      </c>
      <c r="H108" t="s">
        <v>439</v>
      </c>
      <c r="I108">
        <v>0.11373</v>
      </c>
      <c r="J108">
        <v>4.2000000000000002E-4</v>
      </c>
      <c r="K108" t="s">
        <v>442</v>
      </c>
      <c r="L108">
        <v>6.1240000000000003E-2</v>
      </c>
      <c r="M108">
        <v>4.8999999999999998E-4</v>
      </c>
      <c r="N108" t="s">
        <v>442</v>
      </c>
      <c r="O108">
        <v>4.1599999999999996E-3</v>
      </c>
      <c r="P108">
        <v>6.0000000000000002E-5</v>
      </c>
      <c r="Q108" t="s">
        <v>442</v>
      </c>
      <c r="R108">
        <v>8.8929999999999995E-2</v>
      </c>
      <c r="S108">
        <v>1.3799999999999999E-3</v>
      </c>
      <c r="T108" t="s">
        <v>442</v>
      </c>
      <c r="U108">
        <v>4.6000000000000001E-4</v>
      </c>
      <c r="V108">
        <v>1E-4</v>
      </c>
      <c r="W108" t="s">
        <v>439</v>
      </c>
      <c r="X108">
        <v>1.0019999999999999E-2</v>
      </c>
      <c r="Y108">
        <v>4.0000000000000002E-4</v>
      </c>
      <c r="Z108" t="s">
        <v>439</v>
      </c>
      <c r="AA108">
        <v>4.1480000000000003E-2</v>
      </c>
      <c r="AB108">
        <v>6.8000000000000005E-4</v>
      </c>
      <c r="AC108" t="s">
        <v>442</v>
      </c>
      <c r="AD108">
        <v>6.5089999999999995E-2</v>
      </c>
      <c r="AE108">
        <v>2.0600000000000002E-3</v>
      </c>
      <c r="AF108" t="s">
        <v>442</v>
      </c>
      <c r="AI108" t="s">
        <v>440</v>
      </c>
      <c r="AJ108">
        <v>11.37763</v>
      </c>
      <c r="AK108">
        <v>0.18698000000000001</v>
      </c>
      <c r="AL108" t="s">
        <v>441</v>
      </c>
      <c r="AM108">
        <v>9.0343099999999996</v>
      </c>
      <c r="AN108">
        <v>0.23513000000000001</v>
      </c>
      <c r="AO108" t="s">
        <v>442</v>
      </c>
      <c r="AP108">
        <v>-9.9500000000000005E-3</v>
      </c>
      <c r="AQ108">
        <v>1.4999999999999999E-4</v>
      </c>
      <c r="AR108" t="s">
        <v>439</v>
      </c>
      <c r="AS108">
        <v>0.33490999999999999</v>
      </c>
      <c r="AT108">
        <v>6.3E-3</v>
      </c>
      <c r="AU108" t="s">
        <v>442</v>
      </c>
      <c r="AV108">
        <v>7.1000000000000002E-4</v>
      </c>
      <c r="AW108">
        <v>6.9999999999999994E-5</v>
      </c>
      <c r="AX108" t="s">
        <v>439</v>
      </c>
      <c r="AY108">
        <v>-1.8400000000000001E-3</v>
      </c>
      <c r="AZ108">
        <v>1.7000000000000001E-4</v>
      </c>
      <c r="BA108" t="s">
        <v>439</v>
      </c>
      <c r="BB108">
        <v>2.9499999999999999E-3</v>
      </c>
      <c r="BC108">
        <v>6.9999999999999994E-5</v>
      </c>
      <c r="BD108" t="s">
        <v>442</v>
      </c>
      <c r="BE108">
        <v>7.9000000000000001E-4</v>
      </c>
      <c r="BF108">
        <v>6.9999999999999994E-5</v>
      </c>
      <c r="BG108" t="s">
        <v>439</v>
      </c>
      <c r="BH108">
        <v>-3.0000000000000001E-5</v>
      </c>
      <c r="BI108">
        <v>9.0000000000000006E-5</v>
      </c>
      <c r="BJ108" t="s">
        <v>439</v>
      </c>
      <c r="BK108">
        <v>1.58E-3</v>
      </c>
      <c r="BL108">
        <v>4.0000000000000003E-5</v>
      </c>
      <c r="BM108" t="s">
        <v>439</v>
      </c>
      <c r="BN108">
        <v>-4.4000000000000002E-4</v>
      </c>
      <c r="BO108">
        <v>9.0000000000000006E-5</v>
      </c>
      <c r="BP108" t="s">
        <v>439</v>
      </c>
      <c r="BQ108">
        <v>9.6500000000000006E-3</v>
      </c>
      <c r="BR108">
        <v>2.2000000000000001E-4</v>
      </c>
      <c r="BS108" t="s">
        <v>442</v>
      </c>
      <c r="BV108" t="s">
        <v>440</v>
      </c>
      <c r="BW108">
        <v>-2.0533399999999999</v>
      </c>
      <c r="BX108">
        <v>3.4000000000000002E-4</v>
      </c>
      <c r="BY108" t="s">
        <v>439</v>
      </c>
      <c r="BZ108">
        <v>4.1700000000000001E-3</v>
      </c>
      <c r="CA108">
        <v>6.0000000000000002E-5</v>
      </c>
      <c r="CB108" t="s">
        <v>442</v>
      </c>
      <c r="CC108">
        <v>0.34594999999999998</v>
      </c>
      <c r="CD108">
        <v>3.62E-3</v>
      </c>
      <c r="CE108" t="s">
        <v>442</v>
      </c>
      <c r="CF108">
        <v>0.35729</v>
      </c>
      <c r="CG108">
        <v>7.7099999999999998E-3</v>
      </c>
      <c r="CH108" t="s">
        <v>442</v>
      </c>
      <c r="CI108">
        <v>0.33955000000000002</v>
      </c>
      <c r="CJ108">
        <v>5.28E-3</v>
      </c>
      <c r="CK108" t="s">
        <v>442</v>
      </c>
      <c r="CL108">
        <v>3.2149999999999998E-2</v>
      </c>
      <c r="CM108">
        <v>5.9000000000000003E-4</v>
      </c>
      <c r="CN108" t="s">
        <v>442</v>
      </c>
      <c r="CO108">
        <v>50.962879999999998</v>
      </c>
      <c r="CP108">
        <v>0.97084000000000004</v>
      </c>
      <c r="CQ108" t="s">
        <v>442</v>
      </c>
      <c r="CR108">
        <v>3.2332800000000002</v>
      </c>
      <c r="CS108">
        <v>7.3870000000000005E-2</v>
      </c>
      <c r="CT108" t="s">
        <v>442</v>
      </c>
      <c r="CU108">
        <v>10.916600000000001</v>
      </c>
      <c r="CV108">
        <v>0.22287999999999999</v>
      </c>
      <c r="CW108" t="s">
        <v>442</v>
      </c>
      <c r="CX108">
        <v>21.105219999999999</v>
      </c>
      <c r="CY108">
        <v>0.93464999999999998</v>
      </c>
      <c r="CZ108" t="s">
        <v>442</v>
      </c>
      <c r="DA108">
        <v>71.205010000000001</v>
      </c>
      <c r="DB108">
        <v>1.8303700000000001</v>
      </c>
      <c r="DC108" t="s">
        <v>442</v>
      </c>
      <c r="DD108">
        <v>23.21163</v>
      </c>
      <c r="DE108">
        <v>0.41600999999999999</v>
      </c>
      <c r="DF108" t="s">
        <v>442</v>
      </c>
      <c r="DG108">
        <v>29.652360000000002</v>
      </c>
      <c r="DH108">
        <v>0.80566000000000004</v>
      </c>
      <c r="DI108" t="s">
        <v>442</v>
      </c>
      <c r="DJ108">
        <v>0.17369000000000001</v>
      </c>
      <c r="DK108">
        <v>2.2799999999999999E-3</v>
      </c>
      <c r="DL108" t="s">
        <v>442</v>
      </c>
      <c r="DM108">
        <v>9.7800000000000005E-3</v>
      </c>
      <c r="DN108">
        <v>1.1999999999999999E-3</v>
      </c>
      <c r="DO108" t="s">
        <v>442</v>
      </c>
      <c r="DP108">
        <v>2.2161599999999999</v>
      </c>
      <c r="DQ108">
        <v>4.718E-2</v>
      </c>
      <c r="DR108" t="s">
        <v>442</v>
      </c>
      <c r="DS108">
        <v>1.05989</v>
      </c>
      <c r="DT108">
        <v>2.308E-2</v>
      </c>
      <c r="DU108" t="s">
        <v>442</v>
      </c>
      <c r="DV108">
        <v>12.285080000000001</v>
      </c>
      <c r="DW108">
        <v>0.22552</v>
      </c>
      <c r="DX108" t="s">
        <v>442</v>
      </c>
      <c r="DY108">
        <v>4.546E-2</v>
      </c>
      <c r="DZ108">
        <v>2.49E-3</v>
      </c>
      <c r="EA108" t="s">
        <v>442</v>
      </c>
      <c r="EB108">
        <v>1.7773000000000001</v>
      </c>
      <c r="EC108">
        <v>4.2700000000000002E-2</v>
      </c>
      <c r="ED108" t="s">
        <v>442</v>
      </c>
      <c r="EE108">
        <v>0.68154999999999999</v>
      </c>
      <c r="EF108">
        <v>2.5389999999999999E-2</v>
      </c>
      <c r="EG108" t="s">
        <v>442</v>
      </c>
      <c r="EH108">
        <v>104.46648999999999</v>
      </c>
      <c r="EI108">
        <v>3.28511</v>
      </c>
      <c r="EJ108" t="s">
        <v>442</v>
      </c>
      <c r="EM108" t="s">
        <v>440</v>
      </c>
      <c r="EN108">
        <v>11.034459999999999</v>
      </c>
      <c r="EO108">
        <v>0.25380999999999998</v>
      </c>
      <c r="EP108" t="s">
        <v>442</v>
      </c>
      <c r="ES108" t="s">
        <v>440</v>
      </c>
      <c r="ET108">
        <v>60.688079999999999</v>
      </c>
      <c r="EU108">
        <v>1.7734799999999999</v>
      </c>
      <c r="EV108" t="s">
        <v>442</v>
      </c>
      <c r="EW108">
        <v>3.6800000000000001E-3</v>
      </c>
      <c r="EX108">
        <v>2.0500000000000002E-3</v>
      </c>
      <c r="EY108" t="s">
        <v>439</v>
      </c>
      <c r="EZ108">
        <v>4.6796199999999999</v>
      </c>
      <c r="FA108">
        <v>2.316E-2</v>
      </c>
      <c r="FB108" t="s">
        <v>442</v>
      </c>
      <c r="FC108">
        <v>0.97106000000000003</v>
      </c>
      <c r="FD108">
        <v>0.17598</v>
      </c>
      <c r="FE108" t="s">
        <v>439</v>
      </c>
      <c r="FF108">
        <v>3.7377699999999998</v>
      </c>
      <c r="FG108">
        <v>0.66535</v>
      </c>
      <c r="FH108" t="s">
        <v>441</v>
      </c>
      <c r="FK108" t="s">
        <v>440</v>
      </c>
      <c r="FN108" t="s">
        <v>440</v>
      </c>
      <c r="FO108">
        <v>11.364509999999999</v>
      </c>
      <c r="FP108">
        <v>0.247</v>
      </c>
      <c r="FQ108" t="s">
        <v>441</v>
      </c>
      <c r="FT108" t="s">
        <v>440</v>
      </c>
      <c r="FX108">
        <v>107</v>
      </c>
    </row>
    <row r="109" spans="2:180" x14ac:dyDescent="0.2">
      <c r="B109" t="s">
        <v>175</v>
      </c>
      <c r="C109">
        <v>5.484E-2</v>
      </c>
      <c r="D109">
        <v>9.3000000000000005E-4</v>
      </c>
      <c r="E109" t="s">
        <v>439</v>
      </c>
      <c r="F109">
        <v>1.0330000000000001E-2</v>
      </c>
      <c r="G109">
        <v>1.9300000000000001E-3</v>
      </c>
      <c r="H109" t="s">
        <v>439</v>
      </c>
      <c r="I109">
        <v>0.32926</v>
      </c>
      <c r="J109">
        <v>2.1700000000000001E-3</v>
      </c>
      <c r="K109" t="s">
        <v>442</v>
      </c>
      <c r="L109">
        <v>0.17213999999999999</v>
      </c>
      <c r="M109">
        <v>2.3999999999999998E-3</v>
      </c>
      <c r="N109" t="s">
        <v>442</v>
      </c>
      <c r="O109">
        <v>5.7600000000000004E-3</v>
      </c>
      <c r="P109">
        <v>1.0000000000000001E-5</v>
      </c>
      <c r="Q109" t="s">
        <v>442</v>
      </c>
      <c r="R109">
        <v>0.17763000000000001</v>
      </c>
      <c r="S109">
        <v>4.9500000000000004E-3</v>
      </c>
      <c r="T109" t="s">
        <v>442</v>
      </c>
      <c r="U109">
        <v>5.5000000000000003E-4</v>
      </c>
      <c r="V109">
        <v>2.0000000000000002E-5</v>
      </c>
      <c r="W109" t="s">
        <v>439</v>
      </c>
      <c r="X109">
        <v>1.0189999999999999E-2</v>
      </c>
      <c r="Y109">
        <v>5.2999999999999998E-4</v>
      </c>
      <c r="Z109" t="s">
        <v>439</v>
      </c>
      <c r="AA109">
        <v>5.3879999999999997E-2</v>
      </c>
      <c r="AB109">
        <v>4.0999999999999999E-4</v>
      </c>
      <c r="AC109" t="s">
        <v>442</v>
      </c>
      <c r="AD109">
        <v>0.25880999999999998</v>
      </c>
      <c r="AE109">
        <v>3.3800000000000002E-3</v>
      </c>
      <c r="AF109" t="s">
        <v>442</v>
      </c>
      <c r="AI109" t="s">
        <v>440</v>
      </c>
      <c r="AJ109">
        <v>12.41499</v>
      </c>
      <c r="AK109">
        <v>0.46562999999999999</v>
      </c>
      <c r="AL109" t="s">
        <v>441</v>
      </c>
      <c r="AM109">
        <v>36.531649999999999</v>
      </c>
      <c r="AN109">
        <v>1.0468999999999999</v>
      </c>
      <c r="AO109" t="s">
        <v>442</v>
      </c>
      <c r="AP109">
        <v>-7.2999999999999996E-4</v>
      </c>
      <c r="AQ109">
        <v>2.1000000000000001E-4</v>
      </c>
      <c r="AR109" t="s">
        <v>439</v>
      </c>
      <c r="AS109">
        <v>0.79540999999999995</v>
      </c>
      <c r="AT109">
        <v>2.0330000000000001E-2</v>
      </c>
      <c r="AU109" t="s">
        <v>442</v>
      </c>
      <c r="AV109">
        <v>4.8199999999999996E-3</v>
      </c>
      <c r="AW109">
        <v>2.5999999999999998E-4</v>
      </c>
      <c r="AX109" t="s">
        <v>442</v>
      </c>
      <c r="AY109">
        <v>2.1199999999999999E-3</v>
      </c>
      <c r="AZ109">
        <v>1.1E-4</v>
      </c>
      <c r="BA109" t="s">
        <v>442</v>
      </c>
      <c r="BB109">
        <v>4.5799999999999999E-3</v>
      </c>
      <c r="BC109">
        <v>2.2000000000000001E-4</v>
      </c>
      <c r="BD109" t="s">
        <v>442</v>
      </c>
      <c r="BE109">
        <v>8.0999999999999996E-4</v>
      </c>
      <c r="BF109">
        <v>2.7999999999999998E-4</v>
      </c>
      <c r="BG109" t="s">
        <v>439</v>
      </c>
      <c r="BH109">
        <v>7.5000000000000002E-4</v>
      </c>
      <c r="BI109">
        <v>1.9000000000000001E-4</v>
      </c>
      <c r="BJ109" t="s">
        <v>439</v>
      </c>
      <c r="BK109">
        <v>1.5399999999999999E-3</v>
      </c>
      <c r="BL109">
        <v>3.0000000000000001E-5</v>
      </c>
      <c r="BM109" t="s">
        <v>439</v>
      </c>
      <c r="BN109">
        <v>-9.0000000000000006E-5</v>
      </c>
      <c r="BO109">
        <v>6.0000000000000002E-5</v>
      </c>
      <c r="BP109" t="s">
        <v>439</v>
      </c>
      <c r="BQ109">
        <v>1.0999999999999999E-2</v>
      </c>
      <c r="BR109">
        <v>2.7999999999999998E-4</v>
      </c>
      <c r="BS109" t="s">
        <v>442</v>
      </c>
      <c r="BV109" t="s">
        <v>440</v>
      </c>
      <c r="BW109">
        <v>-2.0534300000000001</v>
      </c>
      <c r="BX109">
        <v>1.2E-4</v>
      </c>
      <c r="BY109" t="s">
        <v>439</v>
      </c>
      <c r="BZ109">
        <v>6.4400000000000004E-3</v>
      </c>
      <c r="CA109">
        <v>2.5000000000000001E-4</v>
      </c>
      <c r="CB109" t="s">
        <v>442</v>
      </c>
      <c r="CC109">
        <v>1.2615799999999999</v>
      </c>
      <c r="CD109">
        <v>1.72E-2</v>
      </c>
      <c r="CE109" t="s">
        <v>442</v>
      </c>
      <c r="CF109">
        <v>1.2425999999999999</v>
      </c>
      <c r="CG109">
        <v>1.8290000000000001E-2</v>
      </c>
      <c r="CH109" t="s">
        <v>442</v>
      </c>
      <c r="CI109">
        <v>1.2768699999999999</v>
      </c>
      <c r="CJ109">
        <v>1.456E-2</v>
      </c>
      <c r="CK109" t="s">
        <v>442</v>
      </c>
      <c r="CL109">
        <v>0.13270999999999999</v>
      </c>
      <c r="CM109">
        <v>3.3400000000000001E-3</v>
      </c>
      <c r="CN109" t="s">
        <v>442</v>
      </c>
      <c r="CO109">
        <v>90.739980000000003</v>
      </c>
      <c r="CP109">
        <v>0.68235000000000001</v>
      </c>
      <c r="CQ109" t="s">
        <v>442</v>
      </c>
      <c r="CR109">
        <v>8.4175900000000006</v>
      </c>
      <c r="CS109">
        <v>0.18991</v>
      </c>
      <c r="CT109" t="s">
        <v>442</v>
      </c>
      <c r="CU109">
        <v>14.115309999999999</v>
      </c>
      <c r="CV109">
        <v>0.25645000000000001</v>
      </c>
      <c r="CW109" t="s">
        <v>442</v>
      </c>
      <c r="CX109">
        <v>83.318709999999996</v>
      </c>
      <c r="CY109">
        <v>1.29549</v>
      </c>
      <c r="CZ109" t="s">
        <v>442</v>
      </c>
      <c r="DA109">
        <v>72.623919999999998</v>
      </c>
      <c r="DB109">
        <v>0.30182999999999999</v>
      </c>
      <c r="DC109" t="s">
        <v>442</v>
      </c>
      <c r="DD109">
        <v>66.784319999999994</v>
      </c>
      <c r="DE109">
        <v>0.55859000000000003</v>
      </c>
      <c r="DF109" t="s">
        <v>442</v>
      </c>
      <c r="DG109">
        <v>69.578159999999997</v>
      </c>
      <c r="DH109">
        <v>0.98182000000000003</v>
      </c>
      <c r="DI109" t="s">
        <v>442</v>
      </c>
      <c r="DJ109">
        <v>0.34977999999999998</v>
      </c>
      <c r="DK109">
        <v>2.5360000000000001E-2</v>
      </c>
      <c r="DL109" t="s">
        <v>442</v>
      </c>
      <c r="DM109">
        <v>2.086E-2</v>
      </c>
      <c r="DN109">
        <v>1.1100000000000001E-3</v>
      </c>
      <c r="DO109" t="s">
        <v>442</v>
      </c>
      <c r="DP109">
        <v>4.7494699999999996</v>
      </c>
      <c r="DQ109">
        <v>0.10338</v>
      </c>
      <c r="DR109" t="s">
        <v>442</v>
      </c>
      <c r="DS109">
        <v>2.6044399999999999</v>
      </c>
      <c r="DT109">
        <v>7.1970000000000006E-2</v>
      </c>
      <c r="DU109" t="s">
        <v>442</v>
      </c>
      <c r="DV109">
        <v>34.693240000000003</v>
      </c>
      <c r="DW109">
        <v>0.74500999999999995</v>
      </c>
      <c r="DX109" t="s">
        <v>442</v>
      </c>
      <c r="DY109">
        <v>0.14066000000000001</v>
      </c>
      <c r="DZ109">
        <v>5.4299999999999999E-3</v>
      </c>
      <c r="EA109" t="s">
        <v>442</v>
      </c>
      <c r="EB109">
        <v>4.3763100000000001</v>
      </c>
      <c r="EC109">
        <v>9.0630000000000002E-2</v>
      </c>
      <c r="ED109" t="s">
        <v>442</v>
      </c>
      <c r="EE109">
        <v>2.0080399999999998</v>
      </c>
      <c r="EF109">
        <v>5.0380000000000001E-2</v>
      </c>
      <c r="EG109" t="s">
        <v>442</v>
      </c>
      <c r="EH109">
        <v>335.49318</v>
      </c>
      <c r="EI109">
        <v>3.5964399999999999</v>
      </c>
      <c r="EJ109" t="s">
        <v>442</v>
      </c>
      <c r="EM109" t="s">
        <v>440</v>
      </c>
      <c r="EN109">
        <v>12.337</v>
      </c>
      <c r="EO109">
        <v>5.8029999999999998E-2</v>
      </c>
      <c r="EP109" t="s">
        <v>442</v>
      </c>
      <c r="ES109" t="s">
        <v>440</v>
      </c>
      <c r="ET109">
        <v>124.4443</v>
      </c>
      <c r="EU109">
        <v>0.91139999999999999</v>
      </c>
      <c r="EV109" t="s">
        <v>442</v>
      </c>
      <c r="EW109">
        <v>1.03E-2</v>
      </c>
      <c r="EX109">
        <v>2.1800000000000001E-3</v>
      </c>
      <c r="EY109" t="s">
        <v>442</v>
      </c>
      <c r="EZ109">
        <v>23.423380000000002</v>
      </c>
      <c r="FA109">
        <v>0.39543</v>
      </c>
      <c r="FB109" t="s">
        <v>442</v>
      </c>
      <c r="FC109">
        <v>3.3928099999999999</v>
      </c>
      <c r="FD109">
        <v>0.14631</v>
      </c>
      <c r="FE109" t="s">
        <v>442</v>
      </c>
      <c r="FF109">
        <v>7.6223000000000001</v>
      </c>
      <c r="FG109">
        <v>0.88829999999999998</v>
      </c>
      <c r="FH109" t="s">
        <v>441</v>
      </c>
      <c r="FK109" t="s">
        <v>440</v>
      </c>
      <c r="FN109" t="s">
        <v>440</v>
      </c>
      <c r="FO109">
        <v>12.668430000000001</v>
      </c>
      <c r="FP109">
        <v>0.15487999999999999</v>
      </c>
      <c r="FQ109" t="s">
        <v>441</v>
      </c>
      <c r="FT109" t="s">
        <v>440</v>
      </c>
      <c r="FX109">
        <v>108</v>
      </c>
    </row>
    <row r="110" spans="2:180" x14ac:dyDescent="0.2">
      <c r="B110" t="s">
        <v>176</v>
      </c>
      <c r="C110">
        <v>4.2840000000000003E-2</v>
      </c>
      <c r="D110">
        <v>3.13E-3</v>
      </c>
      <c r="E110" t="s">
        <v>439</v>
      </c>
      <c r="F110">
        <v>1.242E-2</v>
      </c>
      <c r="G110">
        <v>1.8E-3</v>
      </c>
      <c r="H110" t="s">
        <v>439</v>
      </c>
      <c r="I110">
        <v>0.22192999999999999</v>
      </c>
      <c r="J110">
        <v>3.0100000000000001E-3</v>
      </c>
      <c r="K110" t="s">
        <v>442</v>
      </c>
      <c r="L110">
        <v>9.4710000000000003E-2</v>
      </c>
      <c r="M110">
        <v>2.5500000000000002E-3</v>
      </c>
      <c r="N110" t="s">
        <v>442</v>
      </c>
      <c r="O110">
        <v>4.7099999999999998E-3</v>
      </c>
      <c r="P110">
        <v>5.0000000000000002E-5</v>
      </c>
      <c r="Q110" t="s">
        <v>442</v>
      </c>
      <c r="R110">
        <v>5.9630000000000002E-2</v>
      </c>
      <c r="S110">
        <v>1.56E-3</v>
      </c>
      <c r="T110" t="s">
        <v>442</v>
      </c>
      <c r="U110">
        <v>3.5E-4</v>
      </c>
      <c r="V110">
        <v>9.0000000000000006E-5</v>
      </c>
      <c r="W110" t="s">
        <v>439</v>
      </c>
      <c r="X110">
        <v>9.7800000000000005E-3</v>
      </c>
      <c r="Y110">
        <v>9.0000000000000006E-5</v>
      </c>
      <c r="Z110" t="s">
        <v>439</v>
      </c>
      <c r="AA110">
        <v>2.6159999999999999E-2</v>
      </c>
      <c r="AB110">
        <v>4.0999999999999999E-4</v>
      </c>
      <c r="AC110" t="s">
        <v>442</v>
      </c>
      <c r="AD110">
        <v>0.12182999999999999</v>
      </c>
      <c r="AE110">
        <v>6.4999999999999997E-3</v>
      </c>
      <c r="AF110" t="s">
        <v>442</v>
      </c>
      <c r="AI110" t="s">
        <v>440</v>
      </c>
      <c r="AJ110">
        <v>2.6749100000000001</v>
      </c>
      <c r="AK110">
        <v>6.6129999999999994E-2</v>
      </c>
      <c r="AL110" t="s">
        <v>441</v>
      </c>
      <c r="AM110">
        <v>14.11542</v>
      </c>
      <c r="AN110">
        <v>0.22936000000000001</v>
      </c>
      <c r="AO110" t="s">
        <v>442</v>
      </c>
      <c r="AP110">
        <v>-5.8900000000000003E-3</v>
      </c>
      <c r="AQ110">
        <v>3.4000000000000002E-4</v>
      </c>
      <c r="AR110" t="s">
        <v>439</v>
      </c>
      <c r="AS110">
        <v>0.51590999999999998</v>
      </c>
      <c r="AT110">
        <v>1.8200000000000001E-2</v>
      </c>
      <c r="AU110" t="s">
        <v>442</v>
      </c>
      <c r="AV110">
        <v>1.34E-3</v>
      </c>
      <c r="AW110">
        <v>2.3000000000000001E-4</v>
      </c>
      <c r="AX110" t="s">
        <v>439</v>
      </c>
      <c r="AY110">
        <v>-1.64E-3</v>
      </c>
      <c r="AZ110">
        <v>9.0000000000000006E-5</v>
      </c>
      <c r="BA110" t="s">
        <v>439</v>
      </c>
      <c r="BB110">
        <v>3.62E-3</v>
      </c>
      <c r="BC110">
        <v>4.8000000000000001E-4</v>
      </c>
      <c r="BD110" t="s">
        <v>442</v>
      </c>
      <c r="BE110">
        <v>1.07E-3</v>
      </c>
      <c r="BF110">
        <v>1.9000000000000001E-4</v>
      </c>
      <c r="BG110" t="s">
        <v>439</v>
      </c>
      <c r="BH110">
        <v>4.4000000000000002E-4</v>
      </c>
      <c r="BI110">
        <v>1.2999999999999999E-4</v>
      </c>
      <c r="BJ110" t="s">
        <v>439</v>
      </c>
      <c r="BK110">
        <v>1.5399999999999999E-3</v>
      </c>
      <c r="BL110">
        <v>2.0000000000000002E-5</v>
      </c>
      <c r="BM110" t="s">
        <v>439</v>
      </c>
      <c r="BN110">
        <v>-2.7E-4</v>
      </c>
      <c r="BO110">
        <v>1.0000000000000001E-5</v>
      </c>
      <c r="BP110" t="s">
        <v>439</v>
      </c>
      <c r="BQ110">
        <v>6.9999999999999999E-4</v>
      </c>
      <c r="BR110">
        <v>2.1000000000000001E-4</v>
      </c>
      <c r="BS110" t="s">
        <v>439</v>
      </c>
      <c r="BV110" t="s">
        <v>440</v>
      </c>
      <c r="BW110">
        <v>-2.0533399999999999</v>
      </c>
      <c r="BX110">
        <v>3.8999999999999999E-4</v>
      </c>
      <c r="BY110" t="s">
        <v>439</v>
      </c>
      <c r="BZ110">
        <v>5.2599999999999999E-3</v>
      </c>
      <c r="CA110">
        <v>2.0000000000000002E-5</v>
      </c>
      <c r="CB110" t="s">
        <v>442</v>
      </c>
      <c r="CC110">
        <v>0.69274999999999998</v>
      </c>
      <c r="CD110">
        <v>9.2999999999999992E-3</v>
      </c>
      <c r="CE110" t="s">
        <v>442</v>
      </c>
      <c r="CF110">
        <v>0.69547000000000003</v>
      </c>
      <c r="CG110">
        <v>1.4919999999999999E-2</v>
      </c>
      <c r="CH110" t="s">
        <v>442</v>
      </c>
      <c r="CI110">
        <v>0.69377999999999995</v>
      </c>
      <c r="CJ110">
        <v>1.208E-2</v>
      </c>
      <c r="CK110" t="s">
        <v>442</v>
      </c>
      <c r="CL110">
        <v>6.7280000000000006E-2</v>
      </c>
      <c r="CM110">
        <v>1.9499999999999999E-3</v>
      </c>
      <c r="CN110" t="s">
        <v>442</v>
      </c>
      <c r="CO110">
        <v>42.511609999999997</v>
      </c>
      <c r="CP110">
        <v>1.6034999999999999</v>
      </c>
      <c r="CQ110" t="s">
        <v>442</v>
      </c>
      <c r="CR110">
        <v>4.1451399999999996</v>
      </c>
      <c r="CS110">
        <v>0.18608</v>
      </c>
      <c r="CT110" t="s">
        <v>442</v>
      </c>
      <c r="CU110">
        <v>6.4187599999999998</v>
      </c>
      <c r="CV110">
        <v>0.34710999999999997</v>
      </c>
      <c r="CW110" t="s">
        <v>442</v>
      </c>
      <c r="CX110">
        <v>26.13138</v>
      </c>
      <c r="CY110">
        <v>0.98472000000000004</v>
      </c>
      <c r="CZ110" t="s">
        <v>442</v>
      </c>
      <c r="DA110">
        <v>12.19275</v>
      </c>
      <c r="DB110">
        <v>0.34969</v>
      </c>
      <c r="DC110" t="s">
        <v>442</v>
      </c>
      <c r="DD110">
        <v>43.34337</v>
      </c>
      <c r="DE110">
        <v>0.98697000000000001</v>
      </c>
      <c r="DF110" t="s">
        <v>442</v>
      </c>
      <c r="DG110">
        <v>43.470190000000002</v>
      </c>
      <c r="DH110">
        <v>0.96862999999999999</v>
      </c>
      <c r="DI110" t="s">
        <v>442</v>
      </c>
      <c r="DJ110">
        <v>0.13200000000000001</v>
      </c>
      <c r="DK110">
        <v>8.8800000000000007E-3</v>
      </c>
      <c r="DL110" t="s">
        <v>442</v>
      </c>
      <c r="DM110">
        <v>7.7299999999999999E-3</v>
      </c>
      <c r="DN110">
        <v>1.0399999999999999E-3</v>
      </c>
      <c r="DO110" t="s">
        <v>442</v>
      </c>
      <c r="DP110">
        <v>1.2694000000000001</v>
      </c>
      <c r="DQ110">
        <v>3.1150000000000001E-2</v>
      </c>
      <c r="DR110" t="s">
        <v>442</v>
      </c>
      <c r="DS110">
        <v>0.97404000000000002</v>
      </c>
      <c r="DT110">
        <v>1.8149999999999999E-2</v>
      </c>
      <c r="DU110" t="s">
        <v>442</v>
      </c>
      <c r="DV110">
        <v>6.3065800000000003</v>
      </c>
      <c r="DW110">
        <v>0.16627</v>
      </c>
      <c r="DX110" t="s">
        <v>442</v>
      </c>
      <c r="DY110">
        <v>4.4170000000000001E-2</v>
      </c>
      <c r="DZ110">
        <v>2.0300000000000001E-3</v>
      </c>
      <c r="EA110" t="s">
        <v>442</v>
      </c>
      <c r="EB110">
        <v>1.2287300000000001</v>
      </c>
      <c r="EC110">
        <v>4.607E-2</v>
      </c>
      <c r="ED110" t="s">
        <v>442</v>
      </c>
      <c r="EE110">
        <v>0.84231999999999996</v>
      </c>
      <c r="EF110">
        <v>3.9449999999999999E-2</v>
      </c>
      <c r="EG110" t="s">
        <v>442</v>
      </c>
      <c r="EH110">
        <v>190.73831999999999</v>
      </c>
      <c r="EI110">
        <v>3.6973799999999999</v>
      </c>
      <c r="EJ110" t="s">
        <v>442</v>
      </c>
      <c r="EM110" t="s">
        <v>440</v>
      </c>
      <c r="EN110">
        <v>2.8844799999999999</v>
      </c>
      <c r="EO110">
        <v>0.12859000000000001</v>
      </c>
      <c r="EP110" t="s">
        <v>442</v>
      </c>
      <c r="ES110" t="s">
        <v>440</v>
      </c>
      <c r="ET110">
        <v>63.890929999999997</v>
      </c>
      <c r="EU110">
        <v>0.94901000000000002</v>
      </c>
      <c r="EV110" t="s">
        <v>442</v>
      </c>
      <c r="EW110">
        <v>1.329E-2</v>
      </c>
      <c r="EX110">
        <v>3.9100000000000003E-3</v>
      </c>
      <c r="EY110" t="s">
        <v>442</v>
      </c>
      <c r="EZ110">
        <v>7.6674499999999997</v>
      </c>
      <c r="FA110">
        <v>0.16997000000000001</v>
      </c>
      <c r="FB110" t="s">
        <v>442</v>
      </c>
      <c r="FC110">
        <v>2.00013</v>
      </c>
      <c r="FD110">
        <v>0.15218999999999999</v>
      </c>
      <c r="FE110" t="s">
        <v>442</v>
      </c>
      <c r="FF110">
        <v>6.40618</v>
      </c>
      <c r="FG110">
        <v>0.68095000000000006</v>
      </c>
      <c r="FH110" t="s">
        <v>441</v>
      </c>
      <c r="FK110" t="s">
        <v>440</v>
      </c>
      <c r="FN110" t="s">
        <v>440</v>
      </c>
      <c r="FO110">
        <v>2.8349299999999999</v>
      </c>
      <c r="FP110">
        <v>2.086E-2</v>
      </c>
      <c r="FQ110" t="s">
        <v>441</v>
      </c>
      <c r="FT110" t="s">
        <v>440</v>
      </c>
      <c r="FU110">
        <v>2</v>
      </c>
      <c r="FX110">
        <v>109</v>
      </c>
    </row>
    <row r="111" spans="2:180" x14ac:dyDescent="0.2">
      <c r="B111" t="s">
        <v>177</v>
      </c>
      <c r="C111">
        <v>1.1383000000000001</v>
      </c>
      <c r="D111">
        <v>3.6150000000000002E-2</v>
      </c>
      <c r="E111" t="s">
        <v>443</v>
      </c>
      <c r="F111">
        <v>1.15995</v>
      </c>
      <c r="G111">
        <v>3.4250000000000003E-2</v>
      </c>
      <c r="H111" t="s">
        <v>443</v>
      </c>
      <c r="I111">
        <v>1.1270899999999999</v>
      </c>
      <c r="J111">
        <v>1.7979999999999999E-2</v>
      </c>
      <c r="K111" t="s">
        <v>443</v>
      </c>
      <c r="L111">
        <v>1.1605099999999999</v>
      </c>
      <c r="M111">
        <v>3.0130000000000001E-2</v>
      </c>
      <c r="N111" t="s">
        <v>443</v>
      </c>
      <c r="O111">
        <v>1.1419299999999999</v>
      </c>
      <c r="P111">
        <v>2.7869999999999999E-2</v>
      </c>
      <c r="Q111" t="s">
        <v>443</v>
      </c>
      <c r="R111">
        <v>1.09934</v>
      </c>
      <c r="S111">
        <v>3.1199999999999999E-2</v>
      </c>
      <c r="T111" t="s">
        <v>443</v>
      </c>
      <c r="U111">
        <v>1.1368100000000001</v>
      </c>
      <c r="V111">
        <v>2.826E-2</v>
      </c>
      <c r="W111" t="s">
        <v>443</v>
      </c>
      <c r="X111">
        <v>1.0991299999999999</v>
      </c>
      <c r="Y111">
        <v>3.6850000000000001E-2</v>
      </c>
      <c r="Z111" t="s">
        <v>443</v>
      </c>
      <c r="AA111">
        <v>1.11046</v>
      </c>
      <c r="AB111">
        <v>3.4329999999999999E-2</v>
      </c>
      <c r="AC111" t="s">
        <v>443</v>
      </c>
      <c r="AD111">
        <v>1.12262</v>
      </c>
      <c r="AE111">
        <v>4.1669999999999999E-2</v>
      </c>
      <c r="AF111" t="s">
        <v>443</v>
      </c>
      <c r="AI111" t="s">
        <v>440</v>
      </c>
      <c r="AJ111">
        <v>1.1107499999999999</v>
      </c>
      <c r="AK111">
        <v>3.9419999999999997E-2</v>
      </c>
      <c r="AL111" t="s">
        <v>444</v>
      </c>
      <c r="AM111">
        <v>1.1658500000000001</v>
      </c>
      <c r="AN111">
        <v>3.8289999999999998E-2</v>
      </c>
      <c r="AO111" t="s">
        <v>443</v>
      </c>
      <c r="AP111">
        <v>1.15021</v>
      </c>
      <c r="AQ111">
        <v>4.6390000000000001E-2</v>
      </c>
      <c r="AR111" t="s">
        <v>443</v>
      </c>
      <c r="AS111">
        <v>3.9449800000000002</v>
      </c>
      <c r="AT111">
        <v>0.12931000000000001</v>
      </c>
      <c r="AU111" t="s">
        <v>443</v>
      </c>
      <c r="AV111">
        <v>1.14605</v>
      </c>
      <c r="AW111">
        <v>2.9170000000000001E-2</v>
      </c>
      <c r="AX111" t="s">
        <v>443</v>
      </c>
      <c r="AY111">
        <v>1.1432800000000001</v>
      </c>
      <c r="AZ111">
        <v>3.9910000000000001E-2</v>
      </c>
      <c r="BA111" t="s">
        <v>443</v>
      </c>
      <c r="BB111">
        <v>1.1504300000000001</v>
      </c>
      <c r="BC111">
        <v>3.9050000000000001E-2</v>
      </c>
      <c r="BD111" t="s">
        <v>443</v>
      </c>
      <c r="BE111">
        <v>1.15256</v>
      </c>
      <c r="BF111">
        <v>3.8769999999999999E-2</v>
      </c>
      <c r="BG111" t="s">
        <v>443</v>
      </c>
      <c r="BH111">
        <v>1.1426499999999999</v>
      </c>
      <c r="BI111">
        <v>4.4900000000000002E-2</v>
      </c>
      <c r="BJ111" t="s">
        <v>443</v>
      </c>
      <c r="BK111">
        <v>1.18662</v>
      </c>
      <c r="BL111">
        <v>4.4650000000000002E-2</v>
      </c>
      <c r="BM111" t="s">
        <v>443</v>
      </c>
      <c r="BN111">
        <v>1.16492</v>
      </c>
      <c r="BO111">
        <v>2.656E-2</v>
      </c>
      <c r="BP111" t="s">
        <v>443</v>
      </c>
      <c r="BQ111">
        <v>1.1634800000000001</v>
      </c>
      <c r="BR111">
        <v>2.6530000000000001E-2</v>
      </c>
      <c r="BS111" t="s">
        <v>443</v>
      </c>
      <c r="BV111" t="s">
        <v>440</v>
      </c>
      <c r="BW111">
        <v>-1.1936500000000001</v>
      </c>
      <c r="BX111">
        <v>3.6409999999999998E-2</v>
      </c>
      <c r="BY111" t="s">
        <v>445</v>
      </c>
      <c r="BZ111">
        <v>1.13906</v>
      </c>
      <c r="CA111">
        <v>3.6650000000000002E-2</v>
      </c>
      <c r="CB111" t="s">
        <v>443</v>
      </c>
      <c r="CC111">
        <v>1.10928</v>
      </c>
      <c r="CD111">
        <v>3.9940000000000003E-2</v>
      </c>
      <c r="CE111" t="s">
        <v>443</v>
      </c>
      <c r="CF111">
        <v>1.0973599999999999</v>
      </c>
      <c r="CG111">
        <v>4.3180000000000003E-2</v>
      </c>
      <c r="CH111" t="s">
        <v>443</v>
      </c>
      <c r="CI111">
        <v>1.12809</v>
      </c>
      <c r="CJ111">
        <v>3.8260000000000002E-2</v>
      </c>
      <c r="CK111" t="s">
        <v>443</v>
      </c>
      <c r="CL111">
        <v>1.2106600000000001</v>
      </c>
      <c r="CM111">
        <v>3.3849999999999998E-2</v>
      </c>
      <c r="CN111" t="s">
        <v>443</v>
      </c>
      <c r="CO111">
        <v>6.9397399999999996</v>
      </c>
      <c r="CP111">
        <v>0.14519000000000001</v>
      </c>
      <c r="CQ111" t="s">
        <v>443</v>
      </c>
      <c r="CR111">
        <v>7.7812599999999996</v>
      </c>
      <c r="CS111">
        <v>4.4159999999999998E-2</v>
      </c>
      <c r="CT111" t="s">
        <v>443</v>
      </c>
      <c r="CU111">
        <v>3.8321100000000001</v>
      </c>
      <c r="CV111">
        <v>2.537E-2</v>
      </c>
      <c r="CW111" t="s">
        <v>443</v>
      </c>
      <c r="CX111">
        <v>6.5996300000000003</v>
      </c>
      <c r="CY111">
        <v>0.19195999999999999</v>
      </c>
      <c r="CZ111" t="s">
        <v>443</v>
      </c>
      <c r="DA111">
        <v>1.18642</v>
      </c>
      <c r="DB111">
        <v>2.8080000000000001E-2</v>
      </c>
      <c r="DC111" t="s">
        <v>443</v>
      </c>
      <c r="DD111">
        <v>21.97214</v>
      </c>
      <c r="DE111">
        <v>0.26840000000000003</v>
      </c>
      <c r="DF111" t="s">
        <v>443</v>
      </c>
      <c r="DG111">
        <v>8.1291899999999995</v>
      </c>
      <c r="DH111">
        <v>0.15412999999999999</v>
      </c>
      <c r="DI111" t="s">
        <v>443</v>
      </c>
      <c r="DJ111">
        <v>1.1120399999999999</v>
      </c>
      <c r="DK111">
        <v>4.4889999999999999E-2</v>
      </c>
      <c r="DL111" t="s">
        <v>443</v>
      </c>
      <c r="DM111">
        <v>1.1311199999999999</v>
      </c>
      <c r="DN111">
        <v>1.5869999999999999E-2</v>
      </c>
      <c r="DO111" t="s">
        <v>443</v>
      </c>
      <c r="DP111">
        <v>1.12947</v>
      </c>
      <c r="DQ111">
        <v>2.239E-2</v>
      </c>
      <c r="DR111" t="s">
        <v>443</v>
      </c>
      <c r="DS111">
        <v>1.09964</v>
      </c>
      <c r="DT111">
        <v>2.47E-3</v>
      </c>
      <c r="DU111" t="s">
        <v>443</v>
      </c>
      <c r="DV111">
        <v>3.53538</v>
      </c>
      <c r="DW111">
        <v>3.2599999999999999E-3</v>
      </c>
      <c r="DX111" t="s">
        <v>443</v>
      </c>
      <c r="DY111">
        <v>1.1084099999999999</v>
      </c>
      <c r="DZ111">
        <v>1.184E-2</v>
      </c>
      <c r="EA111" t="s">
        <v>443</v>
      </c>
      <c r="EB111">
        <v>1.0252699999999999</v>
      </c>
      <c r="EC111">
        <v>2.3560000000000001E-2</v>
      </c>
      <c r="ED111" t="s">
        <v>443</v>
      </c>
      <c r="EE111">
        <v>1.10789</v>
      </c>
      <c r="EF111">
        <v>2.3279999999999999E-2</v>
      </c>
      <c r="EG111" t="s">
        <v>443</v>
      </c>
      <c r="EH111">
        <v>4.8305999999999996</v>
      </c>
      <c r="EI111">
        <v>9.912E-2</v>
      </c>
      <c r="EJ111" t="s">
        <v>443</v>
      </c>
      <c r="EM111" t="s">
        <v>440</v>
      </c>
      <c r="EN111">
        <v>1.11277</v>
      </c>
      <c r="EO111">
        <v>1.196E-2</v>
      </c>
      <c r="EP111" t="s">
        <v>443</v>
      </c>
      <c r="ES111" t="s">
        <v>440</v>
      </c>
      <c r="ET111">
        <v>11.211880000000001</v>
      </c>
      <c r="EU111">
        <v>0.22706999999999999</v>
      </c>
      <c r="EV111" t="s">
        <v>443</v>
      </c>
      <c r="EW111">
        <v>1.4934499999999999</v>
      </c>
      <c r="EX111">
        <v>2.8029999999999999E-2</v>
      </c>
      <c r="EY111" t="s">
        <v>443</v>
      </c>
      <c r="EZ111">
        <v>1.27305</v>
      </c>
      <c r="FA111">
        <v>3.2969999999999999E-2</v>
      </c>
      <c r="FB111" t="s">
        <v>443</v>
      </c>
      <c r="FC111">
        <v>1.7772399999999999</v>
      </c>
      <c r="FD111">
        <v>0.28788000000000002</v>
      </c>
      <c r="FE111" t="s">
        <v>445</v>
      </c>
      <c r="FF111">
        <v>4.7327300000000001</v>
      </c>
      <c r="FG111">
        <v>0.19899</v>
      </c>
      <c r="FH111" t="s">
        <v>444</v>
      </c>
      <c r="FK111" t="s">
        <v>440</v>
      </c>
      <c r="FN111" t="s">
        <v>440</v>
      </c>
      <c r="FO111">
        <v>1.1578599999999999</v>
      </c>
      <c r="FP111">
        <v>1.4919999999999999E-2</v>
      </c>
      <c r="FQ111" t="s">
        <v>444</v>
      </c>
      <c r="FT111" t="s">
        <v>440</v>
      </c>
      <c r="FU111">
        <v>1</v>
      </c>
      <c r="FX111">
        <v>110</v>
      </c>
    </row>
    <row r="112" spans="2:180" x14ac:dyDescent="0.2">
      <c r="B112" t="s">
        <v>178</v>
      </c>
      <c r="C112">
        <v>4.4839999999999998E-2</v>
      </c>
      <c r="D112">
        <v>9.8999999999999999E-4</v>
      </c>
      <c r="E112" t="s">
        <v>439</v>
      </c>
      <c r="F112">
        <v>1.504E-2</v>
      </c>
      <c r="G112">
        <v>2.1000000000000001E-4</v>
      </c>
      <c r="H112" t="s">
        <v>439</v>
      </c>
      <c r="I112">
        <v>7.0000000000000001E-3</v>
      </c>
      <c r="J112">
        <v>3.4000000000000002E-4</v>
      </c>
      <c r="K112" t="s">
        <v>439</v>
      </c>
      <c r="L112">
        <v>-7.2100000000000003E-3</v>
      </c>
      <c r="M112">
        <v>2.1000000000000001E-4</v>
      </c>
      <c r="N112" t="s">
        <v>439</v>
      </c>
      <c r="O112">
        <v>3.15E-3</v>
      </c>
      <c r="P112">
        <v>3.0000000000000001E-5</v>
      </c>
      <c r="Q112" t="s">
        <v>439</v>
      </c>
      <c r="R112">
        <v>2.4500000000000001E-2</v>
      </c>
      <c r="S112">
        <v>7.1000000000000002E-4</v>
      </c>
      <c r="T112" t="s">
        <v>439</v>
      </c>
      <c r="U112">
        <v>5.9999999999999995E-4</v>
      </c>
      <c r="V112">
        <v>6.9999999999999994E-5</v>
      </c>
      <c r="W112" t="s">
        <v>439</v>
      </c>
      <c r="X112">
        <v>1.021E-2</v>
      </c>
      <c r="Y112">
        <v>4.4000000000000002E-4</v>
      </c>
      <c r="Z112" t="s">
        <v>439</v>
      </c>
      <c r="AA112">
        <v>7.3800000000000003E-3</v>
      </c>
      <c r="AB112">
        <v>1.2999999999999999E-4</v>
      </c>
      <c r="AC112" t="s">
        <v>439</v>
      </c>
      <c r="AD112">
        <v>7.9000000000000001E-4</v>
      </c>
      <c r="AE112">
        <v>2.7E-4</v>
      </c>
      <c r="AF112" t="s">
        <v>439</v>
      </c>
      <c r="AI112" t="s">
        <v>440</v>
      </c>
      <c r="AJ112">
        <v>4.7669999999999997E-2</v>
      </c>
      <c r="AK112">
        <v>4.2999999999999999E-4</v>
      </c>
      <c r="AL112" t="s">
        <v>441</v>
      </c>
      <c r="AM112">
        <v>5.8259999999999999E-2</v>
      </c>
      <c r="AN112">
        <v>1.6000000000000001E-3</v>
      </c>
      <c r="AO112" t="s">
        <v>439</v>
      </c>
      <c r="AP112">
        <v>-1.4670000000000001E-2</v>
      </c>
      <c r="AQ112">
        <v>2.0000000000000002E-5</v>
      </c>
      <c r="AR112" t="s">
        <v>439</v>
      </c>
      <c r="AS112">
        <v>3.5589999999999997E-2</v>
      </c>
      <c r="AT112">
        <v>8.5999999999999998E-4</v>
      </c>
      <c r="AU112" t="s">
        <v>439</v>
      </c>
      <c r="AV112">
        <v>-1.9E-3</v>
      </c>
      <c r="AW112">
        <v>3.0000000000000001E-5</v>
      </c>
      <c r="AX112" t="s">
        <v>439</v>
      </c>
      <c r="AY112">
        <v>-5.5399999999999998E-3</v>
      </c>
      <c r="AZ112">
        <v>1.0000000000000001E-5</v>
      </c>
      <c r="BA112" t="s">
        <v>439</v>
      </c>
      <c r="BB112">
        <v>1.9300000000000001E-3</v>
      </c>
      <c r="BC112">
        <v>6.9999999999999994E-5</v>
      </c>
      <c r="BD112" t="s">
        <v>439</v>
      </c>
      <c r="BE112">
        <v>7.9000000000000001E-4</v>
      </c>
      <c r="BF112">
        <v>1.2E-4</v>
      </c>
      <c r="BG112" t="s">
        <v>439</v>
      </c>
      <c r="BH112">
        <v>2.7999999999999998E-4</v>
      </c>
      <c r="BI112">
        <v>2.5999999999999998E-4</v>
      </c>
      <c r="BJ112" t="s">
        <v>439</v>
      </c>
      <c r="BK112">
        <v>1.6000000000000001E-3</v>
      </c>
      <c r="BL112">
        <v>3.0000000000000001E-5</v>
      </c>
      <c r="BM112" t="s">
        <v>439</v>
      </c>
      <c r="BN112">
        <v>-3.3E-4</v>
      </c>
      <c r="BO112">
        <v>1.2E-4</v>
      </c>
      <c r="BP112" t="s">
        <v>439</v>
      </c>
      <c r="BQ112">
        <v>-4.5300000000000002E-3</v>
      </c>
      <c r="BR112">
        <v>1.01E-3</v>
      </c>
      <c r="BS112" t="s">
        <v>439</v>
      </c>
      <c r="BV112" t="s">
        <v>440</v>
      </c>
      <c r="BW112">
        <v>-2.0528200000000001</v>
      </c>
      <c r="BX112">
        <v>4.2000000000000002E-4</v>
      </c>
      <c r="BY112" t="s">
        <v>439</v>
      </c>
      <c r="BZ112">
        <v>2.8600000000000001E-3</v>
      </c>
      <c r="CA112">
        <v>1.0000000000000001E-5</v>
      </c>
      <c r="CB112" t="s">
        <v>439</v>
      </c>
      <c r="CC112">
        <v>-3.7019999999999997E-2</v>
      </c>
      <c r="CD112">
        <v>9.0000000000000006E-5</v>
      </c>
      <c r="CE112" t="s">
        <v>439</v>
      </c>
      <c r="CF112">
        <v>-1.392E-2</v>
      </c>
      <c r="CG112">
        <v>8.0000000000000007E-5</v>
      </c>
      <c r="CH112" t="s">
        <v>439</v>
      </c>
      <c r="CI112">
        <v>-4.6050000000000001E-2</v>
      </c>
      <c r="CJ112">
        <v>5.0000000000000002E-5</v>
      </c>
      <c r="CK112" t="s">
        <v>439</v>
      </c>
      <c r="CL112">
        <v>-9.0100000000000006E-3</v>
      </c>
      <c r="CM112">
        <v>8.0000000000000007E-5</v>
      </c>
      <c r="CN112" t="s">
        <v>439</v>
      </c>
      <c r="CO112">
        <v>-0.95574999999999999</v>
      </c>
      <c r="CP112">
        <v>2.41E-2</v>
      </c>
      <c r="CQ112" t="s">
        <v>439</v>
      </c>
      <c r="CR112">
        <v>-0.13791999999999999</v>
      </c>
      <c r="CS112">
        <v>1.736E-2</v>
      </c>
      <c r="CT112" t="s">
        <v>439</v>
      </c>
      <c r="CU112">
        <v>-0.18217</v>
      </c>
      <c r="CV112">
        <v>8.6700000000000006E-3</v>
      </c>
      <c r="CW112" t="s">
        <v>439</v>
      </c>
      <c r="CX112">
        <v>-1.8787499999999999</v>
      </c>
      <c r="CY112">
        <v>0.56767000000000001</v>
      </c>
      <c r="CZ112" t="s">
        <v>439</v>
      </c>
      <c r="DA112">
        <v>-2.3779999999999999E-2</v>
      </c>
      <c r="DB112">
        <v>1.8280000000000001E-2</v>
      </c>
      <c r="DC112" t="s">
        <v>439</v>
      </c>
      <c r="DD112">
        <v>-1.5524</v>
      </c>
      <c r="DE112">
        <v>0.10244</v>
      </c>
      <c r="DF112" t="s">
        <v>439</v>
      </c>
      <c r="DG112">
        <v>0.25697999999999999</v>
      </c>
      <c r="DH112">
        <v>4.8550000000000003E-2</v>
      </c>
      <c r="DI112" t="s">
        <v>439</v>
      </c>
      <c r="DJ112">
        <v>-1.149E-2</v>
      </c>
      <c r="DK112">
        <v>1.15E-3</v>
      </c>
      <c r="DL112" t="s">
        <v>439</v>
      </c>
      <c r="DM112">
        <v>1.2700000000000001E-3</v>
      </c>
      <c r="DN112">
        <v>1.2700000000000001E-3</v>
      </c>
      <c r="DO112" t="s">
        <v>439</v>
      </c>
      <c r="DP112">
        <v>-8.1200000000000005E-3</v>
      </c>
      <c r="DQ112">
        <v>1.1999999999999999E-3</v>
      </c>
      <c r="DR112" t="s">
        <v>439</v>
      </c>
      <c r="DS112">
        <v>-2.6780000000000002E-2</v>
      </c>
      <c r="DT112">
        <v>7.7999999999999999E-4</v>
      </c>
      <c r="DU112" t="s">
        <v>439</v>
      </c>
      <c r="DV112">
        <v>-0.29259000000000002</v>
      </c>
      <c r="DW112">
        <v>4.5900000000000003E-3</v>
      </c>
      <c r="DX112" t="s">
        <v>439</v>
      </c>
      <c r="DY112">
        <v>-6.3699999999999998E-3</v>
      </c>
      <c r="DZ112">
        <v>1.3999999999999999E-4</v>
      </c>
      <c r="EA112" t="s">
        <v>439</v>
      </c>
      <c r="EB112">
        <v>1.8870000000000001E-2</v>
      </c>
      <c r="EC112">
        <v>6.3000000000000003E-4</v>
      </c>
      <c r="ED112" t="s">
        <v>439</v>
      </c>
      <c r="EE112">
        <v>-1.933E-2</v>
      </c>
      <c r="EF112">
        <v>1.0300000000000001E-3</v>
      </c>
      <c r="EG112" t="s">
        <v>439</v>
      </c>
      <c r="EH112">
        <v>4.6780000000000002E-2</v>
      </c>
      <c r="EI112">
        <v>1.2829999999999999E-2</v>
      </c>
      <c r="EJ112" t="s">
        <v>439</v>
      </c>
      <c r="EM112" t="s">
        <v>440</v>
      </c>
      <c r="EN112">
        <v>-1.9290000000000002E-2</v>
      </c>
      <c r="EO112">
        <v>2.2000000000000001E-4</v>
      </c>
      <c r="EP112" t="s">
        <v>439</v>
      </c>
      <c r="ES112" t="s">
        <v>440</v>
      </c>
      <c r="ET112">
        <v>1.1599299999999999</v>
      </c>
      <c r="EU112">
        <v>5.9679999999999997E-2</v>
      </c>
      <c r="EV112" t="s">
        <v>439</v>
      </c>
      <c r="EW112">
        <v>-7.2999999999999996E-4</v>
      </c>
      <c r="EX112">
        <v>5.9000000000000003E-4</v>
      </c>
      <c r="EY112" t="s">
        <v>439</v>
      </c>
      <c r="EZ112">
        <v>5.2949999999999997E-2</v>
      </c>
      <c r="FA112">
        <v>1.4710000000000001E-2</v>
      </c>
      <c r="FB112" t="s">
        <v>439</v>
      </c>
      <c r="FC112">
        <v>1.6084000000000001</v>
      </c>
      <c r="FD112">
        <v>0.31191000000000002</v>
      </c>
      <c r="FE112" t="s">
        <v>439</v>
      </c>
      <c r="FF112">
        <v>5.6351100000000001</v>
      </c>
      <c r="FG112">
        <v>2.9069999999999999E-2</v>
      </c>
      <c r="FH112" t="s">
        <v>441</v>
      </c>
      <c r="FK112" t="s">
        <v>440</v>
      </c>
      <c r="FN112" t="s">
        <v>440</v>
      </c>
      <c r="FO112">
        <v>-1.34E-3</v>
      </c>
      <c r="FP112">
        <v>1.1800000000000001E-3</v>
      </c>
      <c r="FQ112" t="s">
        <v>441</v>
      </c>
      <c r="FT112" t="s">
        <v>440</v>
      </c>
      <c r="FX112">
        <v>111</v>
      </c>
    </row>
    <row r="113" spans="2:180" x14ac:dyDescent="0.2">
      <c r="B113" t="s">
        <v>179</v>
      </c>
      <c r="C113">
        <v>3.712E-2</v>
      </c>
      <c r="D113">
        <v>1.2899999999999999E-3</v>
      </c>
      <c r="E113" t="s">
        <v>439</v>
      </c>
      <c r="F113">
        <v>1.218E-2</v>
      </c>
      <c r="G113">
        <v>1.48E-3</v>
      </c>
      <c r="H113" t="s">
        <v>439</v>
      </c>
      <c r="I113">
        <v>2.5069999999999999E-2</v>
      </c>
      <c r="J113">
        <v>3.0000000000000001E-5</v>
      </c>
      <c r="K113" t="s">
        <v>439</v>
      </c>
      <c r="L113">
        <v>3.2849999999999997E-2</v>
      </c>
      <c r="M113">
        <v>2.7999999999999998E-4</v>
      </c>
      <c r="N113" t="s">
        <v>442</v>
      </c>
      <c r="O113">
        <v>3.47E-3</v>
      </c>
      <c r="P113">
        <v>3.0000000000000001E-5</v>
      </c>
      <c r="Q113" t="s">
        <v>439</v>
      </c>
      <c r="R113">
        <v>4.3290000000000002E-2</v>
      </c>
      <c r="S113">
        <v>5.5999999999999995E-4</v>
      </c>
      <c r="T113" t="s">
        <v>442</v>
      </c>
      <c r="U113">
        <v>5.4000000000000001E-4</v>
      </c>
      <c r="V113">
        <v>6.0000000000000002E-5</v>
      </c>
      <c r="W113" t="s">
        <v>439</v>
      </c>
      <c r="X113">
        <v>9.6600000000000002E-3</v>
      </c>
      <c r="Y113">
        <v>4.8000000000000001E-4</v>
      </c>
      <c r="Z113" t="s">
        <v>439</v>
      </c>
      <c r="AA113">
        <v>1.166E-2</v>
      </c>
      <c r="AB113">
        <v>8.0999999999999996E-4</v>
      </c>
      <c r="AC113" t="s">
        <v>442</v>
      </c>
      <c r="AD113">
        <v>8.6700000000000006E-3</v>
      </c>
      <c r="AE113">
        <v>5.1999999999999995E-4</v>
      </c>
      <c r="AF113" t="s">
        <v>442</v>
      </c>
      <c r="AI113" t="s">
        <v>440</v>
      </c>
      <c r="AJ113">
        <v>3.7282799999999998</v>
      </c>
      <c r="AK113">
        <v>7.7359999999999998E-2</v>
      </c>
      <c r="AL113" t="s">
        <v>441</v>
      </c>
      <c r="AM113">
        <v>0.40237000000000001</v>
      </c>
      <c r="AN113">
        <v>9.1500000000000001E-3</v>
      </c>
      <c r="AO113" t="s">
        <v>442</v>
      </c>
      <c r="AP113">
        <v>-2.33E-3</v>
      </c>
      <c r="AQ113">
        <v>1.6000000000000001E-4</v>
      </c>
      <c r="AR113" t="s">
        <v>439</v>
      </c>
      <c r="AS113">
        <v>0.19625999999999999</v>
      </c>
      <c r="AT113">
        <v>2.2200000000000002E-3</v>
      </c>
      <c r="AU113" t="s">
        <v>442</v>
      </c>
      <c r="AV113">
        <v>1.1E-4</v>
      </c>
      <c r="AW113">
        <v>1.2E-4</v>
      </c>
      <c r="AX113" t="s">
        <v>439</v>
      </c>
      <c r="AY113">
        <v>-5.9999999999999995E-4</v>
      </c>
      <c r="AZ113">
        <v>3.8000000000000002E-4</v>
      </c>
      <c r="BA113" t="s">
        <v>439</v>
      </c>
      <c r="BB113">
        <v>2.4199999999999998E-3</v>
      </c>
      <c r="BC113">
        <v>8.0000000000000007E-5</v>
      </c>
      <c r="BD113" t="s">
        <v>442</v>
      </c>
      <c r="BE113">
        <v>5.5999999999999995E-4</v>
      </c>
      <c r="BF113">
        <v>4.0000000000000003E-5</v>
      </c>
      <c r="BG113" t="s">
        <v>439</v>
      </c>
      <c r="BH113">
        <v>2.0000000000000002E-5</v>
      </c>
      <c r="BI113">
        <v>2.4000000000000001E-4</v>
      </c>
      <c r="BJ113" t="s">
        <v>439</v>
      </c>
      <c r="BK113">
        <v>1.49E-3</v>
      </c>
      <c r="BL113">
        <v>2.0000000000000002E-5</v>
      </c>
      <c r="BM113" t="s">
        <v>439</v>
      </c>
      <c r="BN113">
        <v>-4.6999999999999999E-4</v>
      </c>
      <c r="BO113">
        <v>9.0000000000000006E-5</v>
      </c>
      <c r="BP113" t="s">
        <v>439</v>
      </c>
      <c r="BQ113">
        <v>6.3699999999999998E-3</v>
      </c>
      <c r="BR113">
        <v>2.9E-4</v>
      </c>
      <c r="BS113" t="s">
        <v>442</v>
      </c>
      <c r="BV113" t="s">
        <v>440</v>
      </c>
      <c r="BW113">
        <v>-2.0528</v>
      </c>
      <c r="BX113">
        <v>5.6999999999999998E-4</v>
      </c>
      <c r="BY113" t="s">
        <v>439</v>
      </c>
      <c r="BZ113">
        <v>3.8700000000000002E-3</v>
      </c>
      <c r="CA113">
        <v>4.0000000000000003E-5</v>
      </c>
      <c r="CB113" t="s">
        <v>442</v>
      </c>
      <c r="CC113">
        <v>5.5939999999999997E-2</v>
      </c>
      <c r="CD113">
        <v>1.6000000000000001E-3</v>
      </c>
      <c r="CE113" t="s">
        <v>442</v>
      </c>
      <c r="CF113">
        <v>7.51E-2</v>
      </c>
      <c r="CG113">
        <v>1.47E-3</v>
      </c>
      <c r="CH113" t="s">
        <v>442</v>
      </c>
      <c r="CI113">
        <v>4.6600000000000003E-2</v>
      </c>
      <c r="CJ113">
        <v>1.08E-3</v>
      </c>
      <c r="CK113" t="s">
        <v>442</v>
      </c>
      <c r="CL113">
        <v>8.0400000000000003E-3</v>
      </c>
      <c r="CM113">
        <v>4.6000000000000001E-4</v>
      </c>
      <c r="CN113" t="s">
        <v>442</v>
      </c>
      <c r="CO113">
        <v>10.093299999999999</v>
      </c>
      <c r="CP113">
        <v>0.17251</v>
      </c>
      <c r="CQ113" t="s">
        <v>442</v>
      </c>
      <c r="CR113">
        <v>1.3938299999999999</v>
      </c>
      <c r="CS113">
        <v>3.3930000000000002E-2</v>
      </c>
      <c r="CT113" t="s">
        <v>442</v>
      </c>
      <c r="CU113">
        <v>2.1537600000000001</v>
      </c>
      <c r="CV113">
        <v>6.1179999999999998E-2</v>
      </c>
      <c r="CW113" t="s">
        <v>442</v>
      </c>
      <c r="CX113">
        <v>10.06019</v>
      </c>
      <c r="CY113">
        <v>0.69925000000000004</v>
      </c>
      <c r="CZ113" t="s">
        <v>442</v>
      </c>
      <c r="DA113">
        <v>21.036819999999999</v>
      </c>
      <c r="DB113">
        <v>0.69925999999999999</v>
      </c>
      <c r="DC113" t="s">
        <v>442</v>
      </c>
      <c r="DD113">
        <v>7.2882499999999997</v>
      </c>
      <c r="DE113">
        <v>0.21088999999999999</v>
      </c>
      <c r="DF113" t="s">
        <v>442</v>
      </c>
      <c r="DG113">
        <v>14.68305</v>
      </c>
      <c r="DH113">
        <v>0.41253000000000001</v>
      </c>
      <c r="DI113" t="s">
        <v>442</v>
      </c>
      <c r="DJ113">
        <v>2.2599999999999999E-2</v>
      </c>
      <c r="DK113">
        <v>6.6699999999999997E-3</v>
      </c>
      <c r="DL113" t="s">
        <v>439</v>
      </c>
      <c r="DM113">
        <v>4.4400000000000004E-3</v>
      </c>
      <c r="DN113">
        <v>7.7999999999999999E-4</v>
      </c>
      <c r="DO113" t="s">
        <v>442</v>
      </c>
      <c r="DP113">
        <v>0.52610999999999997</v>
      </c>
      <c r="DQ113">
        <v>1.5630000000000002E-2</v>
      </c>
      <c r="DR113" t="s">
        <v>442</v>
      </c>
      <c r="DS113">
        <v>0.27673999999999999</v>
      </c>
      <c r="DT113">
        <v>1.444E-2</v>
      </c>
      <c r="DU113" t="s">
        <v>442</v>
      </c>
      <c r="DV113">
        <v>4.1467299999999998</v>
      </c>
      <c r="DW113">
        <v>0.18318000000000001</v>
      </c>
      <c r="DX113" t="s">
        <v>442</v>
      </c>
      <c r="DY113">
        <v>3.9170000000000003E-2</v>
      </c>
      <c r="DZ113">
        <v>1.73E-3</v>
      </c>
      <c r="EA113" t="s">
        <v>442</v>
      </c>
      <c r="EB113">
        <v>0.52903</v>
      </c>
      <c r="EC113">
        <v>2.4330000000000001E-2</v>
      </c>
      <c r="ED113" t="s">
        <v>442</v>
      </c>
      <c r="EE113">
        <v>0.32377</v>
      </c>
      <c r="EF113">
        <v>1.7749999999999998E-2</v>
      </c>
      <c r="EG113" t="s">
        <v>442</v>
      </c>
      <c r="EH113">
        <v>5.7103400000000004</v>
      </c>
      <c r="EI113">
        <v>0.27600000000000002</v>
      </c>
      <c r="EJ113" t="s">
        <v>442</v>
      </c>
      <c r="EM113" t="s">
        <v>440</v>
      </c>
      <c r="EN113">
        <v>3.96638</v>
      </c>
      <c r="EO113">
        <v>0.13324</v>
      </c>
      <c r="EP113" t="s">
        <v>442</v>
      </c>
      <c r="ES113" t="s">
        <v>440</v>
      </c>
      <c r="ET113">
        <v>16.83719</v>
      </c>
      <c r="EU113">
        <v>0.39304</v>
      </c>
      <c r="EV113" t="s">
        <v>442</v>
      </c>
      <c r="EW113">
        <v>-2.1000000000000001E-4</v>
      </c>
      <c r="EX113">
        <v>1.49E-3</v>
      </c>
      <c r="EY113" t="s">
        <v>439</v>
      </c>
      <c r="EZ113">
        <v>1.68364</v>
      </c>
      <c r="FA113">
        <v>6.8700000000000002E-3</v>
      </c>
      <c r="FB113" t="s">
        <v>442</v>
      </c>
      <c r="FC113">
        <v>2.03905</v>
      </c>
      <c r="FD113">
        <v>0.22364000000000001</v>
      </c>
      <c r="FE113" t="s">
        <v>442</v>
      </c>
      <c r="FF113">
        <v>6.7192400000000001</v>
      </c>
      <c r="FG113">
        <v>0.27451999999999999</v>
      </c>
      <c r="FH113" t="s">
        <v>441</v>
      </c>
      <c r="FK113" t="s">
        <v>440</v>
      </c>
      <c r="FN113" t="s">
        <v>440</v>
      </c>
      <c r="FO113">
        <v>4.0235900000000004</v>
      </c>
      <c r="FP113">
        <v>4.7849999999999997E-2</v>
      </c>
      <c r="FQ113" t="s">
        <v>441</v>
      </c>
      <c r="FT113" t="s">
        <v>440</v>
      </c>
      <c r="FX113">
        <v>112</v>
      </c>
    </row>
    <row r="114" spans="2:180" x14ac:dyDescent="0.2">
      <c r="B114" t="s">
        <v>180</v>
      </c>
      <c r="C114">
        <v>3.8969999999999998E-2</v>
      </c>
      <c r="D114">
        <v>4.4400000000000004E-3</v>
      </c>
      <c r="E114" t="s">
        <v>439</v>
      </c>
      <c r="F114">
        <v>1.434E-2</v>
      </c>
      <c r="G114">
        <v>1.4E-3</v>
      </c>
      <c r="H114" t="s">
        <v>439</v>
      </c>
      <c r="I114">
        <v>5.2080000000000001E-2</v>
      </c>
      <c r="J114">
        <v>9.3000000000000005E-4</v>
      </c>
      <c r="K114" t="s">
        <v>442</v>
      </c>
      <c r="L114">
        <v>6.2649999999999997E-2</v>
      </c>
      <c r="M114">
        <v>8.9999999999999998E-4</v>
      </c>
      <c r="N114" t="s">
        <v>442</v>
      </c>
      <c r="O114">
        <v>3.5999999999999999E-3</v>
      </c>
      <c r="P114">
        <v>1E-4</v>
      </c>
      <c r="Q114" t="s">
        <v>442</v>
      </c>
      <c r="R114">
        <v>4.3409999999999997E-2</v>
      </c>
      <c r="S114">
        <v>5.9000000000000003E-4</v>
      </c>
      <c r="T114" t="s">
        <v>442</v>
      </c>
      <c r="U114">
        <v>5.6999999999999998E-4</v>
      </c>
      <c r="V114">
        <v>6.0000000000000002E-5</v>
      </c>
      <c r="W114" t="s">
        <v>439</v>
      </c>
      <c r="X114">
        <v>1.022E-2</v>
      </c>
      <c r="Y114">
        <v>5.5000000000000003E-4</v>
      </c>
      <c r="Z114" t="s">
        <v>439</v>
      </c>
      <c r="AA114">
        <v>3.2419999999999997E-2</v>
      </c>
      <c r="AB114">
        <v>3.8999999999999999E-4</v>
      </c>
      <c r="AC114" t="s">
        <v>442</v>
      </c>
      <c r="AD114">
        <v>1.864E-2</v>
      </c>
      <c r="AE114">
        <v>1.41E-3</v>
      </c>
      <c r="AF114" t="s">
        <v>442</v>
      </c>
      <c r="AI114" t="s">
        <v>440</v>
      </c>
      <c r="AJ114">
        <v>3.0128300000000001</v>
      </c>
      <c r="AK114">
        <v>3.5770000000000003E-2</v>
      </c>
      <c r="AL114" t="s">
        <v>441</v>
      </c>
      <c r="AM114">
        <v>0.67161000000000004</v>
      </c>
      <c r="AN114">
        <v>1.6999999999999999E-3</v>
      </c>
      <c r="AO114" t="s">
        <v>442</v>
      </c>
      <c r="AP114">
        <v>1.9000000000000001E-4</v>
      </c>
      <c r="AQ114">
        <v>1.8000000000000001E-4</v>
      </c>
      <c r="AR114" t="s">
        <v>439</v>
      </c>
      <c r="AS114">
        <v>0.3115</v>
      </c>
      <c r="AT114">
        <v>2.2399999999999998E-3</v>
      </c>
      <c r="AU114" t="s">
        <v>442</v>
      </c>
      <c r="AV114">
        <v>-5.1000000000000004E-4</v>
      </c>
      <c r="AW114">
        <v>1.1E-4</v>
      </c>
      <c r="AX114" t="s">
        <v>439</v>
      </c>
      <c r="AY114">
        <v>-3.14E-3</v>
      </c>
      <c r="AZ114">
        <v>4.0000000000000003E-5</v>
      </c>
      <c r="BA114" t="s">
        <v>439</v>
      </c>
      <c r="BB114">
        <v>2.3900000000000002E-3</v>
      </c>
      <c r="BC114">
        <v>2.4000000000000001E-4</v>
      </c>
      <c r="BD114" t="s">
        <v>442</v>
      </c>
      <c r="BE114">
        <v>9.8999999999999999E-4</v>
      </c>
      <c r="BF114">
        <v>1.2E-4</v>
      </c>
      <c r="BG114" t="s">
        <v>439</v>
      </c>
      <c r="BH114">
        <v>6.0000000000000002E-5</v>
      </c>
      <c r="BI114">
        <v>6.9999999999999994E-5</v>
      </c>
      <c r="BJ114" t="s">
        <v>439</v>
      </c>
      <c r="BK114">
        <v>1.49E-3</v>
      </c>
      <c r="BL114">
        <v>3.0000000000000001E-5</v>
      </c>
      <c r="BM114" t="s">
        <v>439</v>
      </c>
      <c r="BN114">
        <v>-5.1000000000000004E-4</v>
      </c>
      <c r="BO114">
        <v>4.0000000000000003E-5</v>
      </c>
      <c r="BP114" t="s">
        <v>439</v>
      </c>
      <c r="BQ114">
        <v>-2.6199999999999999E-3</v>
      </c>
      <c r="BR114">
        <v>4.0999999999999999E-4</v>
      </c>
      <c r="BS114" t="s">
        <v>439</v>
      </c>
      <c r="BV114" t="s">
        <v>440</v>
      </c>
      <c r="BW114">
        <v>-2.0524800000000001</v>
      </c>
      <c r="BX114">
        <v>3.1E-4</v>
      </c>
      <c r="BY114" t="s">
        <v>439</v>
      </c>
      <c r="BZ114">
        <v>6.5599999999999999E-3</v>
      </c>
      <c r="CA114">
        <v>1E-4</v>
      </c>
      <c r="CB114" t="s">
        <v>442</v>
      </c>
      <c r="CC114">
        <v>0.27451999999999999</v>
      </c>
      <c r="CD114">
        <v>5.0400000000000002E-3</v>
      </c>
      <c r="CE114" t="s">
        <v>442</v>
      </c>
      <c r="CF114">
        <v>0.28512999999999999</v>
      </c>
      <c r="CG114">
        <v>2.6800000000000001E-3</v>
      </c>
      <c r="CH114" t="s">
        <v>442</v>
      </c>
      <c r="CI114">
        <v>0.26350000000000001</v>
      </c>
      <c r="CJ114">
        <v>3.79E-3</v>
      </c>
      <c r="CK114" t="s">
        <v>442</v>
      </c>
      <c r="CL114">
        <v>0.10621999999999999</v>
      </c>
      <c r="CM114">
        <v>8.0000000000000004E-4</v>
      </c>
      <c r="CN114" t="s">
        <v>442</v>
      </c>
      <c r="CO114">
        <v>10.976190000000001</v>
      </c>
      <c r="CP114">
        <v>0.21126</v>
      </c>
      <c r="CQ114" t="s">
        <v>442</v>
      </c>
      <c r="CR114">
        <v>2.2851499999999998</v>
      </c>
      <c r="CS114">
        <v>3.6999999999999998E-2</v>
      </c>
      <c r="CT114" t="s">
        <v>442</v>
      </c>
      <c r="CU114">
        <v>3.7513899999999998</v>
      </c>
      <c r="CV114">
        <v>5.8299999999999998E-2</v>
      </c>
      <c r="CW114" t="s">
        <v>442</v>
      </c>
      <c r="CX114">
        <v>15.00085</v>
      </c>
      <c r="CY114">
        <v>0.76710999999999996</v>
      </c>
      <c r="CZ114" t="s">
        <v>442</v>
      </c>
      <c r="DA114">
        <v>16.618279999999999</v>
      </c>
      <c r="DB114">
        <v>0.42612</v>
      </c>
      <c r="DC114" t="s">
        <v>442</v>
      </c>
      <c r="DD114">
        <v>16.456610000000001</v>
      </c>
      <c r="DE114">
        <v>0.29437999999999998</v>
      </c>
      <c r="DF114" t="s">
        <v>442</v>
      </c>
      <c r="DG114">
        <v>17.138870000000001</v>
      </c>
      <c r="DH114">
        <v>0.44292999999999999</v>
      </c>
      <c r="DI114" t="s">
        <v>442</v>
      </c>
      <c r="DJ114">
        <v>3.3509999999999998E-2</v>
      </c>
      <c r="DK114">
        <v>1.1169999999999999E-2</v>
      </c>
      <c r="DL114" t="s">
        <v>442</v>
      </c>
      <c r="DM114">
        <v>3.82E-3</v>
      </c>
      <c r="DN114">
        <v>5.4000000000000001E-4</v>
      </c>
      <c r="DO114" t="s">
        <v>442</v>
      </c>
      <c r="DP114">
        <v>0.57420000000000004</v>
      </c>
      <c r="DQ114">
        <v>1.0619999999999999E-2</v>
      </c>
      <c r="DR114" t="s">
        <v>442</v>
      </c>
      <c r="DS114">
        <v>0.36915999999999999</v>
      </c>
      <c r="DT114">
        <v>1.5820000000000001E-2</v>
      </c>
      <c r="DU114" t="s">
        <v>442</v>
      </c>
      <c r="DV114">
        <v>8.8676100000000009</v>
      </c>
      <c r="DW114">
        <v>0.24753</v>
      </c>
      <c r="DX114" t="s">
        <v>442</v>
      </c>
      <c r="DY114">
        <v>1.4409999999999999E-2</v>
      </c>
      <c r="DZ114">
        <v>8.0000000000000004E-4</v>
      </c>
      <c r="EA114" t="s">
        <v>439</v>
      </c>
      <c r="EB114">
        <v>0.45973000000000003</v>
      </c>
      <c r="EC114">
        <v>3.9899999999999996E-3</v>
      </c>
      <c r="ED114" t="s">
        <v>442</v>
      </c>
      <c r="EE114">
        <v>1.20686</v>
      </c>
      <c r="EF114">
        <v>1.26E-2</v>
      </c>
      <c r="EG114" t="s">
        <v>442</v>
      </c>
      <c r="EH114">
        <v>9.1650100000000005</v>
      </c>
      <c r="EI114">
        <v>0.23286000000000001</v>
      </c>
      <c r="EJ114" t="s">
        <v>442</v>
      </c>
      <c r="EM114" t="s">
        <v>440</v>
      </c>
      <c r="EN114">
        <v>3.1535000000000002</v>
      </c>
      <c r="EO114">
        <v>9.5060000000000006E-2</v>
      </c>
      <c r="EP114" t="s">
        <v>442</v>
      </c>
      <c r="ES114" t="s">
        <v>440</v>
      </c>
      <c r="ET114">
        <v>26.3733</v>
      </c>
      <c r="EU114">
        <v>0.39550999999999997</v>
      </c>
      <c r="EV114" t="s">
        <v>442</v>
      </c>
      <c r="EW114">
        <v>-1.8000000000000001E-4</v>
      </c>
      <c r="EX114">
        <v>1.5399999999999999E-3</v>
      </c>
      <c r="EY114" t="s">
        <v>439</v>
      </c>
      <c r="EZ114">
        <v>4.3391900000000003</v>
      </c>
      <c r="FA114">
        <v>9.6939999999999998E-2</v>
      </c>
      <c r="FB114" t="s">
        <v>442</v>
      </c>
      <c r="FC114">
        <v>2.3662000000000001</v>
      </c>
      <c r="FD114">
        <v>0.57684999999999997</v>
      </c>
      <c r="FE114" t="s">
        <v>442</v>
      </c>
      <c r="FF114">
        <v>6.6102499999999997</v>
      </c>
      <c r="FG114">
        <v>0.43776999999999999</v>
      </c>
      <c r="FH114" t="s">
        <v>441</v>
      </c>
      <c r="FK114" t="s">
        <v>440</v>
      </c>
      <c r="FN114" t="s">
        <v>440</v>
      </c>
      <c r="FO114">
        <v>3.1858399999999998</v>
      </c>
      <c r="FP114">
        <v>0.11427</v>
      </c>
      <c r="FQ114" t="s">
        <v>441</v>
      </c>
      <c r="FT114" t="s">
        <v>440</v>
      </c>
      <c r="FX114">
        <v>113</v>
      </c>
    </row>
    <row r="115" spans="2:180" x14ac:dyDescent="0.2">
      <c r="B115" t="s">
        <v>181</v>
      </c>
      <c r="C115">
        <v>4.0300000000000002E-2</v>
      </c>
      <c r="D115">
        <v>9.8899999999999995E-3</v>
      </c>
      <c r="E115" t="s">
        <v>439</v>
      </c>
      <c r="F115">
        <v>1.0410000000000001E-2</v>
      </c>
      <c r="G115">
        <v>4.79E-3</v>
      </c>
      <c r="H115" t="s">
        <v>439</v>
      </c>
      <c r="I115">
        <v>6.2530000000000002E-2</v>
      </c>
      <c r="J115">
        <v>4.4099999999999999E-3</v>
      </c>
      <c r="K115" t="s">
        <v>442</v>
      </c>
      <c r="L115">
        <v>0.27667000000000003</v>
      </c>
      <c r="M115">
        <v>4.6109999999999998E-2</v>
      </c>
      <c r="N115" t="s">
        <v>442</v>
      </c>
      <c r="O115">
        <v>4.2900000000000004E-3</v>
      </c>
      <c r="P115">
        <v>3.8000000000000002E-4</v>
      </c>
      <c r="Q115" t="s">
        <v>442</v>
      </c>
      <c r="R115">
        <v>3.8309999999999997E-2</v>
      </c>
      <c r="S115">
        <v>3.4299999999999999E-3</v>
      </c>
      <c r="T115" t="s">
        <v>442</v>
      </c>
      <c r="U115">
        <v>5.5999999999999995E-4</v>
      </c>
      <c r="V115">
        <v>9.0000000000000006E-5</v>
      </c>
      <c r="W115" t="s">
        <v>439</v>
      </c>
      <c r="X115">
        <v>1.005E-2</v>
      </c>
      <c r="Y115">
        <v>2.7E-4</v>
      </c>
      <c r="Z115" t="s">
        <v>439</v>
      </c>
      <c r="AA115">
        <v>2.18E-2</v>
      </c>
      <c r="AB115">
        <v>8.8000000000000003E-4</v>
      </c>
      <c r="AC115" t="s">
        <v>442</v>
      </c>
      <c r="AD115">
        <v>2.1000000000000001E-2</v>
      </c>
      <c r="AE115">
        <v>1.1900000000000001E-3</v>
      </c>
      <c r="AF115" t="s">
        <v>442</v>
      </c>
      <c r="AI115" t="s">
        <v>440</v>
      </c>
      <c r="AJ115">
        <v>3.0127000000000002</v>
      </c>
      <c r="AK115">
        <v>0.15631</v>
      </c>
      <c r="AL115" t="s">
        <v>441</v>
      </c>
      <c r="AM115">
        <v>0.63592000000000004</v>
      </c>
      <c r="AN115">
        <v>1.9109999999999999E-2</v>
      </c>
      <c r="AO115" t="s">
        <v>442</v>
      </c>
      <c r="AP115">
        <v>-5.4099999999999999E-3</v>
      </c>
      <c r="AQ115">
        <v>4.2000000000000002E-4</v>
      </c>
      <c r="AR115" t="s">
        <v>439</v>
      </c>
      <c r="AS115">
        <v>1.03088</v>
      </c>
      <c r="AT115">
        <v>4.4839999999999998E-2</v>
      </c>
      <c r="AU115" t="s">
        <v>442</v>
      </c>
      <c r="AV115">
        <v>8.0000000000000004E-4</v>
      </c>
      <c r="AW115">
        <v>1.2E-4</v>
      </c>
      <c r="AX115" t="s">
        <v>439</v>
      </c>
      <c r="AY115">
        <v>-1.07E-3</v>
      </c>
      <c r="AZ115">
        <v>2.9999999999999997E-4</v>
      </c>
      <c r="BA115" t="s">
        <v>439</v>
      </c>
      <c r="BB115">
        <v>3.4399999999999999E-3</v>
      </c>
      <c r="BC115">
        <v>3.6000000000000002E-4</v>
      </c>
      <c r="BD115" t="s">
        <v>442</v>
      </c>
      <c r="BE115">
        <v>6.4000000000000005E-4</v>
      </c>
      <c r="BF115">
        <v>2.2000000000000001E-4</v>
      </c>
      <c r="BG115" t="s">
        <v>439</v>
      </c>
      <c r="BH115">
        <v>4.6000000000000001E-4</v>
      </c>
      <c r="BI115">
        <v>1.2999999999999999E-4</v>
      </c>
      <c r="BJ115" t="s">
        <v>439</v>
      </c>
      <c r="BK115">
        <v>1.5200000000000001E-3</v>
      </c>
      <c r="BL115">
        <v>1.0000000000000001E-5</v>
      </c>
      <c r="BM115" t="s">
        <v>439</v>
      </c>
      <c r="BN115">
        <v>-2.7999999999999998E-4</v>
      </c>
      <c r="BO115">
        <v>1E-4</v>
      </c>
      <c r="BP115" t="s">
        <v>439</v>
      </c>
      <c r="BQ115">
        <v>-4.0499999999999998E-3</v>
      </c>
      <c r="BR115">
        <v>2.9999999999999997E-4</v>
      </c>
      <c r="BS115" t="s">
        <v>439</v>
      </c>
      <c r="BV115" t="s">
        <v>440</v>
      </c>
      <c r="BW115">
        <v>-2.0520700000000001</v>
      </c>
      <c r="BX115">
        <v>4.8999999999999998E-4</v>
      </c>
      <c r="BY115" t="s">
        <v>439</v>
      </c>
      <c r="BZ115">
        <v>6.7099999999999998E-3</v>
      </c>
      <c r="CA115">
        <v>1.2E-4</v>
      </c>
      <c r="CB115" t="s">
        <v>442</v>
      </c>
      <c r="CC115">
        <v>0.184</v>
      </c>
      <c r="CD115">
        <v>5.2399999999999999E-3</v>
      </c>
      <c r="CE115" t="s">
        <v>442</v>
      </c>
      <c r="CF115">
        <v>0.19947999999999999</v>
      </c>
      <c r="CG115">
        <v>6.1000000000000004E-3</v>
      </c>
      <c r="CH115" t="s">
        <v>442</v>
      </c>
      <c r="CI115">
        <v>0.17727000000000001</v>
      </c>
      <c r="CJ115">
        <v>5.3400000000000001E-3</v>
      </c>
      <c r="CK115" t="s">
        <v>442</v>
      </c>
      <c r="CL115">
        <v>1.1440000000000001E-2</v>
      </c>
      <c r="CM115">
        <v>7.1000000000000002E-4</v>
      </c>
      <c r="CN115" t="s">
        <v>442</v>
      </c>
      <c r="CO115">
        <v>14.735720000000001</v>
      </c>
      <c r="CP115">
        <v>0.29802000000000001</v>
      </c>
      <c r="CQ115" t="s">
        <v>442</v>
      </c>
      <c r="CR115">
        <v>10.028460000000001</v>
      </c>
      <c r="CS115">
        <v>0.1759</v>
      </c>
      <c r="CT115" t="s">
        <v>442</v>
      </c>
      <c r="CU115">
        <v>4.5027100000000004</v>
      </c>
      <c r="CV115">
        <v>0.12825</v>
      </c>
      <c r="CW115" t="s">
        <v>442</v>
      </c>
      <c r="CX115">
        <v>10.31836</v>
      </c>
      <c r="CY115">
        <v>0.44435999999999998</v>
      </c>
      <c r="CZ115" t="s">
        <v>442</v>
      </c>
      <c r="DA115">
        <v>22.834029999999998</v>
      </c>
      <c r="DB115">
        <v>0.45049</v>
      </c>
      <c r="DC115" t="s">
        <v>442</v>
      </c>
      <c r="DD115">
        <v>28.786100000000001</v>
      </c>
      <c r="DE115">
        <v>0.57606000000000002</v>
      </c>
      <c r="DF115" t="s">
        <v>442</v>
      </c>
      <c r="DG115">
        <v>33.249389999999998</v>
      </c>
      <c r="DH115">
        <v>0.48505999999999999</v>
      </c>
      <c r="DI115" t="s">
        <v>442</v>
      </c>
      <c r="DJ115">
        <v>0.10927000000000001</v>
      </c>
      <c r="DK115">
        <v>1.0970000000000001E-2</v>
      </c>
      <c r="DL115" t="s">
        <v>442</v>
      </c>
      <c r="DM115">
        <v>4.6299999999999996E-3</v>
      </c>
      <c r="DN115">
        <v>8.3000000000000001E-4</v>
      </c>
      <c r="DO115" t="s">
        <v>442</v>
      </c>
      <c r="DP115">
        <v>0.44206000000000001</v>
      </c>
      <c r="DQ115">
        <v>1.218E-2</v>
      </c>
      <c r="DR115" t="s">
        <v>442</v>
      </c>
      <c r="DS115">
        <v>1.0673999999999999</v>
      </c>
      <c r="DT115">
        <v>1.04E-2</v>
      </c>
      <c r="DU115" t="s">
        <v>442</v>
      </c>
      <c r="DV115">
        <v>6.5968999999999998</v>
      </c>
      <c r="DW115">
        <v>0.10203</v>
      </c>
      <c r="DX115" t="s">
        <v>442</v>
      </c>
      <c r="DY115">
        <v>2.3709999999999998E-2</v>
      </c>
      <c r="DZ115">
        <v>1.0399999999999999E-3</v>
      </c>
      <c r="EA115" t="s">
        <v>439</v>
      </c>
      <c r="EB115">
        <v>0.57335000000000003</v>
      </c>
      <c r="EC115">
        <v>1.34E-2</v>
      </c>
      <c r="ED115" t="s">
        <v>442</v>
      </c>
      <c r="EE115">
        <v>0.64322000000000001</v>
      </c>
      <c r="EF115">
        <v>1.009E-2</v>
      </c>
      <c r="EG115" t="s">
        <v>442</v>
      </c>
      <c r="EH115">
        <v>9.5957799999999995</v>
      </c>
      <c r="EI115">
        <v>0.2296</v>
      </c>
      <c r="EJ115" t="s">
        <v>442</v>
      </c>
      <c r="EM115" t="s">
        <v>440</v>
      </c>
      <c r="EN115">
        <v>3.1351100000000001</v>
      </c>
      <c r="EO115">
        <v>2.6919999999999999E-2</v>
      </c>
      <c r="EP115" t="s">
        <v>442</v>
      </c>
      <c r="ES115" t="s">
        <v>440</v>
      </c>
      <c r="ET115">
        <v>34.806780000000003</v>
      </c>
      <c r="EU115">
        <v>0.89619000000000004</v>
      </c>
      <c r="EV115" t="s">
        <v>442</v>
      </c>
      <c r="EW115">
        <v>-4.8000000000000001E-4</v>
      </c>
      <c r="EX115">
        <v>5.1000000000000004E-4</v>
      </c>
      <c r="EY115" t="s">
        <v>439</v>
      </c>
      <c r="EZ115">
        <v>11.641260000000001</v>
      </c>
      <c r="FA115">
        <v>0.42903999999999998</v>
      </c>
      <c r="FB115" t="s">
        <v>442</v>
      </c>
      <c r="FC115">
        <v>1.3292299999999999</v>
      </c>
      <c r="FD115">
        <v>0.22005</v>
      </c>
      <c r="FE115" t="s">
        <v>439</v>
      </c>
      <c r="FF115">
        <v>4.00922</v>
      </c>
      <c r="FG115">
        <v>0.33323000000000003</v>
      </c>
      <c r="FH115" t="s">
        <v>441</v>
      </c>
      <c r="FK115" t="s">
        <v>440</v>
      </c>
      <c r="FN115" t="s">
        <v>440</v>
      </c>
      <c r="FO115">
        <v>3.3285399999999998</v>
      </c>
      <c r="FP115">
        <v>6.9389999999999993E-2</v>
      </c>
      <c r="FQ115" t="s">
        <v>441</v>
      </c>
      <c r="FT115" t="s">
        <v>440</v>
      </c>
      <c r="FX115">
        <v>114</v>
      </c>
    </row>
    <row r="116" spans="2:180" x14ac:dyDescent="0.2">
      <c r="B116" t="s">
        <v>182</v>
      </c>
      <c r="C116">
        <v>4.2889999999999998E-2</v>
      </c>
      <c r="D116">
        <v>4.8999999999999998E-4</v>
      </c>
      <c r="E116" t="s">
        <v>439</v>
      </c>
      <c r="F116">
        <v>1.387E-2</v>
      </c>
      <c r="G116">
        <v>9.7000000000000005E-4</v>
      </c>
      <c r="H116" t="s">
        <v>439</v>
      </c>
      <c r="I116">
        <v>0.16517999999999999</v>
      </c>
      <c r="J116">
        <v>1.92E-3</v>
      </c>
      <c r="K116" t="s">
        <v>442</v>
      </c>
      <c r="L116">
        <v>0.92081000000000002</v>
      </c>
      <c r="M116">
        <v>9.6399999999999993E-3</v>
      </c>
      <c r="N116" t="s">
        <v>442</v>
      </c>
      <c r="O116">
        <v>6.3400000000000001E-3</v>
      </c>
      <c r="P116">
        <v>8.0000000000000007E-5</v>
      </c>
      <c r="Q116" t="s">
        <v>442</v>
      </c>
      <c r="R116">
        <v>0.11624</v>
      </c>
      <c r="S116">
        <v>2.5799999999999998E-3</v>
      </c>
      <c r="T116" t="s">
        <v>442</v>
      </c>
      <c r="U116">
        <v>6.0999999999999997E-4</v>
      </c>
      <c r="V116">
        <v>6.9999999999999994E-5</v>
      </c>
      <c r="W116" t="s">
        <v>439</v>
      </c>
      <c r="X116">
        <v>1.035E-2</v>
      </c>
      <c r="Y116">
        <v>1.6000000000000001E-4</v>
      </c>
      <c r="Z116" t="s">
        <v>439</v>
      </c>
      <c r="AA116">
        <v>2.4740000000000002E-2</v>
      </c>
      <c r="AB116">
        <v>5.5999999999999995E-4</v>
      </c>
      <c r="AC116" t="s">
        <v>442</v>
      </c>
      <c r="AD116">
        <v>4.8550000000000003E-2</v>
      </c>
      <c r="AE116">
        <v>1.49E-3</v>
      </c>
      <c r="AF116" t="s">
        <v>442</v>
      </c>
      <c r="AI116" t="s">
        <v>440</v>
      </c>
      <c r="AJ116">
        <v>1.7577100000000001</v>
      </c>
      <c r="AK116">
        <v>3.6450000000000003E-2</v>
      </c>
      <c r="AL116" t="s">
        <v>441</v>
      </c>
      <c r="AM116">
        <v>1.3017700000000001</v>
      </c>
      <c r="AN116">
        <v>1.8880000000000001E-2</v>
      </c>
      <c r="AO116" t="s">
        <v>442</v>
      </c>
      <c r="AP116">
        <v>-6.5599999999999999E-3</v>
      </c>
      <c r="AQ116">
        <v>1.1E-4</v>
      </c>
      <c r="AR116" t="s">
        <v>439</v>
      </c>
      <c r="AS116">
        <v>3.07287</v>
      </c>
      <c r="AT116">
        <v>5.0509999999999999E-2</v>
      </c>
      <c r="AU116" t="s">
        <v>442</v>
      </c>
      <c r="AV116">
        <v>4.9800000000000001E-3</v>
      </c>
      <c r="AW116">
        <v>2.3000000000000001E-4</v>
      </c>
      <c r="AX116" t="s">
        <v>442</v>
      </c>
      <c r="AY116">
        <v>4.1599999999999996E-3</v>
      </c>
      <c r="AZ116">
        <v>3.5E-4</v>
      </c>
      <c r="BA116" t="s">
        <v>442</v>
      </c>
      <c r="BB116">
        <v>4.8999999999999998E-3</v>
      </c>
      <c r="BC116">
        <v>2.2000000000000001E-4</v>
      </c>
      <c r="BD116" t="s">
        <v>442</v>
      </c>
      <c r="BE116">
        <v>1.0399999999999999E-3</v>
      </c>
      <c r="BF116">
        <v>1.3999999999999999E-4</v>
      </c>
      <c r="BG116" t="s">
        <v>439</v>
      </c>
      <c r="BH116">
        <v>5.1999999999999995E-4</v>
      </c>
      <c r="BI116">
        <v>3.3E-4</v>
      </c>
      <c r="BJ116" t="s">
        <v>439</v>
      </c>
      <c r="BK116">
        <v>1.5499999999999999E-3</v>
      </c>
      <c r="BL116">
        <v>4.0000000000000003E-5</v>
      </c>
      <c r="BM116" t="s">
        <v>439</v>
      </c>
      <c r="BN116">
        <v>-9.0000000000000006E-5</v>
      </c>
      <c r="BO116">
        <v>3.0000000000000001E-5</v>
      </c>
      <c r="BP116" t="s">
        <v>439</v>
      </c>
      <c r="BQ116">
        <v>4.2700000000000004E-3</v>
      </c>
      <c r="BR116">
        <v>3.8000000000000002E-4</v>
      </c>
      <c r="BS116" t="s">
        <v>442</v>
      </c>
      <c r="BV116" t="s">
        <v>440</v>
      </c>
      <c r="BW116">
        <v>-2.05308</v>
      </c>
      <c r="BX116">
        <v>4.0000000000000003E-5</v>
      </c>
      <c r="BY116" t="s">
        <v>439</v>
      </c>
      <c r="BZ116">
        <v>1.3339999999999999E-2</v>
      </c>
      <c r="CA116">
        <v>1.9000000000000001E-4</v>
      </c>
      <c r="CB116" t="s">
        <v>442</v>
      </c>
      <c r="CC116">
        <v>0.60948000000000002</v>
      </c>
      <c r="CD116">
        <v>1.256E-2</v>
      </c>
      <c r="CE116" t="s">
        <v>442</v>
      </c>
      <c r="CF116">
        <v>0.59902</v>
      </c>
      <c r="CG116">
        <v>1.009E-2</v>
      </c>
      <c r="CH116" t="s">
        <v>442</v>
      </c>
      <c r="CI116">
        <v>0.59672000000000003</v>
      </c>
      <c r="CJ116">
        <v>1.391E-2</v>
      </c>
      <c r="CK116" t="s">
        <v>442</v>
      </c>
      <c r="CL116">
        <v>5.4600000000000003E-2</v>
      </c>
      <c r="CM116">
        <v>1.5299999999999999E-3</v>
      </c>
      <c r="CN116" t="s">
        <v>442</v>
      </c>
      <c r="CO116">
        <v>15.33104</v>
      </c>
      <c r="CP116">
        <v>0.37035000000000001</v>
      </c>
      <c r="CQ116" t="s">
        <v>442</v>
      </c>
      <c r="CR116">
        <v>17.128640000000001</v>
      </c>
      <c r="CS116">
        <v>0.40412999999999999</v>
      </c>
      <c r="CT116" t="s">
        <v>442</v>
      </c>
      <c r="CU116">
        <v>34.428339999999999</v>
      </c>
      <c r="CV116">
        <v>0.63017000000000001</v>
      </c>
      <c r="CW116" t="s">
        <v>442</v>
      </c>
      <c r="CX116">
        <v>12.912509999999999</v>
      </c>
      <c r="CY116">
        <v>0.63254999999999995</v>
      </c>
      <c r="CZ116" t="s">
        <v>442</v>
      </c>
      <c r="DA116">
        <v>5.2424900000000001</v>
      </c>
      <c r="DB116">
        <v>3.0360000000000002E-2</v>
      </c>
      <c r="DC116" t="s">
        <v>442</v>
      </c>
      <c r="DD116">
        <v>77.577939999999998</v>
      </c>
      <c r="DE116">
        <v>2.1473399999999998</v>
      </c>
      <c r="DF116" t="s">
        <v>442</v>
      </c>
      <c r="DG116">
        <v>75.501499999999993</v>
      </c>
      <c r="DH116">
        <v>1.60791</v>
      </c>
      <c r="DI116" t="s">
        <v>442</v>
      </c>
      <c r="DJ116">
        <v>0.34733000000000003</v>
      </c>
      <c r="DK116">
        <v>2.9669999999999998E-2</v>
      </c>
      <c r="DL116" t="s">
        <v>442</v>
      </c>
      <c r="DM116">
        <v>2.1940000000000001E-2</v>
      </c>
      <c r="DN116">
        <v>8.9999999999999998E-4</v>
      </c>
      <c r="DO116" t="s">
        <v>442</v>
      </c>
      <c r="DP116">
        <v>0.57013999999999998</v>
      </c>
      <c r="DQ116">
        <v>7.1300000000000001E-3</v>
      </c>
      <c r="DR116" t="s">
        <v>442</v>
      </c>
      <c r="DS116">
        <v>3.1973099999999999</v>
      </c>
      <c r="DT116">
        <v>3.9199999999999999E-2</v>
      </c>
      <c r="DU116" t="s">
        <v>442</v>
      </c>
      <c r="DV116">
        <v>17.067679999999999</v>
      </c>
      <c r="DW116">
        <v>0.36403000000000002</v>
      </c>
      <c r="DX116" t="s">
        <v>442</v>
      </c>
      <c r="DY116">
        <v>0.12418</v>
      </c>
      <c r="DZ116">
        <v>4.4000000000000002E-4</v>
      </c>
      <c r="EA116" t="s">
        <v>442</v>
      </c>
      <c r="EB116">
        <v>0.53037000000000001</v>
      </c>
      <c r="EC116">
        <v>2.1700000000000001E-3</v>
      </c>
      <c r="ED116" t="s">
        <v>442</v>
      </c>
      <c r="EE116">
        <v>1.4103399999999999</v>
      </c>
      <c r="EF116">
        <v>4.7710000000000002E-2</v>
      </c>
      <c r="EG116" t="s">
        <v>442</v>
      </c>
      <c r="EH116">
        <v>16.883880000000001</v>
      </c>
      <c r="EI116">
        <v>0.50565000000000004</v>
      </c>
      <c r="EJ116" t="s">
        <v>442</v>
      </c>
      <c r="EM116" t="s">
        <v>440</v>
      </c>
      <c r="EN116">
        <v>1.8064</v>
      </c>
      <c r="EO116">
        <v>0.10316</v>
      </c>
      <c r="EP116" t="s">
        <v>442</v>
      </c>
      <c r="ES116" t="s">
        <v>440</v>
      </c>
      <c r="ET116">
        <v>74.789029999999997</v>
      </c>
      <c r="EU116">
        <v>1.1665000000000001</v>
      </c>
      <c r="EV116" t="s">
        <v>442</v>
      </c>
      <c r="EW116">
        <v>2.1900000000000001E-3</v>
      </c>
      <c r="EX116">
        <v>2.5999999999999999E-3</v>
      </c>
      <c r="EY116" t="s">
        <v>439</v>
      </c>
      <c r="EZ116">
        <v>81.685329999999993</v>
      </c>
      <c r="FA116">
        <v>1.0669299999999999</v>
      </c>
      <c r="FB116" t="s">
        <v>442</v>
      </c>
      <c r="FC116">
        <v>4.8671100000000003</v>
      </c>
      <c r="FD116">
        <v>0.58970999999999996</v>
      </c>
      <c r="FE116" t="s">
        <v>442</v>
      </c>
      <c r="FF116">
        <v>9.7007899999999996</v>
      </c>
      <c r="FG116">
        <v>0.44174999999999998</v>
      </c>
      <c r="FH116" t="s">
        <v>441</v>
      </c>
      <c r="FK116" t="s">
        <v>440</v>
      </c>
      <c r="FN116" t="s">
        <v>440</v>
      </c>
      <c r="FO116">
        <v>1.93119</v>
      </c>
      <c r="FP116">
        <v>3.5610000000000003E-2</v>
      </c>
      <c r="FQ116" t="s">
        <v>441</v>
      </c>
      <c r="FT116" t="s">
        <v>440</v>
      </c>
      <c r="FX116">
        <v>115</v>
      </c>
    </row>
    <row r="117" spans="2:180" x14ac:dyDescent="0.2">
      <c r="B117" t="s">
        <v>183</v>
      </c>
      <c r="C117">
        <v>8.9770000000000003E-2</v>
      </c>
      <c r="D117">
        <v>2.0100000000000001E-3</v>
      </c>
      <c r="E117" t="s">
        <v>448</v>
      </c>
      <c r="F117">
        <v>2.904E-2</v>
      </c>
      <c r="G117">
        <v>5.3299999999999997E-3</v>
      </c>
      <c r="H117" t="s">
        <v>448</v>
      </c>
      <c r="I117">
        <v>9.6030000000000004E-2</v>
      </c>
      <c r="J117">
        <v>3.8999999999999999E-4</v>
      </c>
      <c r="K117" t="s">
        <v>448</v>
      </c>
      <c r="L117">
        <v>1.15384</v>
      </c>
      <c r="M117">
        <v>7.6400000000000001E-3</v>
      </c>
      <c r="N117" t="s">
        <v>448</v>
      </c>
      <c r="O117">
        <v>6.0630000000000003E-2</v>
      </c>
      <c r="P117">
        <v>8.8999999999999995E-4</v>
      </c>
      <c r="Q117" t="s">
        <v>447</v>
      </c>
      <c r="R117">
        <v>9.5850000000000005E-2</v>
      </c>
      <c r="S117">
        <v>1.3699999999999999E-3</v>
      </c>
      <c r="T117" t="s">
        <v>448</v>
      </c>
      <c r="U117">
        <v>1.42E-3</v>
      </c>
      <c r="V117">
        <v>8.0000000000000007E-5</v>
      </c>
      <c r="W117" t="s">
        <v>450</v>
      </c>
      <c r="X117">
        <v>1.491E-2</v>
      </c>
      <c r="Y117">
        <v>2.7E-4</v>
      </c>
      <c r="Z117" t="s">
        <v>450</v>
      </c>
      <c r="AA117">
        <v>4.036E-2</v>
      </c>
      <c r="AB117">
        <v>1.01E-3</v>
      </c>
      <c r="AC117" t="s">
        <v>448</v>
      </c>
      <c r="AD117">
        <v>0.44658999999999999</v>
      </c>
      <c r="AE117">
        <v>7.3200000000000001E-3</v>
      </c>
      <c r="AF117" t="s">
        <v>448</v>
      </c>
      <c r="AI117" t="s">
        <v>440</v>
      </c>
      <c r="AJ117">
        <v>0.23780000000000001</v>
      </c>
      <c r="AK117">
        <v>3.49E-3</v>
      </c>
      <c r="AL117" t="s">
        <v>449</v>
      </c>
      <c r="AM117">
        <v>0.17741000000000001</v>
      </c>
      <c r="AN117">
        <v>2.8400000000000001E-3</v>
      </c>
      <c r="AO117" t="s">
        <v>448</v>
      </c>
      <c r="AP117">
        <v>-7.6699999999999997E-3</v>
      </c>
      <c r="AQ117">
        <v>1.1E-4</v>
      </c>
      <c r="AR117" t="s">
        <v>450</v>
      </c>
      <c r="AS117">
        <v>3.6503399999999999</v>
      </c>
      <c r="AT117">
        <v>6.1179999999999998E-2</v>
      </c>
      <c r="AU117" t="s">
        <v>448</v>
      </c>
      <c r="AV117">
        <v>0.11151999999999999</v>
      </c>
      <c r="AW117">
        <v>1.8799999999999999E-3</v>
      </c>
      <c r="AX117" t="s">
        <v>447</v>
      </c>
      <c r="AY117">
        <v>0.15013000000000001</v>
      </c>
      <c r="AZ117">
        <v>1.1000000000000001E-3</v>
      </c>
      <c r="BA117" t="s">
        <v>447</v>
      </c>
      <c r="BB117">
        <v>9.1889999999999999E-2</v>
      </c>
      <c r="BC117">
        <v>2.3500000000000001E-3</v>
      </c>
      <c r="BD117" t="s">
        <v>447</v>
      </c>
      <c r="BE117">
        <v>1.668E-2</v>
      </c>
      <c r="BF117">
        <v>5.9000000000000003E-4</v>
      </c>
      <c r="BG117" t="s">
        <v>447</v>
      </c>
      <c r="BH117">
        <v>1.7749999999999998E-2</v>
      </c>
      <c r="BI117">
        <v>5.0000000000000001E-4</v>
      </c>
      <c r="BJ117" t="s">
        <v>447</v>
      </c>
      <c r="BK117">
        <v>3.5999999999999999E-3</v>
      </c>
      <c r="BL117">
        <v>6.0000000000000002E-5</v>
      </c>
      <c r="BM117" t="s">
        <v>447</v>
      </c>
      <c r="BN117">
        <v>1.001E-2</v>
      </c>
      <c r="BO117">
        <v>4.0999999999999999E-4</v>
      </c>
      <c r="BP117" t="s">
        <v>447</v>
      </c>
      <c r="BQ117">
        <v>6.5700000000000003E-3</v>
      </c>
      <c r="BR117">
        <v>8.0000000000000004E-4</v>
      </c>
      <c r="BS117" t="s">
        <v>447</v>
      </c>
      <c r="BV117" t="s">
        <v>440</v>
      </c>
      <c r="BW117">
        <v>-2.0509200000000001</v>
      </c>
      <c r="BX117">
        <v>2.7999999999999998E-4</v>
      </c>
      <c r="BY117" t="s">
        <v>450</v>
      </c>
      <c r="BZ117">
        <v>1.243E-2</v>
      </c>
      <c r="CA117">
        <v>3.2000000000000003E-4</v>
      </c>
      <c r="CB117" t="s">
        <v>448</v>
      </c>
      <c r="CC117">
        <v>41.981229999999996</v>
      </c>
      <c r="CD117">
        <v>1.1265099999999999</v>
      </c>
      <c r="CE117" t="s">
        <v>448</v>
      </c>
      <c r="CF117">
        <v>38.295430000000003</v>
      </c>
      <c r="CG117">
        <v>8.133E-2</v>
      </c>
      <c r="CH117" t="s">
        <v>448</v>
      </c>
      <c r="CI117">
        <v>40.52467</v>
      </c>
      <c r="CJ117">
        <v>0.55591999999999997</v>
      </c>
      <c r="CK117" t="s">
        <v>448</v>
      </c>
      <c r="CL117">
        <v>3.3450000000000001E-2</v>
      </c>
      <c r="CM117">
        <v>1.4599999999999999E-3</v>
      </c>
      <c r="CN117" t="s">
        <v>447</v>
      </c>
      <c r="CO117">
        <v>13.98274</v>
      </c>
      <c r="CP117">
        <v>0.66513</v>
      </c>
      <c r="CQ117" t="s">
        <v>448</v>
      </c>
      <c r="CR117">
        <v>44.066310000000001</v>
      </c>
      <c r="CS117">
        <v>1.9091899999999999</v>
      </c>
      <c r="CT117" t="s">
        <v>448</v>
      </c>
      <c r="CU117">
        <v>61.117530000000002</v>
      </c>
      <c r="CV117">
        <v>3.0402200000000001</v>
      </c>
      <c r="CW117" t="s">
        <v>448</v>
      </c>
      <c r="CX117">
        <v>58.315950000000001</v>
      </c>
      <c r="CY117">
        <v>2.67299</v>
      </c>
      <c r="CZ117" t="s">
        <v>448</v>
      </c>
      <c r="DA117">
        <v>47.804859999999998</v>
      </c>
      <c r="DB117">
        <v>2.35134</v>
      </c>
      <c r="DC117" t="s">
        <v>447</v>
      </c>
      <c r="DD117">
        <v>444.78622000000001</v>
      </c>
      <c r="DE117">
        <v>15.448919999999999</v>
      </c>
      <c r="DF117" t="s">
        <v>447</v>
      </c>
      <c r="DG117">
        <v>402.75373000000002</v>
      </c>
      <c r="DH117">
        <v>17.713170000000002</v>
      </c>
      <c r="DI117" t="s">
        <v>448</v>
      </c>
      <c r="DJ117">
        <v>2.33345</v>
      </c>
      <c r="DK117">
        <v>6.2939999999999996E-2</v>
      </c>
      <c r="DL117" t="s">
        <v>447</v>
      </c>
      <c r="DM117">
        <v>0.60933999999999999</v>
      </c>
      <c r="DN117">
        <v>2.896E-2</v>
      </c>
      <c r="DO117" t="s">
        <v>448</v>
      </c>
      <c r="DP117">
        <v>0.42054000000000002</v>
      </c>
      <c r="DQ117">
        <v>7.28E-3</v>
      </c>
      <c r="DR117" t="s">
        <v>448</v>
      </c>
      <c r="DS117">
        <v>4.16066</v>
      </c>
      <c r="DT117">
        <v>9.1079999999999994E-2</v>
      </c>
      <c r="DU117" t="s">
        <v>448</v>
      </c>
      <c r="DV117">
        <v>102.05568</v>
      </c>
      <c r="DW117">
        <v>2.4935200000000002</v>
      </c>
      <c r="DX117" t="s">
        <v>448</v>
      </c>
      <c r="DY117">
        <v>6.182E-2</v>
      </c>
      <c r="DZ117">
        <v>1.07E-3</v>
      </c>
      <c r="EA117" t="s">
        <v>448</v>
      </c>
      <c r="EB117">
        <v>0.32712999999999998</v>
      </c>
      <c r="EC117">
        <v>1.2330000000000001E-2</v>
      </c>
      <c r="ED117" t="s">
        <v>448</v>
      </c>
      <c r="EE117">
        <v>3.5949599999999999</v>
      </c>
      <c r="EF117">
        <v>9.0219999999999995E-2</v>
      </c>
      <c r="EG117" t="s">
        <v>448</v>
      </c>
      <c r="EH117">
        <v>28.376190000000001</v>
      </c>
      <c r="EI117">
        <v>0.66144000000000003</v>
      </c>
      <c r="EJ117" t="s">
        <v>448</v>
      </c>
      <c r="EM117" t="s">
        <v>440</v>
      </c>
      <c r="EN117">
        <v>0.18697</v>
      </c>
      <c r="EO117">
        <v>9.41E-3</v>
      </c>
      <c r="EP117" t="s">
        <v>447</v>
      </c>
      <c r="ES117" t="s">
        <v>440</v>
      </c>
      <c r="ET117">
        <v>34.83925</v>
      </c>
      <c r="EU117">
        <v>0.77019000000000004</v>
      </c>
      <c r="EV117" t="s">
        <v>448</v>
      </c>
      <c r="EW117">
        <v>7.2059999999999999E-2</v>
      </c>
      <c r="EX117">
        <v>2.2200000000000002E-3</v>
      </c>
      <c r="EY117" t="s">
        <v>447</v>
      </c>
      <c r="EZ117">
        <v>0.60818000000000005</v>
      </c>
      <c r="FA117">
        <v>9.5099999999999994E-3</v>
      </c>
      <c r="FB117" t="s">
        <v>448</v>
      </c>
      <c r="FC117">
        <v>5.2048500000000004</v>
      </c>
      <c r="FD117">
        <v>0.23238</v>
      </c>
      <c r="FE117" t="s">
        <v>448</v>
      </c>
      <c r="FF117">
        <v>10.850350000000001</v>
      </c>
      <c r="FG117">
        <v>0.78305000000000002</v>
      </c>
      <c r="FH117" t="s">
        <v>452</v>
      </c>
      <c r="FK117" t="s">
        <v>440</v>
      </c>
      <c r="FN117" t="s">
        <v>440</v>
      </c>
      <c r="FO117">
        <v>0.21626999999999999</v>
      </c>
      <c r="FP117">
        <v>2.0539999999999999E-2</v>
      </c>
      <c r="FQ117" t="s">
        <v>449</v>
      </c>
      <c r="FT117" t="s">
        <v>440</v>
      </c>
      <c r="FU117">
        <v>1</v>
      </c>
      <c r="FX117">
        <v>116</v>
      </c>
    </row>
    <row r="118" spans="2:180" x14ac:dyDescent="0.2">
      <c r="B118" t="s">
        <v>184</v>
      </c>
      <c r="C118">
        <v>4.2209999999999998E-2</v>
      </c>
      <c r="D118">
        <v>1.08E-3</v>
      </c>
      <c r="E118" t="e">
        <f>IF((ABS($C$118-$C$110)/(($C$118+$C$110)/2)) &lt;#REF!, "Dp","Df")</f>
        <v>#REF!</v>
      </c>
      <c r="F118">
        <v>1.324E-2</v>
      </c>
      <c r="G118">
        <v>1.72E-3</v>
      </c>
      <c r="H118" t="e">
        <f>IF((ABS($F$118-$F$110)/(($F$118+$F$110)/2)) &lt;#REF!, "Dp","Df")</f>
        <v>#REF!</v>
      </c>
      <c r="I118">
        <v>0.21543000000000001</v>
      </c>
      <c r="J118">
        <v>3.16E-3</v>
      </c>
      <c r="K118" t="e">
        <f>IF((ABS($I$118-$I$110)/(($I$118+$I$110)/2)) &lt;#REF!, "Dp","Df")</f>
        <v>#REF!</v>
      </c>
      <c r="L118">
        <v>9.0609999999999996E-2</v>
      </c>
      <c r="M118">
        <v>2.2300000000000002E-3</v>
      </c>
      <c r="N118" t="e">
        <f>IF((ABS($L$118-$L$110)/(($L$118+$L$110)/2)) &lt;#REF!, "Dp","Df")</f>
        <v>#REF!</v>
      </c>
      <c r="O118">
        <v>4.62E-3</v>
      </c>
      <c r="P118">
        <v>1E-4</v>
      </c>
      <c r="Q118" t="e">
        <f>IF((ABS($O$118-$O$110)/(($O$118+$O$110)/2)) &lt;#REF!, "Dp","Df")</f>
        <v>#REF!</v>
      </c>
      <c r="R118">
        <v>5.8500000000000003E-2</v>
      </c>
      <c r="S118">
        <v>4.2999999999999999E-4</v>
      </c>
      <c r="T118" t="e">
        <f>IF((ABS($R$118-$R$110)/(($R$118+$R$110)/2)) &lt;#REF!, "Dp","Df")</f>
        <v>#REF!</v>
      </c>
      <c r="U118">
        <v>4.0999999999999999E-4</v>
      </c>
      <c r="V118">
        <v>5.0000000000000002E-5</v>
      </c>
      <c r="W118" t="e">
        <f>IF((ABS($U$118-$U$110)/(($U$118+$U$110)/2)) &lt;#REF!, "Dp","Df")</f>
        <v>#REF!</v>
      </c>
      <c r="X118">
        <v>9.9600000000000001E-3</v>
      </c>
      <c r="Y118">
        <v>2.7E-4</v>
      </c>
      <c r="Z118" t="e">
        <f>IF((ABS($X$118-$X$110)/(($X$118+$X$110)/2)) &lt;#REF!, "Dp","Df")</f>
        <v>#REF!</v>
      </c>
      <c r="AA118">
        <v>2.606E-2</v>
      </c>
      <c r="AB118">
        <v>3.6999999999999999E-4</v>
      </c>
      <c r="AC118" t="e">
        <f>IF((ABS($AA$118-$AA$110)/(($AA$118+$AA$110)/2)) &lt;#REF!, "Dp","Df")</f>
        <v>#REF!</v>
      </c>
      <c r="AD118">
        <v>0.11814</v>
      </c>
      <c r="AE118">
        <v>4.1999999999999997E-3</v>
      </c>
      <c r="AF118" t="e">
        <f>IF((ABS($AD$118-$AD$110)/(($AD$118+$AD$110)/2)) &lt;#REF!, "Dp","Df")</f>
        <v>#REF!</v>
      </c>
      <c r="AI118" t="e">
        <f>IF((ABS($AG$118-$AG$110)/(($AG$118+$AG$110)/2)) &lt;#REF!, "Dp","Df")</f>
        <v>#DIV/0!</v>
      </c>
      <c r="AJ118">
        <v>2.6067100000000001</v>
      </c>
      <c r="AK118">
        <v>3.9919999999999997E-2</v>
      </c>
      <c r="AL118" t="e">
        <f>IF((ABS($AJ$118-$AJ$110)/(($AJ$118+$AJ$110)/2)) &lt;#REF!, "Dp","Df")</f>
        <v>#REF!</v>
      </c>
      <c r="AM118">
        <v>13.712289999999999</v>
      </c>
      <c r="AN118">
        <v>0.19511999999999999</v>
      </c>
      <c r="AO118" t="e">
        <f>IF((ABS($AM$118-$AM$110)/(($AM$118+$AM$110)/2)) &lt;#REF!, "Dp","Df")</f>
        <v>#REF!</v>
      </c>
      <c r="AP118">
        <v>-5.6100000000000004E-3</v>
      </c>
      <c r="AQ118">
        <v>8.0000000000000007E-5</v>
      </c>
      <c r="AR118" t="e">
        <f>IF((ABS($AP$118-$AP$110)/(($AP$118+$AP$110)/2)) &lt;#REF!, "Dp","Df")</f>
        <v>#REF!</v>
      </c>
      <c r="AS118">
        <v>0.49574000000000001</v>
      </c>
      <c r="AT118">
        <v>5.1799999999999997E-3</v>
      </c>
      <c r="AU118" t="e">
        <f>IF((ABS($AS$118-$AS$110)/(($AS$118+$AS$110)/2)) &lt;#REF!, "Dp","Df")</f>
        <v>#REF!</v>
      </c>
      <c r="AV118">
        <v>1.1299999999999999E-3</v>
      </c>
      <c r="AW118">
        <v>1.1E-4</v>
      </c>
      <c r="AX118" t="e">
        <f>IF((ABS($AV$118-$AV$110)/(($AV$118+$AV$110)/2)) &lt;#REF!, "Dp","Df")</f>
        <v>#REF!</v>
      </c>
      <c r="AY118">
        <v>-1.6199999999999999E-3</v>
      </c>
      <c r="AZ118">
        <v>1.1E-4</v>
      </c>
      <c r="BA118" t="e">
        <f>IF((ABS($AY$118-$AY$110)/(($AY$118+$AY$110)/2)) &lt;#REF!, "Dp","Df")</f>
        <v>#REF!</v>
      </c>
      <c r="BB118">
        <v>3.5400000000000002E-3</v>
      </c>
      <c r="BC118">
        <v>3.1E-4</v>
      </c>
      <c r="BD118" t="e">
        <f>IF((ABS($BB$118-$BB$110)/(($BB$118+$BB$110)/2)) &lt;#REF!, "Dp","Df")</f>
        <v>#REF!</v>
      </c>
      <c r="BE118">
        <v>7.5000000000000002E-4</v>
      </c>
      <c r="BF118">
        <v>1.4999999999999999E-4</v>
      </c>
      <c r="BG118" t="e">
        <f>IF((ABS($BE$118-$BE$110)/(($BE$118+$BE$110)/2)) &lt;#REF!, "Dp","Df")</f>
        <v>#REF!</v>
      </c>
      <c r="BH118">
        <v>2.9999999999999997E-4</v>
      </c>
      <c r="BI118">
        <v>3.3E-4</v>
      </c>
      <c r="BJ118" t="e">
        <f>IF((ABS($BH$118-$BH$110)/(($BH$118+$BH$110)/2)) &lt;#REF!, "Dp","Df")</f>
        <v>#REF!</v>
      </c>
      <c r="BK118">
        <v>1.5200000000000001E-3</v>
      </c>
      <c r="BL118">
        <v>3.0000000000000001E-5</v>
      </c>
      <c r="BM118" t="e">
        <f>IF((ABS($BK$118-$BK$110)/(($BK$118+$BK$110)/2)) &lt;#REF!, "Dp","Df")</f>
        <v>#REF!</v>
      </c>
      <c r="BN118">
        <v>-2.9999999999999997E-4</v>
      </c>
      <c r="BO118">
        <v>4.0000000000000003E-5</v>
      </c>
      <c r="BP118" t="e">
        <f>IF((ABS($BN$118-$BN$110)/(($BN$118+$BN$110)/2)) &lt;#REF!, "Dp","Df")</f>
        <v>#REF!</v>
      </c>
      <c r="BQ118">
        <v>5.9999999999999995E-4</v>
      </c>
      <c r="BR118">
        <v>2.4000000000000001E-4</v>
      </c>
      <c r="BS118" t="e">
        <f>IF((ABS($BQ$118-$BQ$110)/(($BQ$118+$BQ$110)/2)) &lt;#REF!, "Dp","Df")</f>
        <v>#REF!</v>
      </c>
      <c r="BV118" t="e">
        <f>IF((ABS($BT$118-$BT$110)/(($BT$118+$BT$110)/2)) &lt;#REF!, "Dp","Df")</f>
        <v>#DIV/0!</v>
      </c>
      <c r="BW118">
        <v>-2.0534300000000001</v>
      </c>
      <c r="BX118">
        <v>3.8999999999999999E-4</v>
      </c>
      <c r="BY118" t="e">
        <f>IF((ABS($BW$118-$BW$110)/(($BW$118+$BW$110)/2)) &lt;#REF!, "Dp","Df")</f>
        <v>#REF!</v>
      </c>
      <c r="BZ118">
        <v>5.2500000000000003E-3</v>
      </c>
      <c r="CA118">
        <v>4.0000000000000003E-5</v>
      </c>
      <c r="CB118" t="e">
        <f>IF((ABS($BZ$118-$BZ$110)/(($BZ$118+$BZ$110)/2)) &lt;#REF!, "Dp","Df")</f>
        <v>#REF!</v>
      </c>
      <c r="CC118">
        <v>0.68928</v>
      </c>
      <c r="CD118">
        <v>9.4800000000000006E-3</v>
      </c>
      <c r="CE118" t="e">
        <f>IF((ABS($CC$118-$CC$110)/(($CC$118+$CC$110)/2)) &lt;#REF!, "Dp","Df")</f>
        <v>#REF!</v>
      </c>
      <c r="CF118">
        <v>0.68625999999999998</v>
      </c>
      <c r="CG118">
        <v>1.924E-2</v>
      </c>
      <c r="CH118" t="e">
        <f>IF((ABS($CF$118-$CF$110)/(($CF$118+$CF$110)/2)) &lt;#REF!, "Dp","Df")</f>
        <v>#REF!</v>
      </c>
      <c r="CI118">
        <v>0.68369000000000002</v>
      </c>
      <c r="CJ118">
        <v>1.0019999999999999E-2</v>
      </c>
      <c r="CK118" t="e">
        <f>IF((ABS($CI$118-$CI$110)/(($CI$118+$CI$110)/2)) &lt;#REF!, "Dp","Df")</f>
        <v>#REF!</v>
      </c>
      <c r="CL118">
        <v>6.6479999999999997E-2</v>
      </c>
      <c r="CM118">
        <v>1.4400000000000001E-3</v>
      </c>
      <c r="CN118" t="e">
        <f>IF((ABS($CL$118-$CL$110)/(($CL$118+$CL$110)/2)) &lt;#REF!, "Dp","Df")</f>
        <v>#REF!</v>
      </c>
      <c r="CO118">
        <v>40.842460000000003</v>
      </c>
      <c r="CP118">
        <v>0.84116000000000002</v>
      </c>
      <c r="CQ118" t="e">
        <f>IF((ABS($CO$118-$CO$110)/(($CO$118+$CO$110)/2)) &lt;#REF!, "Dp","Df")</f>
        <v>#REF!</v>
      </c>
      <c r="CR118">
        <v>4.0390300000000003</v>
      </c>
      <c r="CS118">
        <v>0.13564000000000001</v>
      </c>
      <c r="CT118" t="e">
        <f>IF((ABS($CR$118-$CR$110)/(($CR$118+$CR$110)/2)) &lt;#REF!, "Dp","Df")</f>
        <v>#REF!</v>
      </c>
      <c r="CU118">
        <v>6.3968100000000003</v>
      </c>
      <c r="CV118">
        <v>0.24152000000000001</v>
      </c>
      <c r="CW118" t="e">
        <f>IF((ABS($CU$118-$CU$110)/(($CU$118+$CU$110)/2)) &lt;#REF!, "Dp","Df")</f>
        <v>#REF!</v>
      </c>
      <c r="CX118">
        <v>24.080159999999999</v>
      </c>
      <c r="CY118">
        <v>0.70404999999999995</v>
      </c>
      <c r="CZ118" t="e">
        <f>IF((ABS($CX$118-$CX$110)/(($CX$118+$CX$110)/2)) &lt;#REF!, "Dp","Df")</f>
        <v>#REF!</v>
      </c>
      <c r="DA118">
        <v>11.96217</v>
      </c>
      <c r="DB118">
        <v>0.55586999999999998</v>
      </c>
      <c r="DC118" t="e">
        <f>IF((ABS($DA$118-$DA$110)/(($DA$118+$DA$110)/2)) &lt;#REF!, "Dp","Df")</f>
        <v>#REF!</v>
      </c>
      <c r="DD118">
        <v>41.908819999999999</v>
      </c>
      <c r="DE118">
        <v>1.0729900000000001</v>
      </c>
      <c r="DF118" t="e">
        <f>IF((ABS($DD$118-$DD$110)/(($DD$118+$DD$110)/2)) &lt;#REF!, "Dp","Df")</f>
        <v>#REF!</v>
      </c>
      <c r="DG118">
        <v>42.784820000000003</v>
      </c>
      <c r="DH118">
        <v>1.17788</v>
      </c>
      <c r="DI118" t="e">
        <f>IF((ABS($DG$118-$DG$110)/(($DG$118+$DG$110)/2)) &lt;#REF!, "Dp","Df")</f>
        <v>#REF!</v>
      </c>
      <c r="DJ118">
        <v>0.14692</v>
      </c>
      <c r="DK118">
        <v>9.0399999999999994E-3</v>
      </c>
      <c r="DL118" t="e">
        <f>IF((ABS($DJ$118-$DJ$110)/(($DJ$118+$DJ$110)/2)) &lt;#REF!, "Dp","Df")</f>
        <v>#REF!</v>
      </c>
      <c r="DM118">
        <v>8.8900000000000003E-3</v>
      </c>
      <c r="DN118">
        <v>1.4499999999999999E-3</v>
      </c>
      <c r="DO118" t="e">
        <f>IF((ABS($DM$118-$DM$110)/(($DM$118+$DM$110)/2)) &lt;#REF!, "Dp","Df")</f>
        <v>#REF!</v>
      </c>
      <c r="DP118">
        <v>1.2143699999999999</v>
      </c>
      <c r="DQ118">
        <v>2.2089999999999999E-2</v>
      </c>
      <c r="DR118" t="e">
        <f>IF((ABS($DP$118-$DP$110)/(($DP$118+$DP$110)/2)) &lt;#REF!, "Dp","Df")</f>
        <v>#REF!</v>
      </c>
      <c r="DS118">
        <v>0.92166999999999999</v>
      </c>
      <c r="DT118">
        <v>3.2750000000000001E-2</v>
      </c>
      <c r="DU118" t="e">
        <f>IF((ABS($DS$118-$DS$110)/(($DS$118+$DS$110)/2)) &lt;#REF!, "Dp","Df")</f>
        <v>#REF!</v>
      </c>
      <c r="DV118">
        <v>6.0702199999999999</v>
      </c>
      <c r="DW118">
        <v>0.17312</v>
      </c>
      <c r="DX118" t="e">
        <f>IF((ABS($DV$118-$DV$110)/(($DV$118+$DV$110)/2)) &lt;#REF!, "Dp","Df")</f>
        <v>#REF!</v>
      </c>
      <c r="DY118">
        <v>4.2500000000000003E-2</v>
      </c>
      <c r="DZ118">
        <v>2.66E-3</v>
      </c>
      <c r="EA118" t="e">
        <f>IF((ABS($DY$118-$DY$110)/(($DY$118+$DY$110)/2)) &lt;#REF!, "Dp","Df")</f>
        <v>#REF!</v>
      </c>
      <c r="EB118">
        <v>1.20604</v>
      </c>
      <c r="EC118">
        <v>2.9340000000000001E-2</v>
      </c>
      <c r="ED118" t="e">
        <f>IF((ABS($EB$118-$EB$110)/(($EB$118+$EB$110)/2)) &lt;#REF!, "Dp","Df")</f>
        <v>#REF!</v>
      </c>
      <c r="EE118">
        <v>0.79798000000000002</v>
      </c>
      <c r="EF118">
        <v>1.984E-2</v>
      </c>
      <c r="EG118" t="e">
        <f>IF((ABS($EE$118-$EE$110)/(($EE$118+$EE$110)/2)) &lt;#REF!, "Dp","Df")</f>
        <v>#REF!</v>
      </c>
      <c r="EH118">
        <v>183.64105000000001</v>
      </c>
      <c r="EI118">
        <v>2.6892800000000001</v>
      </c>
      <c r="EJ118" t="e">
        <f>IF((ABS($EH$118-$EH$110)/(($EH$118+$EH$110)/2)) &lt;#REF!, "Dp","Df")</f>
        <v>#REF!</v>
      </c>
      <c r="EM118" t="e">
        <f>IF((ABS($EK$118-$EK$110)/(($EK$118+$EK$110)/2)) &lt;#REF!, "Dp","Df")</f>
        <v>#DIV/0!</v>
      </c>
      <c r="EN118">
        <v>2.7845399999999998</v>
      </c>
      <c r="EO118">
        <v>6.7830000000000001E-2</v>
      </c>
      <c r="EP118" t="e">
        <f>IF((ABS($EN$118-$EN$110)/(($EN$118+$EN$110)/2)) &lt;#REF!, "Dp","Df")</f>
        <v>#REF!</v>
      </c>
      <c r="ES118" t="e">
        <f>IF((ABS($EQ$118-$EQ$110)/(($EQ$118+$EQ$110)/2)) &lt;#REF!, "Dp","Df")</f>
        <v>#DIV/0!</v>
      </c>
      <c r="ET118">
        <v>65.657660000000007</v>
      </c>
      <c r="EU118">
        <v>1.31809</v>
      </c>
      <c r="EV118" t="e">
        <f>IF((ABS($ET$118-$ET$110)/(($ET$118+$ET$110)/2)) &lt;#REF!, "Dp","Df")</f>
        <v>#REF!</v>
      </c>
      <c r="EW118">
        <v>1.1520000000000001E-2</v>
      </c>
      <c r="EX118">
        <v>5.96E-3</v>
      </c>
      <c r="EY118" t="e">
        <f>IF((ABS($EW$118-$EW$110)/(($EW$118+$EW$110)/2)) &lt;#REF!, "Dp","Df")</f>
        <v>#REF!</v>
      </c>
      <c r="EZ118">
        <v>7.9288699999999999</v>
      </c>
      <c r="FA118">
        <v>0.14895</v>
      </c>
      <c r="FB118" t="e">
        <f>IF((ABS($EZ$118-$EZ$110)/(($EZ$118+$EZ$110)/2)) &lt;#REF!, "Dp","Df")</f>
        <v>#REF!</v>
      </c>
      <c r="FC118">
        <v>0.81301999999999996</v>
      </c>
      <c r="FD118">
        <v>0.21847</v>
      </c>
      <c r="FE118" t="e">
        <f>IF((ABS($FC$118-$FC$110)/(($FC$118+$FC$110)/2)) &lt;#REF!, "Dp","Df")</f>
        <v>#REF!</v>
      </c>
      <c r="FF118">
        <v>3.2741600000000002</v>
      </c>
      <c r="FG118">
        <v>0.34762999999999999</v>
      </c>
      <c r="FH118" t="e">
        <f>IF((ABS($FF$118-$FF$110)/(($FF$118+$FF$110)/2)) &lt;#REF!, "Dp","Df")</f>
        <v>#REF!</v>
      </c>
      <c r="FK118" t="e">
        <f>IF((ABS($FI$118-$FI$110)/(($FI$118+$FI$110)/2)) &lt;#REF!, "Dp","Df")</f>
        <v>#DIV/0!</v>
      </c>
      <c r="FN118" t="e">
        <f>IF((ABS($FL$118-$FL$110)/(($FL$118+$FL$110)/2)) &lt;#REF!, "Dp","Df")</f>
        <v>#DIV/0!</v>
      </c>
      <c r="FO118">
        <v>2.83677</v>
      </c>
      <c r="FP118">
        <v>0.15159</v>
      </c>
      <c r="FQ118" t="e">
        <f>IF((ABS($FO$118-$FO$110)/(($FO$118+$FO$110)/2)) &lt;#REF!, "Dp","Df")</f>
        <v>#REF!</v>
      </c>
      <c r="FT118" t="e">
        <f>IF((ABS($FR$118-$FR$110)/(($FR$118+$FR$110)/2)) &lt;#REF!, "Dp","Df")</f>
        <v>#DIV/0!</v>
      </c>
      <c r="FU118">
        <v>2</v>
      </c>
      <c r="FX118">
        <v>117</v>
      </c>
    </row>
    <row r="119" spans="2:180" x14ac:dyDescent="0.2">
      <c r="B119" t="s">
        <v>185</v>
      </c>
      <c r="C119">
        <v>1.10629</v>
      </c>
      <c r="D119">
        <v>1.478E-2</v>
      </c>
      <c r="E119" t="s">
        <v>443</v>
      </c>
      <c r="F119">
        <v>1.11737</v>
      </c>
      <c r="G119">
        <v>3.3799999999999997E-2</v>
      </c>
      <c r="H119" t="s">
        <v>443</v>
      </c>
      <c r="I119">
        <v>1.1048500000000001</v>
      </c>
      <c r="J119">
        <v>2.197E-2</v>
      </c>
      <c r="K119" t="s">
        <v>443</v>
      </c>
      <c r="L119">
        <v>1.1386400000000001</v>
      </c>
      <c r="M119">
        <v>1.8159999999999999E-2</v>
      </c>
      <c r="N119" t="s">
        <v>443</v>
      </c>
      <c r="O119">
        <v>1.13239</v>
      </c>
      <c r="P119">
        <v>2.419E-2</v>
      </c>
      <c r="Q119" t="s">
        <v>443</v>
      </c>
      <c r="R119">
        <v>1.0947</v>
      </c>
      <c r="S119">
        <v>1.3950000000000001E-2</v>
      </c>
      <c r="T119" t="s">
        <v>443</v>
      </c>
      <c r="U119">
        <v>1.12331</v>
      </c>
      <c r="V119">
        <v>1.925E-2</v>
      </c>
      <c r="W119" t="s">
        <v>443</v>
      </c>
      <c r="X119">
        <v>1.0626199999999999</v>
      </c>
      <c r="Y119">
        <v>1.5769999999999999E-2</v>
      </c>
      <c r="Z119" t="s">
        <v>443</v>
      </c>
      <c r="AA119">
        <v>1.08822</v>
      </c>
      <c r="AB119">
        <v>1.486E-2</v>
      </c>
      <c r="AC119" t="s">
        <v>443</v>
      </c>
      <c r="AD119">
        <v>1.09751</v>
      </c>
      <c r="AE119">
        <v>3.1609999999999999E-2</v>
      </c>
      <c r="AF119" t="s">
        <v>443</v>
      </c>
      <c r="AI119" t="s">
        <v>440</v>
      </c>
      <c r="AJ119">
        <v>1.0850299999999999</v>
      </c>
      <c r="AK119">
        <v>1.695E-2</v>
      </c>
      <c r="AL119" t="s">
        <v>444</v>
      </c>
      <c r="AM119">
        <v>1.14066</v>
      </c>
      <c r="AN119">
        <v>2.0240000000000001E-2</v>
      </c>
      <c r="AO119" t="s">
        <v>443</v>
      </c>
      <c r="AP119">
        <v>1.1293500000000001</v>
      </c>
      <c r="AQ119">
        <v>2.0480000000000002E-2</v>
      </c>
      <c r="AR119" t="s">
        <v>443</v>
      </c>
      <c r="AS119">
        <v>3.85562</v>
      </c>
      <c r="AT119">
        <v>2.682E-2</v>
      </c>
      <c r="AU119" t="s">
        <v>443</v>
      </c>
      <c r="AV119">
        <v>1.12914</v>
      </c>
      <c r="AW119">
        <v>3.3849999999999998E-2</v>
      </c>
      <c r="AX119" t="s">
        <v>443</v>
      </c>
      <c r="AY119">
        <v>1.1198699999999999</v>
      </c>
      <c r="AZ119">
        <v>2.0420000000000001E-2</v>
      </c>
      <c r="BA119" t="s">
        <v>443</v>
      </c>
      <c r="BB119">
        <v>1.12005</v>
      </c>
      <c r="BC119">
        <v>2.4330000000000001E-2</v>
      </c>
      <c r="BD119" t="s">
        <v>443</v>
      </c>
      <c r="BE119">
        <v>1.1318900000000001</v>
      </c>
      <c r="BF119">
        <v>2.026E-2</v>
      </c>
      <c r="BG119" t="s">
        <v>443</v>
      </c>
      <c r="BH119">
        <v>1.1206100000000001</v>
      </c>
      <c r="BI119">
        <v>1.44E-2</v>
      </c>
      <c r="BJ119" t="s">
        <v>443</v>
      </c>
      <c r="BK119">
        <v>1.1571899999999999</v>
      </c>
      <c r="BL119">
        <v>2.2450000000000001E-2</v>
      </c>
      <c r="BM119" t="s">
        <v>443</v>
      </c>
      <c r="BN119">
        <v>1.13615</v>
      </c>
      <c r="BO119">
        <v>2.6630000000000001E-2</v>
      </c>
      <c r="BP119" t="s">
        <v>443</v>
      </c>
      <c r="BQ119">
        <v>1.1350800000000001</v>
      </c>
      <c r="BR119">
        <v>3.5990000000000001E-2</v>
      </c>
      <c r="BS119" t="s">
        <v>443</v>
      </c>
      <c r="BV119" t="s">
        <v>440</v>
      </c>
      <c r="BW119">
        <v>-1.22265</v>
      </c>
      <c r="BX119">
        <v>1.5689999999999999E-2</v>
      </c>
      <c r="BY119" t="s">
        <v>445</v>
      </c>
      <c r="BZ119">
        <v>1.1084400000000001</v>
      </c>
      <c r="CA119">
        <v>2.3369999999999998E-2</v>
      </c>
      <c r="CB119" t="s">
        <v>443</v>
      </c>
      <c r="CC119">
        <v>1.0829899999999999</v>
      </c>
      <c r="CD119">
        <v>3.0620000000000001E-2</v>
      </c>
      <c r="CE119" t="s">
        <v>443</v>
      </c>
      <c r="CF119">
        <v>1.08867</v>
      </c>
      <c r="CG119">
        <v>2.6759999999999999E-2</v>
      </c>
      <c r="CH119" t="s">
        <v>443</v>
      </c>
      <c r="CI119">
        <v>1.0985</v>
      </c>
      <c r="CJ119">
        <v>3.1919999999999997E-2</v>
      </c>
      <c r="CK119" t="s">
        <v>443</v>
      </c>
      <c r="CL119">
        <v>1.18405</v>
      </c>
      <c r="CM119">
        <v>1.8100000000000002E-2</v>
      </c>
      <c r="CN119" t="s">
        <v>443</v>
      </c>
      <c r="CO119">
        <v>6.9674500000000004</v>
      </c>
      <c r="CP119">
        <v>8.2070000000000004E-2</v>
      </c>
      <c r="CQ119" t="s">
        <v>443</v>
      </c>
      <c r="CR119">
        <v>7.8443699999999996</v>
      </c>
      <c r="CS119">
        <v>1.78E-2</v>
      </c>
      <c r="CT119" t="s">
        <v>443</v>
      </c>
      <c r="CU119">
        <v>3.8465600000000002</v>
      </c>
      <c r="CV119">
        <v>4.0039999999999999E-2</v>
      </c>
      <c r="CW119" t="s">
        <v>443</v>
      </c>
      <c r="CX119">
        <v>6.2877400000000003</v>
      </c>
      <c r="CY119">
        <v>0.26249</v>
      </c>
      <c r="CZ119" t="s">
        <v>443</v>
      </c>
      <c r="DA119">
        <v>1.08439</v>
      </c>
      <c r="DB119">
        <v>4.5859999999999998E-2</v>
      </c>
      <c r="DC119" t="s">
        <v>443</v>
      </c>
      <c r="DD119">
        <v>21.924810000000001</v>
      </c>
      <c r="DE119">
        <v>4.1360000000000001E-2</v>
      </c>
      <c r="DF119" t="s">
        <v>443</v>
      </c>
      <c r="DG119">
        <v>7.8131199999999996</v>
      </c>
      <c r="DH119">
        <v>4.1029999999999997E-2</v>
      </c>
      <c r="DI119" t="s">
        <v>443</v>
      </c>
      <c r="DJ119">
        <v>1.11513</v>
      </c>
      <c r="DK119">
        <v>1.9709999999999998E-2</v>
      </c>
      <c r="DL119" t="s">
        <v>443</v>
      </c>
      <c r="DM119">
        <v>1.12643</v>
      </c>
      <c r="DN119">
        <v>1.4840000000000001E-2</v>
      </c>
      <c r="DO119" t="s">
        <v>443</v>
      </c>
      <c r="DP119">
        <v>1.1275599999999999</v>
      </c>
      <c r="DQ119">
        <v>1.406E-2</v>
      </c>
      <c r="DR119" t="s">
        <v>443</v>
      </c>
      <c r="DS119">
        <v>1.0963099999999999</v>
      </c>
      <c r="DT119">
        <v>1.6650000000000002E-2</v>
      </c>
      <c r="DU119" t="s">
        <v>443</v>
      </c>
      <c r="DV119">
        <v>3.5002300000000002</v>
      </c>
      <c r="DW119">
        <v>4.6260000000000003E-2</v>
      </c>
      <c r="DX119" t="s">
        <v>443</v>
      </c>
      <c r="DY119">
        <v>1.11721</v>
      </c>
      <c r="DZ119">
        <v>2.0930000000000001E-2</v>
      </c>
      <c r="EA119" t="s">
        <v>443</v>
      </c>
      <c r="EB119">
        <v>1.03637</v>
      </c>
      <c r="EC119">
        <v>2.0209999999999999E-2</v>
      </c>
      <c r="ED119" t="s">
        <v>443</v>
      </c>
      <c r="EE119">
        <v>1.1029199999999999</v>
      </c>
      <c r="EF119">
        <v>1.6109999999999999E-2</v>
      </c>
      <c r="EG119" t="s">
        <v>443</v>
      </c>
      <c r="EH119">
        <v>4.8822099999999997</v>
      </c>
      <c r="EI119">
        <v>0.11713999999999999</v>
      </c>
      <c r="EJ119" t="s">
        <v>443</v>
      </c>
      <c r="EM119" t="s">
        <v>440</v>
      </c>
      <c r="EN119">
        <v>1.13408</v>
      </c>
      <c r="EO119">
        <v>2.1600000000000001E-2</v>
      </c>
      <c r="EP119" t="s">
        <v>443</v>
      </c>
      <c r="ES119" t="s">
        <v>440</v>
      </c>
      <c r="ET119">
        <v>10.73723</v>
      </c>
      <c r="EU119">
        <v>8.0790000000000001E-2</v>
      </c>
      <c r="EV119" t="s">
        <v>443</v>
      </c>
      <c r="EW119">
        <v>1.48566</v>
      </c>
      <c r="EX119">
        <v>3.6299999999999999E-2</v>
      </c>
      <c r="EY119" t="s">
        <v>443</v>
      </c>
      <c r="EZ119">
        <v>1.19642</v>
      </c>
      <c r="FA119">
        <v>4.0800000000000003E-3</v>
      </c>
      <c r="FB119" t="s">
        <v>443</v>
      </c>
      <c r="FC119">
        <v>3.3180000000000001</v>
      </c>
      <c r="FD119">
        <v>0.40917999999999999</v>
      </c>
      <c r="FE119" t="s">
        <v>443</v>
      </c>
      <c r="FF119">
        <v>8.0281000000000002</v>
      </c>
      <c r="FG119">
        <v>9.2179999999999998E-2</v>
      </c>
      <c r="FH119" t="s">
        <v>444</v>
      </c>
      <c r="FK119" t="s">
        <v>440</v>
      </c>
      <c r="FN119" t="s">
        <v>440</v>
      </c>
      <c r="FO119">
        <v>1.1656599999999999</v>
      </c>
      <c r="FP119">
        <v>2.1199999999999999E-3</v>
      </c>
      <c r="FQ119" t="s">
        <v>444</v>
      </c>
      <c r="FT119" t="s">
        <v>440</v>
      </c>
      <c r="FU119">
        <v>1</v>
      </c>
      <c r="FX119">
        <v>118</v>
      </c>
    </row>
    <row r="120" spans="2:180" x14ac:dyDescent="0.2">
      <c r="B120" t="s">
        <v>186</v>
      </c>
      <c r="C120">
        <v>3.9980000000000002E-2</v>
      </c>
      <c r="D120">
        <v>2.0600000000000002E-3</v>
      </c>
      <c r="E120" t="s">
        <v>439</v>
      </c>
      <c r="F120">
        <v>1.532E-2</v>
      </c>
      <c r="G120">
        <v>1.5100000000000001E-3</v>
      </c>
      <c r="H120" t="s">
        <v>439</v>
      </c>
      <c r="I120">
        <v>6.2500000000000003E-3</v>
      </c>
      <c r="J120">
        <v>1.3999999999999999E-4</v>
      </c>
      <c r="K120" t="s">
        <v>439</v>
      </c>
      <c r="L120">
        <v>-9.2599999999999991E-3</v>
      </c>
      <c r="M120">
        <v>2.0000000000000001E-4</v>
      </c>
      <c r="N120" t="s">
        <v>439</v>
      </c>
      <c r="O120">
        <v>3.14E-3</v>
      </c>
      <c r="P120">
        <v>2.0000000000000002E-5</v>
      </c>
      <c r="Q120" t="s">
        <v>439</v>
      </c>
      <c r="R120">
        <v>2.419E-2</v>
      </c>
      <c r="S120">
        <v>5.8E-4</v>
      </c>
      <c r="T120" t="s">
        <v>439</v>
      </c>
      <c r="U120">
        <v>5.9999999999999995E-4</v>
      </c>
      <c r="V120">
        <v>1.6000000000000001E-4</v>
      </c>
      <c r="W120" t="s">
        <v>439</v>
      </c>
      <c r="X120">
        <v>1.0149999999999999E-2</v>
      </c>
      <c r="Y120">
        <v>5.5000000000000003E-4</v>
      </c>
      <c r="Z120" t="s">
        <v>439</v>
      </c>
      <c r="AA120">
        <v>7.2500000000000004E-3</v>
      </c>
      <c r="AB120">
        <v>1.1E-4</v>
      </c>
      <c r="AC120" t="s">
        <v>439</v>
      </c>
      <c r="AD120">
        <v>8.4000000000000003E-4</v>
      </c>
      <c r="AE120">
        <v>2.9E-4</v>
      </c>
      <c r="AF120" t="s">
        <v>439</v>
      </c>
      <c r="AI120" t="s">
        <v>440</v>
      </c>
      <c r="AJ120">
        <v>4.709E-2</v>
      </c>
      <c r="AK120">
        <v>2.7999999999999998E-4</v>
      </c>
      <c r="AL120" t="s">
        <v>441</v>
      </c>
      <c r="AM120">
        <v>5.7669999999999999E-2</v>
      </c>
      <c r="AN120">
        <v>6.7000000000000002E-4</v>
      </c>
      <c r="AO120" t="s">
        <v>439</v>
      </c>
      <c r="AP120">
        <v>-1.4489999999999999E-2</v>
      </c>
      <c r="AQ120">
        <v>1.1E-4</v>
      </c>
      <c r="AR120" t="s">
        <v>439</v>
      </c>
      <c r="AS120">
        <v>3.492E-2</v>
      </c>
      <c r="AT120">
        <v>1.24E-3</v>
      </c>
      <c r="AU120" t="s">
        <v>439</v>
      </c>
      <c r="AV120">
        <v>-1.9E-3</v>
      </c>
      <c r="AW120">
        <v>2.0000000000000002E-5</v>
      </c>
      <c r="AX120" t="s">
        <v>439</v>
      </c>
      <c r="AY120">
        <v>-5.5100000000000001E-3</v>
      </c>
      <c r="AZ120">
        <v>1.0000000000000001E-5</v>
      </c>
      <c r="BA120" t="s">
        <v>439</v>
      </c>
      <c r="BB120">
        <v>1.9E-3</v>
      </c>
      <c r="BC120">
        <v>9.0000000000000006E-5</v>
      </c>
      <c r="BD120" t="s">
        <v>439</v>
      </c>
      <c r="BE120">
        <v>6.4999999999999997E-4</v>
      </c>
      <c r="BF120">
        <v>2.5000000000000001E-4</v>
      </c>
      <c r="BG120" t="s">
        <v>439</v>
      </c>
      <c r="BH120">
        <v>5.0000000000000002E-5</v>
      </c>
      <c r="BI120">
        <v>1.3999999999999999E-4</v>
      </c>
      <c r="BJ120" t="s">
        <v>439</v>
      </c>
      <c r="BK120">
        <v>1.5499999999999999E-3</v>
      </c>
      <c r="BL120">
        <v>6.0000000000000002E-5</v>
      </c>
      <c r="BM120" t="s">
        <v>439</v>
      </c>
      <c r="BN120">
        <v>-3.8999999999999999E-4</v>
      </c>
      <c r="BO120">
        <v>6.0000000000000002E-5</v>
      </c>
      <c r="BP120" t="s">
        <v>439</v>
      </c>
      <c r="BQ120">
        <v>-4.3299999999999996E-3</v>
      </c>
      <c r="BR120">
        <v>7.9000000000000001E-4</v>
      </c>
      <c r="BS120" t="s">
        <v>439</v>
      </c>
      <c r="BV120" t="s">
        <v>440</v>
      </c>
      <c r="BW120">
        <v>-2.0526200000000001</v>
      </c>
      <c r="BX120">
        <v>9.0000000000000006E-5</v>
      </c>
      <c r="BY120" t="s">
        <v>439</v>
      </c>
      <c r="BZ120">
        <v>2.9299999999999999E-3</v>
      </c>
      <c r="CA120">
        <v>3.0000000000000001E-5</v>
      </c>
      <c r="CB120" t="s">
        <v>439</v>
      </c>
      <c r="CC120">
        <v>-3.6940000000000001E-2</v>
      </c>
      <c r="CD120">
        <v>1.9000000000000001E-4</v>
      </c>
      <c r="CE120" t="s">
        <v>439</v>
      </c>
      <c r="CF120">
        <v>-1.4019999999999999E-2</v>
      </c>
      <c r="CG120">
        <v>1.2999999999999999E-4</v>
      </c>
      <c r="CH120" t="s">
        <v>439</v>
      </c>
      <c r="CI120">
        <v>-4.5960000000000001E-2</v>
      </c>
      <c r="CJ120">
        <v>6.0000000000000002E-5</v>
      </c>
      <c r="CK120" t="s">
        <v>439</v>
      </c>
      <c r="CL120">
        <v>-8.9999999999999993E-3</v>
      </c>
      <c r="CM120">
        <v>1.2E-4</v>
      </c>
      <c r="CN120" t="s">
        <v>439</v>
      </c>
      <c r="CO120">
        <v>-1.0102</v>
      </c>
      <c r="CP120">
        <v>2.2849999999999999E-2</v>
      </c>
      <c r="CQ120" t="s">
        <v>439</v>
      </c>
      <c r="CR120">
        <v>-0.15581999999999999</v>
      </c>
      <c r="CS120">
        <v>1.1429999999999999E-2</v>
      </c>
      <c r="CT120" t="s">
        <v>439</v>
      </c>
      <c r="CU120">
        <v>-0.18496000000000001</v>
      </c>
      <c r="CV120">
        <v>9.8300000000000002E-3</v>
      </c>
      <c r="CW120" t="s">
        <v>439</v>
      </c>
      <c r="CX120">
        <v>-2.8485399999999998</v>
      </c>
      <c r="CY120">
        <v>0.54583999999999999</v>
      </c>
      <c r="CZ120" t="s">
        <v>439</v>
      </c>
      <c r="DA120">
        <v>-5.8520000000000003E-2</v>
      </c>
      <c r="DB120">
        <v>1.0109999999999999E-2</v>
      </c>
      <c r="DC120" t="s">
        <v>439</v>
      </c>
      <c r="DD120">
        <v>-1.7215100000000001</v>
      </c>
      <c r="DE120">
        <v>0.10469000000000001</v>
      </c>
      <c r="DF120" t="s">
        <v>439</v>
      </c>
      <c r="DG120">
        <v>-2.128E-2</v>
      </c>
      <c r="DH120">
        <v>3.5220000000000001E-2</v>
      </c>
      <c r="DI120" t="s">
        <v>439</v>
      </c>
      <c r="DJ120">
        <v>-8.9099999999999995E-3</v>
      </c>
      <c r="DK120">
        <v>6.4000000000000005E-4</v>
      </c>
      <c r="DL120" t="s">
        <v>439</v>
      </c>
      <c r="DM120">
        <v>5.5999999999999995E-4</v>
      </c>
      <c r="DN120">
        <v>1.7000000000000001E-4</v>
      </c>
      <c r="DO120" t="s">
        <v>439</v>
      </c>
      <c r="DP120">
        <v>-8.4200000000000004E-3</v>
      </c>
      <c r="DQ120">
        <v>5.8E-4</v>
      </c>
      <c r="DR120" t="s">
        <v>439</v>
      </c>
      <c r="DS120">
        <v>-2.6689999999999998E-2</v>
      </c>
      <c r="DT120">
        <v>3.6000000000000002E-4</v>
      </c>
      <c r="DU120" t="s">
        <v>439</v>
      </c>
      <c r="DV120">
        <v>-0.29360999999999998</v>
      </c>
      <c r="DW120">
        <v>1.8500000000000001E-3</v>
      </c>
      <c r="DX120" t="s">
        <v>439</v>
      </c>
      <c r="DY120">
        <v>-6.3400000000000001E-3</v>
      </c>
      <c r="DZ120">
        <v>1.2E-4</v>
      </c>
      <c r="EA120" t="s">
        <v>439</v>
      </c>
      <c r="EB120">
        <v>1.9609999999999999E-2</v>
      </c>
      <c r="EC120">
        <v>8.1999999999999998E-4</v>
      </c>
      <c r="ED120" t="s">
        <v>439</v>
      </c>
      <c r="EE120">
        <v>-1.984E-2</v>
      </c>
      <c r="EF120">
        <v>6.4000000000000005E-4</v>
      </c>
      <c r="EG120" t="s">
        <v>439</v>
      </c>
      <c r="EH120">
        <v>5.5800000000000002E-2</v>
      </c>
      <c r="EI120">
        <v>8.5000000000000006E-3</v>
      </c>
      <c r="EJ120" t="s">
        <v>439</v>
      </c>
      <c r="EM120" t="s">
        <v>440</v>
      </c>
      <c r="EN120">
        <v>-2.009E-2</v>
      </c>
      <c r="EO120">
        <v>5.1000000000000004E-4</v>
      </c>
      <c r="EP120" t="s">
        <v>439</v>
      </c>
      <c r="ES120" t="s">
        <v>440</v>
      </c>
      <c r="ET120">
        <v>0.87780999999999998</v>
      </c>
      <c r="EU120">
        <v>5.7189999999999998E-2</v>
      </c>
      <c r="EV120" t="s">
        <v>439</v>
      </c>
      <c r="EW120">
        <v>1.2E-4</v>
      </c>
      <c r="EX120">
        <v>1.2999999999999999E-3</v>
      </c>
      <c r="EY120" t="s">
        <v>439</v>
      </c>
      <c r="EZ120">
        <v>4.6600000000000003E-2</v>
      </c>
      <c r="FA120">
        <v>1.7569999999999999E-2</v>
      </c>
      <c r="FB120" t="s">
        <v>439</v>
      </c>
      <c r="FC120">
        <v>1.05148</v>
      </c>
      <c r="FD120">
        <v>0.12809000000000001</v>
      </c>
      <c r="FE120" t="s">
        <v>439</v>
      </c>
      <c r="FF120">
        <v>4.5834900000000003</v>
      </c>
      <c r="FG120">
        <v>0.44542999999999999</v>
      </c>
      <c r="FH120" t="s">
        <v>441</v>
      </c>
      <c r="FK120" t="s">
        <v>440</v>
      </c>
      <c r="FN120" t="s">
        <v>440</v>
      </c>
      <c r="FO120">
        <v>-1.1100000000000001E-3</v>
      </c>
      <c r="FP120">
        <v>7.1000000000000002E-4</v>
      </c>
      <c r="FQ120" t="s">
        <v>441</v>
      </c>
      <c r="FT120" t="s">
        <v>440</v>
      </c>
      <c r="FX120">
        <v>119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S120"/>
  <sheetViews>
    <sheetView workbookViewId="0">
      <pane xSplit="1" ySplit="1" topLeftCell="DL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32" max="32" width="9.140625" style="27"/>
    <col min="34" max="35" width="9.140625" style="28"/>
    <col min="151" max="151" width="9.140625" style="28"/>
  </cols>
  <sheetData>
    <row r="1" spans="1:175" x14ac:dyDescent="0.2">
      <c r="A1" t="s">
        <v>260</v>
      </c>
      <c r="B1" t="s">
        <v>453</v>
      </c>
      <c r="C1" t="s">
        <v>454</v>
      </c>
      <c r="D1" t="s">
        <v>263</v>
      </c>
      <c r="E1" t="s">
        <v>455</v>
      </c>
      <c r="F1" t="s">
        <v>456</v>
      </c>
      <c r="G1" t="s">
        <v>266</v>
      </c>
      <c r="H1" t="s">
        <v>457</v>
      </c>
      <c r="I1" t="s">
        <v>458</v>
      </c>
      <c r="J1" t="s">
        <v>269</v>
      </c>
      <c r="K1" t="s">
        <v>459</v>
      </c>
      <c r="L1" t="s">
        <v>460</v>
      </c>
      <c r="M1" t="s">
        <v>272</v>
      </c>
      <c r="N1" t="s">
        <v>461</v>
      </c>
      <c r="O1" t="s">
        <v>462</v>
      </c>
      <c r="P1" t="s">
        <v>275</v>
      </c>
      <c r="Q1" t="s">
        <v>463</v>
      </c>
      <c r="R1" t="s">
        <v>464</v>
      </c>
      <c r="S1" t="s">
        <v>278</v>
      </c>
      <c r="T1" t="s">
        <v>465</v>
      </c>
      <c r="U1" t="s">
        <v>466</v>
      </c>
      <c r="V1" t="s">
        <v>281</v>
      </c>
      <c r="W1" t="s">
        <v>467</v>
      </c>
      <c r="X1" t="s">
        <v>468</v>
      </c>
      <c r="Y1" t="s">
        <v>284</v>
      </c>
      <c r="Z1" t="s">
        <v>469</v>
      </c>
      <c r="AA1" t="s">
        <v>470</v>
      </c>
      <c r="AB1" t="s">
        <v>287</v>
      </c>
      <c r="AC1" t="s">
        <v>471</v>
      </c>
      <c r="AD1" t="s">
        <v>472</v>
      </c>
      <c r="AE1" t="s">
        <v>290</v>
      </c>
      <c r="AF1" s="27" t="s">
        <v>473</v>
      </c>
      <c r="AG1" t="s">
        <v>474</v>
      </c>
      <c r="AH1" s="28" t="s">
        <v>293</v>
      </c>
      <c r="AI1" s="28" t="s">
        <v>475</v>
      </c>
      <c r="AJ1" t="s">
        <v>476</v>
      </c>
      <c r="AK1" t="s">
        <v>296</v>
      </c>
      <c r="AL1" t="s">
        <v>477</v>
      </c>
      <c r="AM1" t="s">
        <v>478</v>
      </c>
      <c r="AN1" t="s">
        <v>299</v>
      </c>
      <c r="AO1" t="s">
        <v>479</v>
      </c>
      <c r="AP1" t="s">
        <v>480</v>
      </c>
      <c r="AQ1" t="s">
        <v>302</v>
      </c>
      <c r="AR1" t="s">
        <v>481</v>
      </c>
      <c r="AS1" t="s">
        <v>482</v>
      </c>
      <c r="AT1" t="s">
        <v>305</v>
      </c>
      <c r="AU1" t="s">
        <v>483</v>
      </c>
      <c r="AV1" t="s">
        <v>484</v>
      </c>
      <c r="AW1" t="s">
        <v>308</v>
      </c>
      <c r="AX1" t="s">
        <v>485</v>
      </c>
      <c r="AY1" t="s">
        <v>486</v>
      </c>
      <c r="AZ1" t="s">
        <v>311</v>
      </c>
      <c r="BA1" t="s">
        <v>487</v>
      </c>
      <c r="BB1" t="s">
        <v>488</v>
      </c>
      <c r="BC1" t="s">
        <v>314</v>
      </c>
      <c r="BD1" t="s">
        <v>489</v>
      </c>
      <c r="BE1" t="s">
        <v>490</v>
      </c>
      <c r="BF1" t="s">
        <v>317</v>
      </c>
      <c r="BG1" t="s">
        <v>491</v>
      </c>
      <c r="BH1" t="s">
        <v>492</v>
      </c>
      <c r="BI1" t="s">
        <v>320</v>
      </c>
      <c r="BJ1" t="s">
        <v>493</v>
      </c>
      <c r="BK1" t="s">
        <v>494</v>
      </c>
      <c r="BL1" t="s">
        <v>323</v>
      </c>
      <c r="BM1" t="s">
        <v>495</v>
      </c>
      <c r="BN1" t="s">
        <v>496</v>
      </c>
      <c r="BO1" t="s">
        <v>326</v>
      </c>
      <c r="BP1" t="s">
        <v>497</v>
      </c>
      <c r="BQ1" t="s">
        <v>498</v>
      </c>
      <c r="BR1" t="s">
        <v>329</v>
      </c>
      <c r="BS1" t="s">
        <v>499</v>
      </c>
      <c r="BT1" t="s">
        <v>500</v>
      </c>
      <c r="BU1" t="s">
        <v>332</v>
      </c>
      <c r="BV1" t="s">
        <v>501</v>
      </c>
      <c r="BW1" t="s">
        <v>502</v>
      </c>
      <c r="BX1" t="s">
        <v>335</v>
      </c>
      <c r="BY1" t="s">
        <v>503</v>
      </c>
      <c r="BZ1" t="s">
        <v>504</v>
      </c>
      <c r="CA1" t="s">
        <v>338</v>
      </c>
      <c r="CB1" t="s">
        <v>505</v>
      </c>
      <c r="CC1" t="s">
        <v>506</v>
      </c>
      <c r="CD1" t="s">
        <v>341</v>
      </c>
      <c r="CE1" t="s">
        <v>507</v>
      </c>
      <c r="CF1" t="s">
        <v>508</v>
      </c>
      <c r="CG1" t="s">
        <v>344</v>
      </c>
      <c r="CH1" t="s">
        <v>509</v>
      </c>
      <c r="CI1" t="s">
        <v>510</v>
      </c>
      <c r="CJ1" t="s">
        <v>347</v>
      </c>
      <c r="CK1" t="s">
        <v>511</v>
      </c>
      <c r="CL1" t="s">
        <v>512</v>
      </c>
      <c r="CM1" t="s">
        <v>350</v>
      </c>
      <c r="CN1" t="s">
        <v>513</v>
      </c>
      <c r="CO1" t="s">
        <v>514</v>
      </c>
      <c r="CP1" t="s">
        <v>353</v>
      </c>
      <c r="CQ1" t="s">
        <v>515</v>
      </c>
      <c r="CR1" t="s">
        <v>516</v>
      </c>
      <c r="CS1" t="s">
        <v>356</v>
      </c>
      <c r="CT1" t="s">
        <v>517</v>
      </c>
      <c r="CU1" t="s">
        <v>518</v>
      </c>
      <c r="CV1" t="s">
        <v>359</v>
      </c>
      <c r="CW1" t="s">
        <v>519</v>
      </c>
      <c r="CX1" t="s">
        <v>520</v>
      </c>
      <c r="CY1" t="s">
        <v>362</v>
      </c>
      <c r="CZ1" t="s">
        <v>521</v>
      </c>
      <c r="DA1" t="s">
        <v>522</v>
      </c>
      <c r="DB1" t="s">
        <v>365</v>
      </c>
      <c r="DC1" t="s">
        <v>523</v>
      </c>
      <c r="DD1" t="s">
        <v>524</v>
      </c>
      <c r="DE1" t="s">
        <v>368</v>
      </c>
      <c r="DF1" t="s">
        <v>525</v>
      </c>
      <c r="DG1" t="s">
        <v>526</v>
      </c>
      <c r="DH1" t="s">
        <v>371</v>
      </c>
      <c r="DI1" t="s">
        <v>527</v>
      </c>
      <c r="DJ1" t="s">
        <v>528</v>
      </c>
      <c r="DK1" t="s">
        <v>374</v>
      </c>
      <c r="DL1" t="s">
        <v>529</v>
      </c>
      <c r="DM1" t="s">
        <v>530</v>
      </c>
      <c r="DN1" t="s">
        <v>377</v>
      </c>
      <c r="DO1" t="s">
        <v>531</v>
      </c>
      <c r="DP1" t="s">
        <v>532</v>
      </c>
      <c r="DQ1" t="s">
        <v>380</v>
      </c>
      <c r="DR1" t="s">
        <v>533</v>
      </c>
      <c r="DS1" t="s">
        <v>534</v>
      </c>
      <c r="DT1" t="s">
        <v>383</v>
      </c>
      <c r="DU1" t="s">
        <v>535</v>
      </c>
      <c r="DV1" t="s">
        <v>536</v>
      </c>
      <c r="DW1" t="s">
        <v>386</v>
      </c>
      <c r="DX1" t="s">
        <v>537</v>
      </c>
      <c r="DY1" t="s">
        <v>538</v>
      </c>
      <c r="DZ1" t="s">
        <v>389</v>
      </c>
      <c r="EA1" t="s">
        <v>539</v>
      </c>
      <c r="EB1" t="s">
        <v>540</v>
      </c>
      <c r="EC1" t="s">
        <v>392</v>
      </c>
      <c r="ED1" t="s">
        <v>541</v>
      </c>
      <c r="EE1" t="s">
        <v>542</v>
      </c>
      <c r="EF1" t="s">
        <v>395</v>
      </c>
      <c r="EG1" t="s">
        <v>543</v>
      </c>
      <c r="EH1" t="s">
        <v>544</v>
      </c>
      <c r="EI1" t="s">
        <v>398</v>
      </c>
      <c r="EJ1" t="s">
        <v>545</v>
      </c>
      <c r="EK1" t="s">
        <v>546</v>
      </c>
      <c r="EL1" t="s">
        <v>401</v>
      </c>
      <c r="EM1" t="s">
        <v>547</v>
      </c>
      <c r="EN1" t="s">
        <v>548</v>
      </c>
      <c r="EO1" t="s">
        <v>404</v>
      </c>
      <c r="EP1" t="s">
        <v>549</v>
      </c>
      <c r="EQ1" t="s">
        <v>550</v>
      </c>
      <c r="ER1" t="s">
        <v>407</v>
      </c>
      <c r="ES1" t="s">
        <v>551</v>
      </c>
      <c r="ET1" t="s">
        <v>552</v>
      </c>
      <c r="EU1" s="28" t="s">
        <v>410</v>
      </c>
      <c r="EV1" t="s">
        <v>553</v>
      </c>
      <c r="EW1" t="s">
        <v>554</v>
      </c>
      <c r="EX1" t="s">
        <v>413</v>
      </c>
      <c r="EY1" t="s">
        <v>555</v>
      </c>
      <c r="EZ1" t="s">
        <v>556</v>
      </c>
      <c r="FA1" t="s">
        <v>416</v>
      </c>
      <c r="FB1" t="s">
        <v>557</v>
      </c>
      <c r="FC1" t="s">
        <v>558</v>
      </c>
      <c r="FD1" t="s">
        <v>419</v>
      </c>
      <c r="FE1" t="s">
        <v>559</v>
      </c>
      <c r="FF1" t="s">
        <v>560</v>
      </c>
      <c r="FG1" t="s">
        <v>422</v>
      </c>
      <c r="FH1" t="s">
        <v>561</v>
      </c>
      <c r="FI1" t="s">
        <v>562</v>
      </c>
      <c r="FJ1" t="s">
        <v>425</v>
      </c>
      <c r="FK1" t="s">
        <v>563</v>
      </c>
      <c r="FL1" t="s">
        <v>564</v>
      </c>
      <c r="FM1" t="s">
        <v>428</v>
      </c>
      <c r="FN1" t="s">
        <v>565</v>
      </c>
      <c r="FO1" t="s">
        <v>566</v>
      </c>
      <c r="FP1" t="s">
        <v>431</v>
      </c>
      <c r="FQ1" t="s">
        <v>567</v>
      </c>
      <c r="FR1" t="s">
        <v>568</v>
      </c>
      <c r="FS1" t="s">
        <v>434</v>
      </c>
    </row>
    <row r="2" spans="1:175" x14ac:dyDescent="0.2">
      <c r="A2" t="s">
        <v>59</v>
      </c>
      <c r="B2">
        <v>10934</v>
      </c>
      <c r="C2">
        <v>357.7</v>
      </c>
      <c r="E2">
        <v>983.3</v>
      </c>
      <c r="F2">
        <v>107.1</v>
      </c>
      <c r="H2">
        <v>10030.1</v>
      </c>
      <c r="I2">
        <v>166.8</v>
      </c>
      <c r="K2">
        <v>18787.599999999999</v>
      </c>
      <c r="L2">
        <v>141.30000000000001</v>
      </c>
      <c r="N2">
        <v>508.5</v>
      </c>
      <c r="O2">
        <v>47.1</v>
      </c>
      <c r="Q2">
        <v>174</v>
      </c>
      <c r="R2">
        <v>42.5</v>
      </c>
      <c r="T2">
        <v>2014.1</v>
      </c>
      <c r="U2">
        <v>53.5</v>
      </c>
      <c r="W2">
        <v>2527.1999999999998</v>
      </c>
      <c r="X2">
        <v>58.5</v>
      </c>
      <c r="Z2">
        <v>865</v>
      </c>
      <c r="AA2">
        <v>49.5</v>
      </c>
      <c r="AC2">
        <v>41.7</v>
      </c>
      <c r="AD2">
        <v>24.3</v>
      </c>
      <c r="AF2" s="27">
        <v>2756661</v>
      </c>
      <c r="AG2">
        <v>38344.5</v>
      </c>
      <c r="AI2" s="28">
        <v>251.1</v>
      </c>
      <c r="AJ2">
        <v>55.6</v>
      </c>
      <c r="AL2">
        <v>190.6</v>
      </c>
      <c r="AM2">
        <v>35.200000000000003</v>
      </c>
      <c r="AO2">
        <v>4641.3</v>
      </c>
      <c r="AP2">
        <v>129</v>
      </c>
      <c r="AR2">
        <v>3824.6</v>
      </c>
      <c r="AS2">
        <v>112.9</v>
      </c>
      <c r="AU2">
        <v>396.9</v>
      </c>
      <c r="AV2">
        <v>46.7</v>
      </c>
      <c r="AX2">
        <v>282.3</v>
      </c>
      <c r="AY2">
        <v>19.100000000000001</v>
      </c>
      <c r="BA2">
        <v>237.5</v>
      </c>
      <c r="BB2">
        <v>44.3</v>
      </c>
      <c r="BD2">
        <v>179.2</v>
      </c>
      <c r="BE2">
        <v>32.799999999999997</v>
      </c>
      <c r="BG2">
        <v>438.6</v>
      </c>
      <c r="BH2">
        <v>44.2</v>
      </c>
      <c r="BJ2">
        <v>503.2</v>
      </c>
      <c r="BK2">
        <v>92.3</v>
      </c>
      <c r="BM2">
        <v>347.9</v>
      </c>
      <c r="BN2">
        <v>45.5</v>
      </c>
      <c r="BP2">
        <v>1542.8</v>
      </c>
      <c r="BQ2">
        <v>147.9</v>
      </c>
      <c r="BS2">
        <v>632495.9</v>
      </c>
      <c r="BT2">
        <v>9344.7000000000007</v>
      </c>
      <c r="BV2">
        <v>669091.69999999995</v>
      </c>
      <c r="BW2">
        <v>3631.1</v>
      </c>
      <c r="BY2">
        <v>764.9</v>
      </c>
      <c r="BZ2">
        <v>79.7</v>
      </c>
      <c r="CB2">
        <v>981.8</v>
      </c>
      <c r="CC2">
        <v>29.8</v>
      </c>
      <c r="CE2">
        <v>274</v>
      </c>
      <c r="CF2">
        <v>89.9</v>
      </c>
      <c r="CH2">
        <v>49558.6</v>
      </c>
      <c r="CI2">
        <v>229.2</v>
      </c>
      <c r="CK2">
        <v>3057</v>
      </c>
      <c r="CL2">
        <v>219.1</v>
      </c>
      <c r="CN2">
        <v>237035.2</v>
      </c>
      <c r="CO2">
        <v>1816</v>
      </c>
      <c r="CQ2">
        <v>20207.400000000001</v>
      </c>
      <c r="CR2">
        <v>304.10000000000002</v>
      </c>
      <c r="CT2">
        <v>23673.599999999999</v>
      </c>
      <c r="CU2">
        <v>259.10000000000002</v>
      </c>
      <c r="CW2">
        <v>469515</v>
      </c>
      <c r="CX2">
        <v>6594.9</v>
      </c>
      <c r="CZ2">
        <v>349.1</v>
      </c>
      <c r="DA2">
        <v>38.299999999999997</v>
      </c>
      <c r="DC2">
        <v>30498.2</v>
      </c>
      <c r="DD2">
        <v>497.4</v>
      </c>
      <c r="DF2">
        <v>6865.1</v>
      </c>
      <c r="DG2">
        <v>116.4</v>
      </c>
      <c r="DI2">
        <v>6.3</v>
      </c>
      <c r="DJ2">
        <v>4.3</v>
      </c>
      <c r="DL2">
        <v>126.9</v>
      </c>
      <c r="DM2">
        <v>8.9</v>
      </c>
      <c r="DO2">
        <v>97.2</v>
      </c>
      <c r="DP2">
        <v>15.5</v>
      </c>
      <c r="DR2">
        <v>109.3</v>
      </c>
      <c r="DS2">
        <v>16.7</v>
      </c>
      <c r="DU2">
        <v>1457.5</v>
      </c>
      <c r="DV2">
        <v>71</v>
      </c>
      <c r="DX2">
        <v>69.400000000000006</v>
      </c>
      <c r="DY2">
        <v>10</v>
      </c>
      <c r="EA2">
        <v>173.1</v>
      </c>
      <c r="EB2">
        <v>15.8</v>
      </c>
      <c r="ED2">
        <v>106.5</v>
      </c>
      <c r="EE2">
        <v>18.5</v>
      </c>
      <c r="EG2">
        <v>126.9</v>
      </c>
      <c r="EH2">
        <v>17.600000000000001</v>
      </c>
      <c r="EJ2">
        <v>234791.2</v>
      </c>
      <c r="EK2">
        <v>7464.9</v>
      </c>
      <c r="EM2">
        <v>33.799999999999997</v>
      </c>
      <c r="EN2">
        <v>8.1</v>
      </c>
      <c r="EP2">
        <v>54462.8</v>
      </c>
      <c r="EQ2">
        <v>2005.9</v>
      </c>
      <c r="ES2">
        <v>5384</v>
      </c>
      <c r="ET2">
        <v>205.7</v>
      </c>
      <c r="EV2">
        <v>1.4</v>
      </c>
      <c r="EW2">
        <v>1.3</v>
      </c>
      <c r="EY2">
        <v>2</v>
      </c>
      <c r="EZ2">
        <v>2.5</v>
      </c>
      <c r="FB2">
        <v>0</v>
      </c>
      <c r="FC2">
        <v>0</v>
      </c>
      <c r="FE2">
        <v>2097.1999999999998</v>
      </c>
      <c r="FF2">
        <v>163.19999999999999</v>
      </c>
      <c r="FH2">
        <v>1200.3</v>
      </c>
      <c r="FI2">
        <v>18.600000000000001</v>
      </c>
      <c r="FK2">
        <v>74472.600000000006</v>
      </c>
      <c r="FL2">
        <v>1092.4000000000001</v>
      </c>
      <c r="FN2">
        <v>7</v>
      </c>
      <c r="FO2">
        <v>2.2000000000000002</v>
      </c>
      <c r="FQ2">
        <v>17260.2</v>
      </c>
      <c r="FR2">
        <v>196.2</v>
      </c>
    </row>
    <row r="3" spans="1:175" x14ac:dyDescent="0.2">
      <c r="A3" t="s">
        <v>67</v>
      </c>
      <c r="B3">
        <v>7724.6</v>
      </c>
      <c r="C3">
        <v>408.9</v>
      </c>
      <c r="E3">
        <v>690.4</v>
      </c>
      <c r="F3">
        <v>21.7</v>
      </c>
      <c r="H3">
        <v>8236.7999999999993</v>
      </c>
      <c r="I3">
        <v>78.3</v>
      </c>
      <c r="K3">
        <v>17438.099999999999</v>
      </c>
      <c r="L3">
        <v>420.4</v>
      </c>
      <c r="N3">
        <v>254.2</v>
      </c>
      <c r="O3">
        <v>36.200000000000003</v>
      </c>
      <c r="Q3">
        <v>195.8</v>
      </c>
      <c r="R3">
        <v>15.4</v>
      </c>
      <c r="T3">
        <v>1703.4</v>
      </c>
      <c r="U3">
        <v>49.1</v>
      </c>
      <c r="W3">
        <v>2457.3000000000002</v>
      </c>
      <c r="X3">
        <v>128.80000000000001</v>
      </c>
      <c r="Z3">
        <v>691.9</v>
      </c>
      <c r="AA3">
        <v>75.599999999999994</v>
      </c>
      <c r="AC3">
        <v>34.4</v>
      </c>
      <c r="AD3">
        <v>18.8</v>
      </c>
      <c r="AF3" s="27">
        <v>2786897.7</v>
      </c>
      <c r="AG3">
        <v>10991.1</v>
      </c>
      <c r="AI3" s="28">
        <v>524.1</v>
      </c>
      <c r="AJ3">
        <v>38.200000000000003</v>
      </c>
      <c r="AL3">
        <v>575.20000000000005</v>
      </c>
      <c r="AM3">
        <v>20.5</v>
      </c>
      <c r="AO3">
        <v>3981</v>
      </c>
      <c r="AP3">
        <v>68</v>
      </c>
      <c r="AR3">
        <v>3394.9</v>
      </c>
      <c r="AS3">
        <v>204</v>
      </c>
      <c r="AU3">
        <v>239.6</v>
      </c>
      <c r="AV3">
        <v>37.700000000000003</v>
      </c>
      <c r="AX3">
        <v>104.2</v>
      </c>
      <c r="AY3">
        <v>64.099999999999994</v>
      </c>
      <c r="BA3">
        <v>126.1</v>
      </c>
      <c r="BB3">
        <v>28</v>
      </c>
      <c r="BD3">
        <v>134.4</v>
      </c>
      <c r="BE3">
        <v>8.3000000000000007</v>
      </c>
      <c r="BG3">
        <v>304.2</v>
      </c>
      <c r="BH3">
        <v>40.200000000000003</v>
      </c>
      <c r="BJ3">
        <v>324</v>
      </c>
      <c r="BK3">
        <v>36.6</v>
      </c>
      <c r="BM3">
        <v>261.5</v>
      </c>
      <c r="BN3">
        <v>45.8</v>
      </c>
      <c r="BP3">
        <v>1860.8</v>
      </c>
      <c r="BQ3">
        <v>95.4</v>
      </c>
      <c r="BS3">
        <v>633375.30000000005</v>
      </c>
      <c r="BT3">
        <v>5288.5</v>
      </c>
      <c r="BV3">
        <v>644532.69999999995</v>
      </c>
      <c r="BW3">
        <v>8311.5</v>
      </c>
      <c r="BY3">
        <v>269.8</v>
      </c>
      <c r="BZ3">
        <v>41.5</v>
      </c>
      <c r="CB3">
        <v>2312.4</v>
      </c>
      <c r="CC3">
        <v>207.7</v>
      </c>
      <c r="CE3">
        <v>1737.8</v>
      </c>
      <c r="CF3">
        <v>32.5</v>
      </c>
      <c r="CH3">
        <v>45006</v>
      </c>
      <c r="CI3">
        <v>724</v>
      </c>
      <c r="CK3">
        <v>2956.9</v>
      </c>
      <c r="CL3">
        <v>108.1</v>
      </c>
      <c r="CN3">
        <v>148629.29999999999</v>
      </c>
      <c r="CO3">
        <v>4560.2</v>
      </c>
      <c r="CQ3">
        <v>17091.099999999999</v>
      </c>
      <c r="CR3">
        <v>456.2</v>
      </c>
      <c r="CT3">
        <v>20224.400000000001</v>
      </c>
      <c r="CU3">
        <v>392.9</v>
      </c>
      <c r="CW3">
        <v>455068.4</v>
      </c>
      <c r="CX3">
        <v>2137.1</v>
      </c>
      <c r="CZ3">
        <v>421.3</v>
      </c>
      <c r="DA3">
        <v>11.6</v>
      </c>
      <c r="DC3">
        <v>26709.9</v>
      </c>
      <c r="DD3">
        <v>117.7</v>
      </c>
      <c r="DF3">
        <v>6285.6</v>
      </c>
      <c r="DG3">
        <v>269.39999999999998</v>
      </c>
      <c r="DI3">
        <v>17.600000000000001</v>
      </c>
      <c r="DJ3">
        <v>4.2</v>
      </c>
      <c r="DL3">
        <v>113.9</v>
      </c>
      <c r="DM3">
        <v>10</v>
      </c>
      <c r="DO3">
        <v>265.7</v>
      </c>
      <c r="DP3">
        <v>26.7</v>
      </c>
      <c r="DR3">
        <v>113.9</v>
      </c>
      <c r="DS3">
        <v>5.6</v>
      </c>
      <c r="DU3">
        <v>2516</v>
      </c>
      <c r="DV3">
        <v>123.8</v>
      </c>
      <c r="DX3">
        <v>42.6</v>
      </c>
      <c r="DY3">
        <v>15.8</v>
      </c>
      <c r="EA3">
        <v>160.19999999999999</v>
      </c>
      <c r="EB3">
        <v>8</v>
      </c>
      <c r="ED3">
        <v>250.9</v>
      </c>
      <c r="EE3">
        <v>37</v>
      </c>
      <c r="EG3">
        <v>135.19999999999999</v>
      </c>
      <c r="EH3">
        <v>8</v>
      </c>
      <c r="EJ3">
        <v>243589.9</v>
      </c>
      <c r="EK3">
        <v>4998.3999999999996</v>
      </c>
      <c r="EM3">
        <v>54.2</v>
      </c>
      <c r="EN3">
        <v>2.8</v>
      </c>
      <c r="EP3">
        <v>55080.2</v>
      </c>
      <c r="EQ3">
        <v>1279.0999999999999</v>
      </c>
      <c r="ES3">
        <v>5306.9</v>
      </c>
      <c r="ET3">
        <v>106.2</v>
      </c>
      <c r="EV3">
        <v>0.8</v>
      </c>
      <c r="EW3">
        <v>1.4</v>
      </c>
      <c r="EY3">
        <v>2.5</v>
      </c>
      <c r="EZ3">
        <v>1.1000000000000001</v>
      </c>
      <c r="FB3">
        <v>9.4</v>
      </c>
      <c r="FC3">
        <v>2.2000000000000002</v>
      </c>
      <c r="FE3">
        <v>287</v>
      </c>
      <c r="FF3">
        <v>76.099999999999994</v>
      </c>
      <c r="FH3">
        <v>964.9</v>
      </c>
      <c r="FI3">
        <v>86.2</v>
      </c>
      <c r="FK3">
        <v>79607.600000000006</v>
      </c>
      <c r="FL3">
        <v>322.89999999999998</v>
      </c>
      <c r="FN3">
        <v>14.1</v>
      </c>
      <c r="FO3">
        <v>3.2</v>
      </c>
      <c r="FQ3">
        <v>17824.599999999999</v>
      </c>
      <c r="FR3">
        <v>127.2</v>
      </c>
    </row>
    <row r="4" spans="1:175" x14ac:dyDescent="0.2">
      <c r="A4" t="s">
        <v>68</v>
      </c>
      <c r="B4">
        <v>9479.6</v>
      </c>
      <c r="C4">
        <v>266.5</v>
      </c>
      <c r="E4">
        <v>1105.9000000000001</v>
      </c>
      <c r="F4">
        <v>100.4</v>
      </c>
      <c r="H4">
        <v>25655.4</v>
      </c>
      <c r="I4">
        <v>672.2</v>
      </c>
      <c r="K4">
        <v>40401.199999999997</v>
      </c>
      <c r="L4">
        <v>685.1</v>
      </c>
      <c r="N4">
        <v>27226.9</v>
      </c>
      <c r="O4">
        <v>405.1</v>
      </c>
      <c r="Q4">
        <v>3694.2</v>
      </c>
      <c r="R4">
        <v>134.9</v>
      </c>
      <c r="T4">
        <v>27814.799999999999</v>
      </c>
      <c r="U4">
        <v>179.8</v>
      </c>
      <c r="W4">
        <v>7815.3</v>
      </c>
      <c r="X4">
        <v>179.1</v>
      </c>
      <c r="Z4">
        <v>11384.4</v>
      </c>
      <c r="AA4">
        <v>239.1</v>
      </c>
      <c r="AC4">
        <v>1594.9</v>
      </c>
      <c r="AD4">
        <v>193.2</v>
      </c>
      <c r="AF4" s="27">
        <v>2832220.7</v>
      </c>
      <c r="AG4">
        <v>56393.8</v>
      </c>
      <c r="AI4" s="28">
        <v>6565.6</v>
      </c>
      <c r="AJ4">
        <v>607.20000000000005</v>
      </c>
      <c r="AL4">
        <v>6420.7</v>
      </c>
      <c r="AM4">
        <v>25.3</v>
      </c>
      <c r="AO4">
        <v>33391.9</v>
      </c>
      <c r="AP4">
        <v>731.2</v>
      </c>
      <c r="AR4">
        <v>16119.8</v>
      </c>
      <c r="AS4">
        <v>384.4</v>
      </c>
      <c r="AU4">
        <v>33126.800000000003</v>
      </c>
      <c r="AV4">
        <v>650.29999999999995</v>
      </c>
      <c r="AX4">
        <v>29833.4</v>
      </c>
      <c r="AY4">
        <v>1186.8</v>
      </c>
      <c r="BA4">
        <v>6413.3</v>
      </c>
      <c r="BB4">
        <v>138.1</v>
      </c>
      <c r="BD4">
        <v>5741.6</v>
      </c>
      <c r="BE4">
        <v>317.89999999999998</v>
      </c>
      <c r="BG4">
        <v>5503.8</v>
      </c>
      <c r="BH4">
        <v>139.6</v>
      </c>
      <c r="BJ4">
        <v>35018.5</v>
      </c>
      <c r="BK4">
        <v>950.9</v>
      </c>
      <c r="BM4">
        <v>10237.700000000001</v>
      </c>
      <c r="BN4">
        <v>128.1</v>
      </c>
      <c r="BP4">
        <v>9145.4</v>
      </c>
      <c r="BQ4">
        <v>365.7</v>
      </c>
      <c r="BS4">
        <v>636861.69999999995</v>
      </c>
      <c r="BT4">
        <v>4318.7</v>
      </c>
      <c r="BV4">
        <v>655186.5</v>
      </c>
      <c r="BW4">
        <v>6190.6</v>
      </c>
      <c r="BY4">
        <v>24389.3</v>
      </c>
      <c r="BZ4">
        <v>271.3</v>
      </c>
      <c r="CB4">
        <v>10666.5</v>
      </c>
      <c r="CC4">
        <v>358.1</v>
      </c>
      <c r="CE4">
        <v>8714.6</v>
      </c>
      <c r="CF4">
        <v>162.1</v>
      </c>
      <c r="CH4">
        <v>61846.9</v>
      </c>
      <c r="CI4">
        <v>1183.3</v>
      </c>
      <c r="CK4">
        <v>29102.2</v>
      </c>
      <c r="CL4">
        <v>582.20000000000005</v>
      </c>
      <c r="CN4">
        <v>100613.9</v>
      </c>
      <c r="CO4">
        <v>3764.8</v>
      </c>
      <c r="CQ4">
        <v>20962.8</v>
      </c>
      <c r="CR4">
        <v>394</v>
      </c>
      <c r="CT4">
        <v>22850.5</v>
      </c>
      <c r="CU4">
        <v>312.2</v>
      </c>
      <c r="CW4">
        <v>453781</v>
      </c>
      <c r="CX4">
        <v>1075.7</v>
      </c>
      <c r="CZ4">
        <v>513.1</v>
      </c>
      <c r="DA4">
        <v>8.5</v>
      </c>
      <c r="DC4">
        <v>28628.7</v>
      </c>
      <c r="DD4">
        <v>494.6</v>
      </c>
      <c r="DF4">
        <v>6354.3</v>
      </c>
      <c r="DG4">
        <v>89.7</v>
      </c>
      <c r="DI4">
        <v>100.9</v>
      </c>
      <c r="DJ4">
        <v>37</v>
      </c>
      <c r="DL4">
        <v>1685.5</v>
      </c>
      <c r="DM4">
        <v>80.400000000000006</v>
      </c>
      <c r="DO4">
        <v>1808.8</v>
      </c>
      <c r="DP4">
        <v>69.900000000000006</v>
      </c>
      <c r="DR4">
        <v>1791.2</v>
      </c>
      <c r="DS4">
        <v>16.100000000000001</v>
      </c>
      <c r="DU4">
        <v>10661.3</v>
      </c>
      <c r="DV4">
        <v>387.3</v>
      </c>
      <c r="DX4">
        <v>1628</v>
      </c>
      <c r="DY4">
        <v>110</v>
      </c>
      <c r="EA4">
        <v>575.1</v>
      </c>
      <c r="EB4">
        <v>51.9</v>
      </c>
      <c r="ED4">
        <v>1053.4000000000001</v>
      </c>
      <c r="EE4">
        <v>150.5</v>
      </c>
      <c r="EG4">
        <v>493.6</v>
      </c>
      <c r="EH4">
        <v>63.7</v>
      </c>
      <c r="EJ4">
        <v>240435.1</v>
      </c>
      <c r="EK4">
        <v>2053.8000000000002</v>
      </c>
      <c r="EM4">
        <v>712.7</v>
      </c>
      <c r="EN4">
        <v>89.9</v>
      </c>
      <c r="EP4">
        <v>55325.1</v>
      </c>
      <c r="EQ4">
        <v>454.5</v>
      </c>
      <c r="ES4">
        <v>7987.2</v>
      </c>
      <c r="ET4">
        <v>127.4</v>
      </c>
      <c r="EV4">
        <v>62.2</v>
      </c>
      <c r="EW4">
        <v>21.5</v>
      </c>
      <c r="EY4">
        <v>82.2</v>
      </c>
      <c r="EZ4">
        <v>13.1</v>
      </c>
      <c r="FB4">
        <v>32.299999999999997</v>
      </c>
      <c r="FC4">
        <v>18.2</v>
      </c>
      <c r="FE4">
        <v>1261.7</v>
      </c>
      <c r="FF4">
        <v>56.4</v>
      </c>
      <c r="FH4">
        <v>853.7</v>
      </c>
      <c r="FI4">
        <v>50.8</v>
      </c>
      <c r="FK4">
        <v>75709.3</v>
      </c>
      <c r="FL4">
        <v>328.9</v>
      </c>
      <c r="FN4">
        <v>194.4</v>
      </c>
      <c r="FO4">
        <v>17.8</v>
      </c>
      <c r="FQ4">
        <v>17391.400000000001</v>
      </c>
      <c r="FR4">
        <v>244.2</v>
      </c>
    </row>
    <row r="5" spans="1:175" x14ac:dyDescent="0.2">
      <c r="A5" t="s">
        <v>69</v>
      </c>
      <c r="B5">
        <v>18126.2</v>
      </c>
      <c r="C5">
        <v>413.7</v>
      </c>
      <c r="E5">
        <v>3693.1</v>
      </c>
      <c r="F5">
        <v>91.3</v>
      </c>
      <c r="H5">
        <v>95382.8</v>
      </c>
      <c r="I5">
        <v>1603.5</v>
      </c>
      <c r="K5">
        <v>131014.1</v>
      </c>
      <c r="L5">
        <v>439</v>
      </c>
      <c r="N5">
        <v>134379.5</v>
      </c>
      <c r="O5">
        <v>1261.2</v>
      </c>
      <c r="Q5">
        <v>17611.2</v>
      </c>
      <c r="R5">
        <v>290.2</v>
      </c>
      <c r="T5">
        <v>130298.8</v>
      </c>
      <c r="U5">
        <v>1191.8</v>
      </c>
      <c r="W5">
        <v>29223.599999999999</v>
      </c>
      <c r="X5">
        <v>513.79999999999995</v>
      </c>
      <c r="Z5">
        <v>54317.7</v>
      </c>
      <c r="AA5">
        <v>628.6</v>
      </c>
      <c r="AC5">
        <v>7869.5</v>
      </c>
      <c r="AD5">
        <v>95.7</v>
      </c>
      <c r="AF5" s="27">
        <v>2807209.3</v>
      </c>
      <c r="AG5">
        <v>19775.7</v>
      </c>
      <c r="AI5" s="28">
        <v>31390.5</v>
      </c>
      <c r="AJ5">
        <v>388.7</v>
      </c>
      <c r="AL5">
        <v>29886.7</v>
      </c>
      <c r="AM5">
        <v>524.70000000000005</v>
      </c>
      <c r="AO5">
        <v>150918.20000000001</v>
      </c>
      <c r="AP5">
        <v>1973.8</v>
      </c>
      <c r="AR5">
        <v>66576.3</v>
      </c>
      <c r="AS5">
        <v>613</v>
      </c>
      <c r="AU5">
        <v>166002</v>
      </c>
      <c r="AV5">
        <v>2484.1999999999998</v>
      </c>
      <c r="AX5">
        <v>151571.79999999999</v>
      </c>
      <c r="AY5">
        <v>2612</v>
      </c>
      <c r="BA5">
        <v>32179.200000000001</v>
      </c>
      <c r="BB5">
        <v>204.9</v>
      </c>
      <c r="BD5">
        <v>27899</v>
      </c>
      <c r="BE5">
        <v>451.8</v>
      </c>
      <c r="BG5">
        <v>26840</v>
      </c>
      <c r="BH5">
        <v>274.10000000000002</v>
      </c>
      <c r="BJ5">
        <v>173907.7</v>
      </c>
      <c r="BK5">
        <v>4119.2</v>
      </c>
      <c r="BM5">
        <v>49368.3</v>
      </c>
      <c r="BN5">
        <v>996</v>
      </c>
      <c r="BP5">
        <v>39338.699999999997</v>
      </c>
      <c r="BQ5">
        <v>235</v>
      </c>
      <c r="BS5">
        <v>643415.6</v>
      </c>
      <c r="BT5">
        <v>8954.6</v>
      </c>
      <c r="BV5">
        <v>696911.2</v>
      </c>
      <c r="BW5">
        <v>5954.7</v>
      </c>
      <c r="BY5">
        <v>121583.4</v>
      </c>
      <c r="BZ5">
        <v>2145.3000000000002</v>
      </c>
      <c r="CB5">
        <v>43130.8</v>
      </c>
      <c r="CC5">
        <v>910.9</v>
      </c>
      <c r="CE5">
        <v>36222</v>
      </c>
      <c r="CF5">
        <v>434.1</v>
      </c>
      <c r="CH5">
        <v>132278.79999999999</v>
      </c>
      <c r="CI5">
        <v>891.3</v>
      </c>
      <c r="CK5">
        <v>130764.7</v>
      </c>
      <c r="CL5">
        <v>870.4</v>
      </c>
      <c r="CN5">
        <v>155272.20000000001</v>
      </c>
      <c r="CO5">
        <v>9149.6</v>
      </c>
      <c r="CQ5">
        <v>39575.199999999997</v>
      </c>
      <c r="CR5">
        <v>877.5</v>
      </c>
      <c r="CT5">
        <v>37513.1</v>
      </c>
      <c r="CU5">
        <v>604.9</v>
      </c>
      <c r="CW5">
        <v>482174.1</v>
      </c>
      <c r="CX5">
        <v>5084.7</v>
      </c>
      <c r="CZ5">
        <v>715.1</v>
      </c>
      <c r="DA5">
        <v>48.7</v>
      </c>
      <c r="DC5">
        <v>35543.599999999999</v>
      </c>
      <c r="DD5">
        <v>563.79999999999995</v>
      </c>
      <c r="DF5">
        <v>7986.2</v>
      </c>
      <c r="DG5">
        <v>187</v>
      </c>
      <c r="DI5">
        <v>543.6</v>
      </c>
      <c r="DJ5">
        <v>36.700000000000003</v>
      </c>
      <c r="DL5">
        <v>7672.7</v>
      </c>
      <c r="DM5">
        <v>164.4</v>
      </c>
      <c r="DO5">
        <v>7518.8</v>
      </c>
      <c r="DP5">
        <v>28.6</v>
      </c>
      <c r="DR5">
        <v>9065.4</v>
      </c>
      <c r="DS5">
        <v>12.5</v>
      </c>
      <c r="DU5">
        <v>44232.3</v>
      </c>
      <c r="DV5">
        <v>525.6</v>
      </c>
      <c r="DX5">
        <v>8186.4</v>
      </c>
      <c r="DY5">
        <v>225.1</v>
      </c>
      <c r="EA5">
        <v>2114.6</v>
      </c>
      <c r="EB5">
        <v>43.3</v>
      </c>
      <c r="ED5">
        <v>4055.9</v>
      </c>
      <c r="EE5">
        <v>106.1</v>
      </c>
      <c r="EG5">
        <v>1670.7</v>
      </c>
      <c r="EH5">
        <v>79.8</v>
      </c>
      <c r="EJ5">
        <v>245136.3</v>
      </c>
      <c r="EK5">
        <v>5770.5</v>
      </c>
      <c r="EM5">
        <v>3185.4</v>
      </c>
      <c r="EN5">
        <v>83.5</v>
      </c>
      <c r="EP5">
        <v>55704.2</v>
      </c>
      <c r="EQ5">
        <v>1581.7</v>
      </c>
      <c r="ES5">
        <v>21161.3</v>
      </c>
      <c r="ET5">
        <v>263.8</v>
      </c>
      <c r="EV5">
        <v>316.2</v>
      </c>
      <c r="EW5">
        <v>36</v>
      </c>
      <c r="EY5">
        <v>317</v>
      </c>
      <c r="EZ5">
        <v>22.5</v>
      </c>
      <c r="FB5">
        <v>28.3</v>
      </c>
      <c r="FC5">
        <v>10.1</v>
      </c>
      <c r="FE5">
        <v>446.6</v>
      </c>
      <c r="FF5">
        <v>67.2</v>
      </c>
      <c r="FH5">
        <v>988.9</v>
      </c>
      <c r="FI5">
        <v>26.8</v>
      </c>
      <c r="FK5">
        <v>80562.100000000006</v>
      </c>
      <c r="FL5">
        <v>768.2</v>
      </c>
      <c r="FN5">
        <v>974.1</v>
      </c>
      <c r="FO5">
        <v>70.099999999999994</v>
      </c>
      <c r="FQ5">
        <v>17771.400000000001</v>
      </c>
      <c r="FR5">
        <v>133.69999999999999</v>
      </c>
    </row>
    <row r="6" spans="1:175" x14ac:dyDescent="0.2">
      <c r="A6" t="s">
        <v>70</v>
      </c>
      <c r="B6">
        <v>77558.399999999994</v>
      </c>
      <c r="C6">
        <v>1203.3</v>
      </c>
      <c r="E6">
        <v>17561.400000000001</v>
      </c>
      <c r="F6">
        <v>520.79999999999995</v>
      </c>
      <c r="H6">
        <v>463538.1</v>
      </c>
      <c r="I6">
        <v>2319.6</v>
      </c>
      <c r="K6">
        <v>600563</v>
      </c>
      <c r="L6">
        <v>5930.2</v>
      </c>
      <c r="N6">
        <v>696521.1</v>
      </c>
      <c r="O6">
        <v>10809.1</v>
      </c>
      <c r="Q6">
        <v>89783.4</v>
      </c>
      <c r="R6">
        <v>1240</v>
      </c>
      <c r="T6">
        <v>665189.80000000005</v>
      </c>
      <c r="U6">
        <v>13942.6</v>
      </c>
      <c r="W6">
        <v>140711.6</v>
      </c>
      <c r="X6">
        <v>864.2</v>
      </c>
      <c r="Z6">
        <v>277223.2</v>
      </c>
      <c r="AA6">
        <v>1627.3</v>
      </c>
      <c r="AC6">
        <v>40025.699999999997</v>
      </c>
      <c r="AD6">
        <v>284.8</v>
      </c>
      <c r="AF6" s="27">
        <v>2879881.7</v>
      </c>
      <c r="AG6">
        <v>14624</v>
      </c>
      <c r="AI6" s="28">
        <v>157199.79999999999</v>
      </c>
      <c r="AJ6">
        <v>928.4</v>
      </c>
      <c r="AL6">
        <v>149948</v>
      </c>
      <c r="AM6">
        <v>2017.4</v>
      </c>
      <c r="AO6">
        <v>772017.5</v>
      </c>
      <c r="AP6">
        <v>11672.3</v>
      </c>
      <c r="AR6">
        <v>322914.90000000002</v>
      </c>
      <c r="AS6">
        <v>3221.8</v>
      </c>
      <c r="AU6">
        <v>855773</v>
      </c>
      <c r="AV6">
        <v>5558.2</v>
      </c>
      <c r="AX6">
        <v>788884.3</v>
      </c>
      <c r="AY6">
        <v>8763.5</v>
      </c>
      <c r="BA6">
        <v>164143.70000000001</v>
      </c>
      <c r="BB6">
        <v>1920.8</v>
      </c>
      <c r="BD6">
        <v>141611.6</v>
      </c>
      <c r="BE6">
        <v>1649.8</v>
      </c>
      <c r="BG6">
        <v>136829.5</v>
      </c>
      <c r="BH6">
        <v>1430.2</v>
      </c>
      <c r="BJ6">
        <v>920215.3</v>
      </c>
      <c r="BK6">
        <v>16020.7</v>
      </c>
      <c r="BM6">
        <v>251908</v>
      </c>
      <c r="BN6">
        <v>5685.6</v>
      </c>
      <c r="BP6">
        <v>195677</v>
      </c>
      <c r="BQ6">
        <v>1599.5</v>
      </c>
      <c r="BS6">
        <v>657789.30000000005</v>
      </c>
      <c r="BT6">
        <v>7431.2</v>
      </c>
      <c r="BV6">
        <v>860421.2</v>
      </c>
      <c r="BW6">
        <v>4604</v>
      </c>
      <c r="BY6">
        <v>623880.19999999995</v>
      </c>
      <c r="BZ6">
        <v>4435.7</v>
      </c>
      <c r="CB6">
        <v>213692.6</v>
      </c>
      <c r="CC6">
        <v>1096</v>
      </c>
      <c r="CE6">
        <v>182865.9</v>
      </c>
      <c r="CF6">
        <v>1742.3</v>
      </c>
      <c r="CH6">
        <v>493848.9</v>
      </c>
      <c r="CI6">
        <v>7640.1</v>
      </c>
      <c r="CK6">
        <v>675397.8</v>
      </c>
      <c r="CL6">
        <v>7544.6</v>
      </c>
      <c r="CN6">
        <v>264503.59999999998</v>
      </c>
      <c r="CO6">
        <v>1977.7</v>
      </c>
      <c r="CQ6">
        <v>135779.6</v>
      </c>
      <c r="CR6">
        <v>2380.3000000000002</v>
      </c>
      <c r="CT6">
        <v>110642.1</v>
      </c>
      <c r="CU6">
        <v>1414.9</v>
      </c>
      <c r="CW6">
        <v>565298.80000000005</v>
      </c>
      <c r="CX6">
        <v>4670.2</v>
      </c>
      <c r="CZ6">
        <v>1847.7</v>
      </c>
      <c r="DA6">
        <v>44.2</v>
      </c>
      <c r="DC6">
        <v>67958.8</v>
      </c>
      <c r="DD6">
        <v>729.4</v>
      </c>
      <c r="DF6">
        <v>14455.8</v>
      </c>
      <c r="DG6">
        <v>198.5</v>
      </c>
      <c r="DI6">
        <v>2769.1</v>
      </c>
      <c r="DJ6">
        <v>65.400000000000006</v>
      </c>
      <c r="DL6">
        <v>38333</v>
      </c>
      <c r="DM6">
        <v>819.5</v>
      </c>
      <c r="DO6">
        <v>35992.5</v>
      </c>
      <c r="DP6">
        <v>646.20000000000005</v>
      </c>
      <c r="DR6">
        <v>44163.199999999997</v>
      </c>
      <c r="DS6">
        <v>599.5</v>
      </c>
      <c r="DU6">
        <v>214167</v>
      </c>
      <c r="DV6">
        <v>2070.3000000000002</v>
      </c>
      <c r="DX6">
        <v>40386.800000000003</v>
      </c>
      <c r="DY6">
        <v>677</v>
      </c>
      <c r="EA6">
        <v>10149.4</v>
      </c>
      <c r="EB6">
        <v>170.4</v>
      </c>
      <c r="ED6">
        <v>19362.3</v>
      </c>
      <c r="EE6">
        <v>342.5</v>
      </c>
      <c r="EG6">
        <v>8131.7</v>
      </c>
      <c r="EH6">
        <v>204.7</v>
      </c>
      <c r="EJ6">
        <v>240699.2</v>
      </c>
      <c r="EK6">
        <v>822.9</v>
      </c>
      <c r="EM6">
        <v>15967.2</v>
      </c>
      <c r="EN6">
        <v>230.3</v>
      </c>
      <c r="EP6">
        <v>55305.5</v>
      </c>
      <c r="EQ6">
        <v>602.29999999999995</v>
      </c>
      <c r="ES6">
        <v>87379.6</v>
      </c>
      <c r="ET6">
        <v>1123.9000000000001</v>
      </c>
      <c r="EV6">
        <v>1560.9</v>
      </c>
      <c r="EW6">
        <v>70.400000000000006</v>
      </c>
      <c r="EY6">
        <v>1648.1</v>
      </c>
      <c r="EZ6">
        <v>34.700000000000003</v>
      </c>
      <c r="FB6">
        <v>152.19999999999999</v>
      </c>
      <c r="FC6">
        <v>28.7</v>
      </c>
      <c r="FE6">
        <v>1625.8</v>
      </c>
      <c r="FF6">
        <v>147.30000000000001</v>
      </c>
      <c r="FH6">
        <v>935.4</v>
      </c>
      <c r="FI6">
        <v>23.4</v>
      </c>
      <c r="FK6">
        <v>76405.3</v>
      </c>
      <c r="FL6">
        <v>3397.8</v>
      </c>
      <c r="FN6">
        <v>4811.3999999999996</v>
      </c>
      <c r="FO6">
        <v>130.80000000000001</v>
      </c>
      <c r="FQ6">
        <v>17881.400000000001</v>
      </c>
      <c r="FR6">
        <v>118.9</v>
      </c>
    </row>
    <row r="7" spans="1:175" x14ac:dyDescent="0.2">
      <c r="A7" t="s">
        <v>71</v>
      </c>
      <c r="B7">
        <v>188416.4</v>
      </c>
      <c r="C7">
        <v>1010.5</v>
      </c>
      <c r="E7">
        <v>42658.400000000001</v>
      </c>
      <c r="F7">
        <v>857</v>
      </c>
      <c r="H7">
        <v>1181380.5</v>
      </c>
      <c r="I7">
        <v>19421</v>
      </c>
      <c r="K7">
        <v>1536067.8</v>
      </c>
      <c r="L7">
        <v>39757.1</v>
      </c>
      <c r="N7">
        <v>1817274.3</v>
      </c>
      <c r="O7">
        <v>51904.4</v>
      </c>
      <c r="Q7">
        <v>226633</v>
      </c>
      <c r="R7">
        <v>6829.9</v>
      </c>
      <c r="T7">
        <v>1746804.5</v>
      </c>
      <c r="U7">
        <v>62491.5</v>
      </c>
      <c r="W7">
        <v>352666.6</v>
      </c>
      <c r="X7">
        <v>7771</v>
      </c>
      <c r="Z7">
        <v>704675.2</v>
      </c>
      <c r="AA7">
        <v>15122.8</v>
      </c>
      <c r="AC7">
        <v>98761.4</v>
      </c>
      <c r="AD7">
        <v>2109.5</v>
      </c>
      <c r="AF7" s="27">
        <v>2863079.3</v>
      </c>
      <c r="AG7">
        <v>107911.1</v>
      </c>
      <c r="AI7" s="28">
        <v>392329.1</v>
      </c>
      <c r="AJ7">
        <v>7621.1</v>
      </c>
      <c r="AL7">
        <v>377286</v>
      </c>
      <c r="AM7">
        <v>6945.5</v>
      </c>
      <c r="AO7">
        <v>2013178.7</v>
      </c>
      <c r="AP7">
        <v>76008.899999999994</v>
      </c>
      <c r="AR7">
        <v>825387</v>
      </c>
      <c r="AS7">
        <v>22506.1</v>
      </c>
      <c r="AU7">
        <v>2236369.7000000002</v>
      </c>
      <c r="AV7">
        <v>44158.2</v>
      </c>
      <c r="AX7">
        <v>2062371</v>
      </c>
      <c r="AY7">
        <v>39892.5</v>
      </c>
      <c r="BA7">
        <v>409211.7</v>
      </c>
      <c r="BB7">
        <v>7590.6</v>
      </c>
      <c r="BD7">
        <v>324109.5</v>
      </c>
      <c r="BE7">
        <v>51670.8</v>
      </c>
      <c r="BG7">
        <v>300723.7</v>
      </c>
      <c r="BH7">
        <v>70020.2</v>
      </c>
      <c r="BJ7">
        <v>2116282.7000000002</v>
      </c>
      <c r="BK7">
        <v>443226.9</v>
      </c>
      <c r="BM7">
        <v>595056.19999999995</v>
      </c>
      <c r="BN7">
        <v>73781</v>
      </c>
      <c r="BP7">
        <v>464657.6</v>
      </c>
      <c r="BQ7">
        <v>32721.9</v>
      </c>
      <c r="BS7">
        <v>648208.5</v>
      </c>
      <c r="BT7">
        <v>21847</v>
      </c>
      <c r="BV7">
        <v>1160050.5</v>
      </c>
      <c r="BW7">
        <v>8883.2000000000007</v>
      </c>
      <c r="BY7">
        <v>1565627.8</v>
      </c>
      <c r="BZ7">
        <v>57392.6</v>
      </c>
      <c r="CB7">
        <v>518696.8</v>
      </c>
      <c r="CC7">
        <v>11528.7</v>
      </c>
      <c r="CE7">
        <v>440076.4</v>
      </c>
      <c r="CF7">
        <v>11499.9</v>
      </c>
      <c r="CH7">
        <v>1169988.5</v>
      </c>
      <c r="CI7">
        <v>6405.5</v>
      </c>
      <c r="CK7">
        <v>1702391.7</v>
      </c>
      <c r="CL7">
        <v>27274.1</v>
      </c>
      <c r="CN7">
        <v>526343.4</v>
      </c>
      <c r="CO7">
        <v>3057.2</v>
      </c>
      <c r="CQ7">
        <v>310836.09999999998</v>
      </c>
      <c r="CR7">
        <v>1632.5</v>
      </c>
      <c r="CT7">
        <v>249019</v>
      </c>
      <c r="CU7">
        <v>517.79999999999995</v>
      </c>
      <c r="CW7">
        <v>726256.7</v>
      </c>
      <c r="CX7">
        <v>10912.7</v>
      </c>
      <c r="CZ7">
        <v>4115.2</v>
      </c>
      <c r="DA7">
        <v>73.7</v>
      </c>
      <c r="DC7">
        <v>128736.9</v>
      </c>
      <c r="DD7">
        <v>719.6</v>
      </c>
      <c r="DF7">
        <v>25773.9</v>
      </c>
      <c r="DG7">
        <v>308</v>
      </c>
      <c r="DI7">
        <v>6784.4</v>
      </c>
      <c r="DJ7">
        <v>56.3</v>
      </c>
      <c r="DL7">
        <v>94543.5</v>
      </c>
      <c r="DM7">
        <v>1298.7</v>
      </c>
      <c r="DO7">
        <v>88416.6</v>
      </c>
      <c r="DP7">
        <v>2262.5</v>
      </c>
      <c r="DR7">
        <v>109121.4</v>
      </c>
      <c r="DS7">
        <v>956.7</v>
      </c>
      <c r="DU7">
        <v>530530.1</v>
      </c>
      <c r="DV7">
        <v>8025.9</v>
      </c>
      <c r="DX7">
        <v>101097.3</v>
      </c>
      <c r="DY7">
        <v>728.2</v>
      </c>
      <c r="EA7">
        <v>24740.7</v>
      </c>
      <c r="EB7">
        <v>167.4</v>
      </c>
      <c r="ED7">
        <v>48640.2</v>
      </c>
      <c r="EE7">
        <v>486.6</v>
      </c>
      <c r="EG7">
        <v>20463.5</v>
      </c>
      <c r="EH7">
        <v>165.4</v>
      </c>
      <c r="EJ7">
        <v>243915</v>
      </c>
      <c r="EK7">
        <v>2504.6999999999998</v>
      </c>
      <c r="EM7">
        <v>39876.800000000003</v>
      </c>
      <c r="EN7">
        <v>260.5</v>
      </c>
      <c r="EP7">
        <v>56531.199999999997</v>
      </c>
      <c r="EQ7">
        <v>939.5</v>
      </c>
      <c r="ES7">
        <v>213833.4</v>
      </c>
      <c r="ET7">
        <v>1966.6</v>
      </c>
      <c r="EV7">
        <v>4423.3</v>
      </c>
      <c r="EW7">
        <v>202.1</v>
      </c>
      <c r="EY7">
        <v>3930.3</v>
      </c>
      <c r="EZ7">
        <v>59.3</v>
      </c>
      <c r="FB7">
        <v>356.8</v>
      </c>
      <c r="FC7">
        <v>17.7</v>
      </c>
      <c r="FE7">
        <v>1170.3</v>
      </c>
      <c r="FF7">
        <v>50</v>
      </c>
      <c r="FH7">
        <v>922.7</v>
      </c>
      <c r="FI7">
        <v>26</v>
      </c>
      <c r="FK7">
        <v>82064.2</v>
      </c>
      <c r="FL7">
        <v>592</v>
      </c>
      <c r="FN7">
        <v>11968.3</v>
      </c>
      <c r="FO7">
        <v>135.5</v>
      </c>
      <c r="FQ7">
        <v>18435.8</v>
      </c>
      <c r="FR7">
        <v>570.9</v>
      </c>
    </row>
    <row r="8" spans="1:175" x14ac:dyDescent="0.2">
      <c r="A8" t="s">
        <v>72</v>
      </c>
      <c r="B8">
        <v>791090.3</v>
      </c>
      <c r="C8">
        <v>6562.9</v>
      </c>
      <c r="E8">
        <v>179022.8</v>
      </c>
      <c r="F8">
        <v>1207.4000000000001</v>
      </c>
      <c r="H8">
        <v>4908993.5999999996</v>
      </c>
      <c r="I8">
        <v>45801.599999999999</v>
      </c>
      <c r="K8">
        <v>6264686.4000000004</v>
      </c>
      <c r="L8">
        <v>96943.8</v>
      </c>
      <c r="N8">
        <v>7477240.7000000002</v>
      </c>
      <c r="O8">
        <v>132096.29999999999</v>
      </c>
      <c r="Q8">
        <v>949172.7</v>
      </c>
      <c r="R8">
        <v>8606.4</v>
      </c>
      <c r="T8">
        <v>7128044</v>
      </c>
      <c r="U8">
        <v>79781</v>
      </c>
      <c r="W8">
        <v>1509380.2</v>
      </c>
      <c r="X8">
        <v>9458.5</v>
      </c>
      <c r="Z8">
        <v>3106153.3</v>
      </c>
      <c r="AA8">
        <v>37156.9</v>
      </c>
      <c r="AC8">
        <v>420556.2</v>
      </c>
      <c r="AD8">
        <v>3438.5</v>
      </c>
      <c r="AF8" s="27">
        <v>2958505.7</v>
      </c>
      <c r="AG8">
        <v>17785.900000000001</v>
      </c>
      <c r="AI8" s="28">
        <v>1708266.5</v>
      </c>
      <c r="AJ8">
        <v>14862.7</v>
      </c>
      <c r="AL8">
        <v>1619289.8</v>
      </c>
      <c r="AM8">
        <v>5297.2</v>
      </c>
      <c r="AO8">
        <v>7946861.7000000002</v>
      </c>
      <c r="AP8">
        <v>103177.60000000001</v>
      </c>
      <c r="AR8">
        <v>3562831.3</v>
      </c>
      <c r="AS8">
        <v>39193.4</v>
      </c>
      <c r="AU8">
        <v>9084876.4000000004</v>
      </c>
      <c r="AV8">
        <v>115967.9</v>
      </c>
      <c r="AX8">
        <v>8298086.0999999996</v>
      </c>
      <c r="AY8">
        <v>49116.800000000003</v>
      </c>
      <c r="BA8">
        <v>1767296.3</v>
      </c>
      <c r="BB8">
        <v>23195.8</v>
      </c>
      <c r="BD8">
        <v>1509977.8</v>
      </c>
      <c r="BE8">
        <v>25937.1</v>
      </c>
      <c r="BG8">
        <v>1438453.3</v>
      </c>
      <c r="BH8">
        <v>6374.9</v>
      </c>
      <c r="BJ8">
        <v>9159507.1999999993</v>
      </c>
      <c r="BK8">
        <v>137851.79999999999</v>
      </c>
      <c r="BM8">
        <v>2789906.7</v>
      </c>
      <c r="BN8">
        <v>30106.400000000001</v>
      </c>
      <c r="BP8">
        <v>2128628.7000000002</v>
      </c>
      <c r="BQ8">
        <v>33072.300000000003</v>
      </c>
      <c r="BS8">
        <v>676877</v>
      </c>
      <c r="BT8">
        <v>6040.1</v>
      </c>
      <c r="BV8">
        <v>2616955.7000000002</v>
      </c>
      <c r="BW8">
        <v>23819.5</v>
      </c>
      <c r="BY8">
        <v>6256619.2000000002</v>
      </c>
      <c r="BZ8">
        <v>89531.3</v>
      </c>
      <c r="CB8">
        <v>2295195.7000000002</v>
      </c>
      <c r="CC8">
        <v>48825.8</v>
      </c>
      <c r="CE8">
        <v>1954451</v>
      </c>
      <c r="CF8">
        <v>20913.5</v>
      </c>
      <c r="CH8">
        <v>4571173.9000000004</v>
      </c>
      <c r="CI8">
        <v>21202.6</v>
      </c>
      <c r="CK8">
        <v>6787951</v>
      </c>
      <c r="CL8">
        <v>37090.699999999997</v>
      </c>
      <c r="CN8">
        <v>2033021.6</v>
      </c>
      <c r="CO8">
        <v>53493.7</v>
      </c>
      <c r="CQ8">
        <v>1283178.3999999999</v>
      </c>
      <c r="CR8">
        <v>37253.300000000003</v>
      </c>
      <c r="CT8">
        <v>995935.6</v>
      </c>
      <c r="CU8">
        <v>23337.5</v>
      </c>
      <c r="CW8">
        <v>1531039.7</v>
      </c>
      <c r="CX8">
        <v>12599.6</v>
      </c>
      <c r="CZ8">
        <v>15364.7</v>
      </c>
      <c r="DA8">
        <v>281.3</v>
      </c>
      <c r="DC8">
        <v>460796.1</v>
      </c>
      <c r="DD8">
        <v>4878.5</v>
      </c>
      <c r="DF8">
        <v>86954.3</v>
      </c>
      <c r="DG8">
        <v>1065.8</v>
      </c>
      <c r="DI8">
        <v>28871.9</v>
      </c>
      <c r="DJ8">
        <v>497.2</v>
      </c>
      <c r="DL8">
        <v>412466.6</v>
      </c>
      <c r="DM8">
        <v>6991.8</v>
      </c>
      <c r="DO8">
        <v>378811.9</v>
      </c>
      <c r="DP8">
        <v>7962.2</v>
      </c>
      <c r="DR8">
        <v>477463.6</v>
      </c>
      <c r="DS8">
        <v>11656.1</v>
      </c>
      <c r="DU8">
        <v>2365614.2000000002</v>
      </c>
      <c r="DV8">
        <v>24023.8</v>
      </c>
      <c r="DX8">
        <v>432849.8</v>
      </c>
      <c r="DY8">
        <v>4825.2</v>
      </c>
      <c r="EA8">
        <v>105912.9</v>
      </c>
      <c r="EB8">
        <v>2315.3000000000002</v>
      </c>
      <c r="ED8">
        <v>205617.6</v>
      </c>
      <c r="EE8">
        <v>4094.8</v>
      </c>
      <c r="EG8">
        <v>84943.2</v>
      </c>
      <c r="EH8">
        <v>1574.4</v>
      </c>
      <c r="EJ8">
        <v>254092</v>
      </c>
      <c r="EK8">
        <v>6545.7</v>
      </c>
      <c r="EM8">
        <v>167087.4</v>
      </c>
      <c r="EN8">
        <v>5432</v>
      </c>
      <c r="EP8">
        <v>57139</v>
      </c>
      <c r="EQ8">
        <v>2104.4</v>
      </c>
      <c r="ES8">
        <v>871500.7</v>
      </c>
      <c r="ET8">
        <v>4071.8</v>
      </c>
      <c r="EV8">
        <v>17371.7</v>
      </c>
      <c r="EW8">
        <v>285.10000000000002</v>
      </c>
      <c r="EY8">
        <v>16430.3</v>
      </c>
      <c r="EZ8">
        <v>43.9</v>
      </c>
      <c r="FB8">
        <v>1374</v>
      </c>
      <c r="FC8">
        <v>55.4</v>
      </c>
      <c r="FE8">
        <v>4396.5</v>
      </c>
      <c r="FF8">
        <v>100.3</v>
      </c>
      <c r="FH8">
        <v>989.4</v>
      </c>
      <c r="FI8">
        <v>119.3</v>
      </c>
      <c r="FK8">
        <v>80944.600000000006</v>
      </c>
      <c r="FL8">
        <v>1170.3</v>
      </c>
      <c r="FN8">
        <v>48568.9</v>
      </c>
      <c r="FO8">
        <v>874</v>
      </c>
      <c r="FQ8">
        <v>18709.3</v>
      </c>
      <c r="FR8">
        <v>189.4</v>
      </c>
    </row>
    <row r="9" spans="1:175" x14ac:dyDescent="0.2">
      <c r="A9" t="s">
        <v>73</v>
      </c>
      <c r="B9">
        <v>1622328.3</v>
      </c>
      <c r="C9">
        <v>1343.3</v>
      </c>
      <c r="E9">
        <v>361281.7</v>
      </c>
      <c r="F9">
        <v>3031.5</v>
      </c>
      <c r="H9">
        <v>9509040.1999999993</v>
      </c>
      <c r="I9">
        <v>72992.7</v>
      </c>
      <c r="K9">
        <v>12098020.300000001</v>
      </c>
      <c r="L9">
        <v>19699.5</v>
      </c>
      <c r="N9">
        <v>14504173.199999999</v>
      </c>
      <c r="O9">
        <v>204609.1</v>
      </c>
      <c r="Q9">
        <v>1909697</v>
      </c>
      <c r="R9">
        <v>26577.5</v>
      </c>
      <c r="T9">
        <v>13680434.199999999</v>
      </c>
      <c r="U9">
        <v>182050</v>
      </c>
      <c r="W9">
        <v>3086795.7</v>
      </c>
      <c r="X9">
        <v>29535.8</v>
      </c>
      <c r="Z9">
        <v>5590480.7999999998</v>
      </c>
      <c r="AA9">
        <v>42504.4</v>
      </c>
      <c r="AC9">
        <v>828816.8</v>
      </c>
      <c r="AD9">
        <v>9144.5</v>
      </c>
      <c r="AF9" s="27">
        <v>2982768</v>
      </c>
      <c r="AG9">
        <v>28280</v>
      </c>
      <c r="AI9" s="28">
        <v>3466198</v>
      </c>
      <c r="AJ9">
        <v>18489.400000000001</v>
      </c>
      <c r="AL9">
        <v>3294492</v>
      </c>
      <c r="AM9">
        <v>26336.9</v>
      </c>
      <c r="AO9">
        <v>15412130.6</v>
      </c>
      <c r="AP9">
        <v>46478.8</v>
      </c>
      <c r="AR9">
        <v>6557098</v>
      </c>
      <c r="AS9">
        <v>13868.9</v>
      </c>
      <c r="AU9">
        <v>17693346.199999999</v>
      </c>
      <c r="AV9">
        <v>67429.399999999994</v>
      </c>
      <c r="AX9">
        <v>16222915.6</v>
      </c>
      <c r="AY9">
        <v>72400</v>
      </c>
      <c r="BA9">
        <v>3639755.3</v>
      </c>
      <c r="BB9">
        <v>24926.2</v>
      </c>
      <c r="BD9">
        <v>3160063.7</v>
      </c>
      <c r="BE9">
        <v>13848.5</v>
      </c>
      <c r="BG9">
        <v>3046236.7</v>
      </c>
      <c r="BH9">
        <v>17342.5</v>
      </c>
      <c r="BJ9">
        <v>18106614.899999999</v>
      </c>
      <c r="BK9">
        <v>78426.100000000006</v>
      </c>
      <c r="BM9">
        <v>5234333.7</v>
      </c>
      <c r="BN9">
        <v>96995.4</v>
      </c>
      <c r="BP9">
        <v>3911079.2</v>
      </c>
      <c r="BQ9">
        <v>51771.5</v>
      </c>
      <c r="BS9">
        <v>667342.5</v>
      </c>
      <c r="BT9">
        <v>3917.8</v>
      </c>
      <c r="BV9">
        <v>3883237.9</v>
      </c>
      <c r="BW9">
        <v>37181.199999999997</v>
      </c>
      <c r="BY9">
        <v>12171482.9</v>
      </c>
      <c r="BZ9">
        <v>127491.3</v>
      </c>
      <c r="CB9">
        <v>4240595.3</v>
      </c>
      <c r="CC9">
        <v>45813.8</v>
      </c>
      <c r="CE9">
        <v>3699481.1</v>
      </c>
      <c r="CF9">
        <v>126318.1</v>
      </c>
      <c r="CH9">
        <v>8838598.6999999993</v>
      </c>
      <c r="CI9">
        <v>63410.5</v>
      </c>
      <c r="CK9">
        <v>13102479.199999999</v>
      </c>
      <c r="CL9">
        <v>186038.7</v>
      </c>
      <c r="CN9">
        <v>3903742.8</v>
      </c>
      <c r="CO9">
        <v>59954.7</v>
      </c>
      <c r="CQ9">
        <v>2629312.6</v>
      </c>
      <c r="CR9">
        <v>56528.3</v>
      </c>
      <c r="CT9">
        <v>1987106.7</v>
      </c>
      <c r="CU9">
        <v>53058.2</v>
      </c>
      <c r="CW9">
        <v>2618204.4</v>
      </c>
      <c r="CX9">
        <v>37837.5</v>
      </c>
      <c r="CZ9">
        <v>29171.9</v>
      </c>
      <c r="DA9">
        <v>379.6</v>
      </c>
      <c r="DC9">
        <v>900513.8</v>
      </c>
      <c r="DD9">
        <v>12969.6</v>
      </c>
      <c r="DF9">
        <v>158623.79999999999</v>
      </c>
      <c r="DG9">
        <v>5272.9</v>
      </c>
      <c r="DI9">
        <v>57288.3</v>
      </c>
      <c r="DJ9">
        <v>89.7</v>
      </c>
      <c r="DL9">
        <v>820643.3</v>
      </c>
      <c r="DM9">
        <v>20602.7</v>
      </c>
      <c r="DO9">
        <v>722164.9</v>
      </c>
      <c r="DP9">
        <v>14022.7</v>
      </c>
      <c r="DR9">
        <v>935997.3</v>
      </c>
      <c r="DS9">
        <v>17736</v>
      </c>
      <c r="DU9">
        <v>3145748.1</v>
      </c>
      <c r="DV9">
        <v>51695.3</v>
      </c>
      <c r="DX9">
        <v>860781</v>
      </c>
      <c r="DY9">
        <v>15826.5</v>
      </c>
      <c r="EA9">
        <v>191006.6</v>
      </c>
      <c r="EB9">
        <v>2960.5</v>
      </c>
      <c r="ED9">
        <v>403807.6</v>
      </c>
      <c r="EE9">
        <v>3164.1</v>
      </c>
      <c r="EG9">
        <v>168412.79999999999</v>
      </c>
      <c r="EH9">
        <v>2228.6999999999998</v>
      </c>
      <c r="EJ9">
        <v>260481.3</v>
      </c>
      <c r="EK9">
        <v>5070.6000000000004</v>
      </c>
      <c r="EM9">
        <v>329108.40000000002</v>
      </c>
      <c r="EN9">
        <v>2661.5</v>
      </c>
      <c r="EP9">
        <v>58647.3</v>
      </c>
      <c r="EQ9">
        <v>1555.5</v>
      </c>
      <c r="ES9">
        <v>1775256.3</v>
      </c>
      <c r="ET9">
        <v>25739.8</v>
      </c>
      <c r="EV9">
        <v>35538.1</v>
      </c>
      <c r="EW9">
        <v>1043.9000000000001</v>
      </c>
      <c r="EY9">
        <v>31089</v>
      </c>
      <c r="EZ9">
        <v>419.8</v>
      </c>
      <c r="FB9">
        <v>2632.2</v>
      </c>
      <c r="FC9">
        <v>67.599999999999994</v>
      </c>
      <c r="FE9">
        <v>8328</v>
      </c>
      <c r="FF9">
        <v>79</v>
      </c>
      <c r="FH9">
        <v>978.3</v>
      </c>
      <c r="FI9">
        <v>65.3</v>
      </c>
      <c r="FK9">
        <v>84003.9</v>
      </c>
      <c r="FL9">
        <v>375.7</v>
      </c>
      <c r="FN9">
        <v>95047.5</v>
      </c>
      <c r="FO9">
        <v>983.4</v>
      </c>
      <c r="FQ9">
        <v>18336.400000000001</v>
      </c>
      <c r="FR9">
        <v>447.9</v>
      </c>
    </row>
    <row r="10" spans="1:175" x14ac:dyDescent="0.2">
      <c r="A10" t="s">
        <v>74</v>
      </c>
      <c r="B10">
        <v>14086.4</v>
      </c>
      <c r="C10">
        <v>191.9</v>
      </c>
      <c r="E10">
        <v>1095.5</v>
      </c>
      <c r="F10">
        <v>101.6</v>
      </c>
      <c r="H10">
        <v>28288.1</v>
      </c>
      <c r="I10">
        <v>640.29999999999995</v>
      </c>
      <c r="K10">
        <v>27870</v>
      </c>
      <c r="L10">
        <v>333.4</v>
      </c>
      <c r="N10">
        <v>1043.3</v>
      </c>
      <c r="O10">
        <v>161.19999999999999</v>
      </c>
      <c r="Q10">
        <v>2706.5</v>
      </c>
      <c r="R10">
        <v>259.10000000000002</v>
      </c>
      <c r="T10">
        <v>4954.1000000000004</v>
      </c>
      <c r="U10">
        <v>425.2</v>
      </c>
      <c r="W10">
        <v>3105</v>
      </c>
      <c r="X10">
        <v>73.3</v>
      </c>
      <c r="Z10">
        <v>1717.9</v>
      </c>
      <c r="AA10">
        <v>273.89999999999998</v>
      </c>
      <c r="AC10">
        <v>95.8</v>
      </c>
      <c r="AD10">
        <v>28.4</v>
      </c>
      <c r="AF10" s="27">
        <v>2719205.3</v>
      </c>
      <c r="AG10">
        <v>86555.1</v>
      </c>
      <c r="AI10" s="28">
        <v>724.3</v>
      </c>
      <c r="AJ10">
        <v>120.2</v>
      </c>
      <c r="AL10">
        <v>770.2</v>
      </c>
      <c r="AM10">
        <v>64.2</v>
      </c>
      <c r="AO10">
        <v>21240.799999999999</v>
      </c>
      <c r="AP10">
        <v>245.1</v>
      </c>
      <c r="AR10">
        <v>6356</v>
      </c>
      <c r="AS10">
        <v>314.7</v>
      </c>
      <c r="AU10">
        <v>1047.5</v>
      </c>
      <c r="AV10">
        <v>281.7</v>
      </c>
      <c r="AX10">
        <v>809.7</v>
      </c>
      <c r="AY10">
        <v>279.60000000000002</v>
      </c>
      <c r="BA10">
        <v>385.5</v>
      </c>
      <c r="BB10">
        <v>47.3</v>
      </c>
      <c r="BD10">
        <v>329.2</v>
      </c>
      <c r="BE10">
        <v>37.799999999999997</v>
      </c>
      <c r="BG10">
        <v>704.4</v>
      </c>
      <c r="BH10">
        <v>83</v>
      </c>
      <c r="BJ10">
        <v>1264.3</v>
      </c>
      <c r="BK10">
        <v>237.1</v>
      </c>
      <c r="BM10">
        <v>556.4</v>
      </c>
      <c r="BN10">
        <v>91.6</v>
      </c>
      <c r="BP10">
        <v>9594</v>
      </c>
      <c r="BQ10">
        <v>667.6</v>
      </c>
      <c r="BS10">
        <v>605562.6</v>
      </c>
      <c r="BT10">
        <v>18279.599999999999</v>
      </c>
      <c r="BV10">
        <v>714944.3</v>
      </c>
      <c r="BW10">
        <v>8378.6</v>
      </c>
      <c r="BY10">
        <v>3435.6</v>
      </c>
      <c r="BZ10">
        <v>532.9</v>
      </c>
      <c r="CB10">
        <v>1323.8</v>
      </c>
      <c r="CC10">
        <v>112.7</v>
      </c>
      <c r="CE10">
        <v>396.9</v>
      </c>
      <c r="CF10">
        <v>60.9</v>
      </c>
      <c r="CH10">
        <v>55386.8</v>
      </c>
      <c r="CI10">
        <v>1465.5</v>
      </c>
      <c r="CK10">
        <v>3924.7</v>
      </c>
      <c r="CL10">
        <v>182.8</v>
      </c>
      <c r="CN10">
        <v>124040.9</v>
      </c>
      <c r="CO10">
        <v>963.6</v>
      </c>
      <c r="CQ10">
        <v>17407.400000000001</v>
      </c>
      <c r="CR10">
        <v>133.6</v>
      </c>
      <c r="CT10">
        <v>23371.1</v>
      </c>
      <c r="CU10">
        <v>454.3</v>
      </c>
      <c r="CW10">
        <v>497674.2</v>
      </c>
      <c r="CX10">
        <v>4291.8999999999996</v>
      </c>
      <c r="CZ10">
        <v>359.3</v>
      </c>
      <c r="DA10">
        <v>107.7</v>
      </c>
      <c r="DC10">
        <v>30048.1</v>
      </c>
      <c r="DD10">
        <v>107.2</v>
      </c>
      <c r="DF10">
        <v>8326.4</v>
      </c>
      <c r="DG10">
        <v>488.4</v>
      </c>
      <c r="DI10">
        <v>22.2</v>
      </c>
      <c r="DJ10">
        <v>12.1</v>
      </c>
      <c r="DL10">
        <v>242.6</v>
      </c>
      <c r="DM10">
        <v>10.5</v>
      </c>
      <c r="DO10">
        <v>272.2</v>
      </c>
      <c r="DP10">
        <v>9.6</v>
      </c>
      <c r="DR10">
        <v>219.4</v>
      </c>
      <c r="DS10">
        <v>8.3000000000000007</v>
      </c>
      <c r="DU10">
        <v>1657.7</v>
      </c>
      <c r="DV10">
        <v>83.8</v>
      </c>
      <c r="DX10">
        <v>94.4</v>
      </c>
      <c r="DY10">
        <v>21</v>
      </c>
      <c r="EA10">
        <v>160.19999999999999</v>
      </c>
      <c r="EB10">
        <v>40.5</v>
      </c>
      <c r="ED10">
        <v>132.4</v>
      </c>
      <c r="EE10">
        <v>21</v>
      </c>
      <c r="EG10">
        <v>82.4</v>
      </c>
      <c r="EH10">
        <v>8.9</v>
      </c>
      <c r="EJ10">
        <v>236476.2</v>
      </c>
      <c r="EK10">
        <v>2871.8</v>
      </c>
      <c r="EM10">
        <v>164.4</v>
      </c>
      <c r="EN10">
        <v>149.5</v>
      </c>
      <c r="EP10">
        <v>54676.1</v>
      </c>
      <c r="EQ10">
        <v>378.7</v>
      </c>
      <c r="ES10">
        <v>11990.2</v>
      </c>
      <c r="ET10">
        <v>288.39999999999998</v>
      </c>
      <c r="EV10">
        <v>1.1000000000000001</v>
      </c>
      <c r="EW10">
        <v>1</v>
      </c>
      <c r="EY10">
        <v>3.3</v>
      </c>
      <c r="EZ10">
        <v>1.4</v>
      </c>
      <c r="FB10">
        <v>0</v>
      </c>
      <c r="FC10">
        <v>0</v>
      </c>
      <c r="FE10">
        <v>1840.3</v>
      </c>
      <c r="FF10">
        <v>179.1</v>
      </c>
      <c r="FH10">
        <v>1212.5999999999999</v>
      </c>
      <c r="FI10">
        <v>2.5</v>
      </c>
      <c r="FK10">
        <v>70778</v>
      </c>
      <c r="FL10">
        <v>1608.3</v>
      </c>
      <c r="FN10">
        <v>18.5</v>
      </c>
      <c r="FO10">
        <v>2.1</v>
      </c>
      <c r="FQ10">
        <v>16618.3</v>
      </c>
      <c r="FR10">
        <v>486</v>
      </c>
    </row>
    <row r="11" spans="1:175" x14ac:dyDescent="0.2">
      <c r="A11" t="s">
        <v>77</v>
      </c>
      <c r="B11">
        <v>151617</v>
      </c>
      <c r="C11">
        <v>487.8</v>
      </c>
      <c r="E11">
        <v>34137.699999999997</v>
      </c>
      <c r="F11">
        <v>248.2</v>
      </c>
      <c r="H11">
        <v>933148.4</v>
      </c>
      <c r="I11">
        <v>4039.3</v>
      </c>
      <c r="K11">
        <v>1208091.8</v>
      </c>
      <c r="L11">
        <v>7249.3</v>
      </c>
      <c r="N11">
        <v>1413801.5</v>
      </c>
      <c r="O11">
        <v>6661.1</v>
      </c>
      <c r="Q11">
        <v>175980</v>
      </c>
      <c r="R11">
        <v>2299.3000000000002</v>
      </c>
      <c r="T11">
        <v>1354521.5</v>
      </c>
      <c r="U11">
        <v>11012.6</v>
      </c>
      <c r="W11">
        <v>274103.2</v>
      </c>
      <c r="X11">
        <v>1713.5</v>
      </c>
      <c r="Z11">
        <v>546108.6</v>
      </c>
      <c r="AA11">
        <v>4741.1000000000004</v>
      </c>
      <c r="AC11">
        <v>78621.8</v>
      </c>
      <c r="AD11">
        <v>487.6</v>
      </c>
      <c r="AF11" s="27">
        <v>2858802.3</v>
      </c>
      <c r="AG11">
        <v>80652.600000000006</v>
      </c>
      <c r="AI11" s="28">
        <v>307790.7</v>
      </c>
      <c r="AJ11">
        <v>7974.1</v>
      </c>
      <c r="AL11">
        <v>298227.3</v>
      </c>
      <c r="AM11">
        <v>3878.4</v>
      </c>
      <c r="AO11">
        <v>1574444.5</v>
      </c>
      <c r="AP11">
        <v>25083</v>
      </c>
      <c r="AR11">
        <v>642174.19999999995</v>
      </c>
      <c r="AS11">
        <v>10867.4</v>
      </c>
      <c r="AU11">
        <v>1734539.5</v>
      </c>
      <c r="AV11">
        <v>19299.3</v>
      </c>
      <c r="AX11">
        <v>1590466</v>
      </c>
      <c r="AY11">
        <v>22823.200000000001</v>
      </c>
      <c r="BA11">
        <v>325157.09999999998</v>
      </c>
      <c r="BB11">
        <v>1261.9000000000001</v>
      </c>
      <c r="BD11">
        <v>280926.2</v>
      </c>
      <c r="BE11">
        <v>3050.4</v>
      </c>
      <c r="BG11">
        <v>270422.40000000002</v>
      </c>
      <c r="BH11">
        <v>3745.1</v>
      </c>
      <c r="BJ11">
        <v>1867085.7</v>
      </c>
      <c r="BK11">
        <v>25201.599999999999</v>
      </c>
      <c r="BM11">
        <v>507059.6</v>
      </c>
      <c r="BN11">
        <v>6965.9</v>
      </c>
      <c r="BP11">
        <v>391133.8</v>
      </c>
      <c r="BQ11">
        <v>1160.5999999999999</v>
      </c>
      <c r="BS11">
        <v>658191.5</v>
      </c>
      <c r="BT11">
        <v>2796</v>
      </c>
      <c r="BV11">
        <v>1100141.3</v>
      </c>
      <c r="BW11">
        <v>5415.4</v>
      </c>
      <c r="BY11">
        <v>1247031.8</v>
      </c>
      <c r="BZ11">
        <v>19062.099999999999</v>
      </c>
      <c r="CB11">
        <v>418358.3</v>
      </c>
      <c r="CC11">
        <v>5975.5</v>
      </c>
      <c r="CE11">
        <v>352419.3</v>
      </c>
      <c r="CF11">
        <v>1569.7</v>
      </c>
      <c r="CH11">
        <v>934368.3</v>
      </c>
      <c r="CI11">
        <v>9612</v>
      </c>
      <c r="CK11">
        <v>1353441.7</v>
      </c>
      <c r="CL11">
        <v>2624.1</v>
      </c>
      <c r="CN11">
        <v>438674.6</v>
      </c>
      <c r="CO11">
        <v>5196.1000000000004</v>
      </c>
      <c r="CQ11">
        <v>252691.9</v>
      </c>
      <c r="CR11">
        <v>4835.6000000000004</v>
      </c>
      <c r="CT11">
        <v>201765.9</v>
      </c>
      <c r="CU11">
        <v>5121.1000000000004</v>
      </c>
      <c r="CW11">
        <v>678002.8</v>
      </c>
      <c r="CX11">
        <v>2585.8000000000002</v>
      </c>
      <c r="CZ11">
        <v>3329.1</v>
      </c>
      <c r="DA11">
        <v>139.9</v>
      </c>
      <c r="DC11">
        <v>106330.4</v>
      </c>
      <c r="DD11">
        <v>299.8</v>
      </c>
      <c r="DF11">
        <v>22111.7</v>
      </c>
      <c r="DG11">
        <v>345.1</v>
      </c>
      <c r="DI11">
        <v>5646.8</v>
      </c>
      <c r="DJ11">
        <v>42.5</v>
      </c>
      <c r="DL11">
        <v>78060.3</v>
      </c>
      <c r="DM11">
        <v>771.3</v>
      </c>
      <c r="DO11">
        <v>68254.100000000006</v>
      </c>
      <c r="DP11">
        <v>1285.8</v>
      </c>
      <c r="DR11">
        <v>87484.2</v>
      </c>
      <c r="DS11">
        <v>277.8</v>
      </c>
      <c r="DU11">
        <v>279108.7</v>
      </c>
      <c r="DV11">
        <v>1358.4</v>
      </c>
      <c r="DX11">
        <v>81957.7</v>
      </c>
      <c r="DY11">
        <v>1033</v>
      </c>
      <c r="EA11">
        <v>18672.900000000001</v>
      </c>
      <c r="EB11">
        <v>647.20000000000005</v>
      </c>
      <c r="ED11">
        <v>38629.199999999997</v>
      </c>
      <c r="EE11">
        <v>469.9</v>
      </c>
      <c r="EG11">
        <v>16171.8</v>
      </c>
      <c r="EH11">
        <v>158.30000000000001</v>
      </c>
      <c r="EJ11">
        <v>247818.4</v>
      </c>
      <c r="EK11">
        <v>2070.6</v>
      </c>
      <c r="EM11">
        <v>32204.9</v>
      </c>
      <c r="EN11">
        <v>612.5</v>
      </c>
      <c r="EP11">
        <v>56724.4</v>
      </c>
      <c r="EQ11">
        <v>745.1</v>
      </c>
      <c r="ES11">
        <v>171685.5</v>
      </c>
      <c r="ET11">
        <v>3513.4</v>
      </c>
      <c r="EV11">
        <v>3723.7</v>
      </c>
      <c r="EW11">
        <v>101.3</v>
      </c>
      <c r="EY11">
        <v>3038.4</v>
      </c>
      <c r="EZ11">
        <v>164.1</v>
      </c>
      <c r="FB11">
        <v>271.39999999999998</v>
      </c>
      <c r="FC11">
        <v>12.7</v>
      </c>
      <c r="FE11">
        <v>943.8</v>
      </c>
      <c r="FF11">
        <v>48.6</v>
      </c>
      <c r="FH11">
        <v>978.3</v>
      </c>
      <c r="FI11">
        <v>62.8</v>
      </c>
      <c r="FK11">
        <v>80253.7</v>
      </c>
      <c r="FL11">
        <v>790.7</v>
      </c>
      <c r="FN11">
        <v>9407.7999999999993</v>
      </c>
      <c r="FO11">
        <v>137.80000000000001</v>
      </c>
      <c r="FQ11">
        <v>17409</v>
      </c>
      <c r="FR11">
        <v>345.1</v>
      </c>
    </row>
    <row r="12" spans="1:175" x14ac:dyDescent="0.2">
      <c r="A12" t="s">
        <v>78</v>
      </c>
      <c r="B12">
        <v>9431.2000000000007</v>
      </c>
      <c r="C12">
        <v>696.2</v>
      </c>
      <c r="E12">
        <v>766.9</v>
      </c>
      <c r="F12">
        <v>54.4</v>
      </c>
      <c r="H12">
        <v>21136.799999999999</v>
      </c>
      <c r="I12">
        <v>1751.4</v>
      </c>
      <c r="K12">
        <v>26000.9</v>
      </c>
      <c r="L12">
        <v>579.6</v>
      </c>
      <c r="N12">
        <v>731.7</v>
      </c>
      <c r="O12">
        <v>780.2</v>
      </c>
      <c r="Q12">
        <v>720</v>
      </c>
      <c r="R12">
        <v>84.6</v>
      </c>
      <c r="T12">
        <v>3889.3</v>
      </c>
      <c r="U12">
        <v>500.2</v>
      </c>
      <c r="W12">
        <v>2314.4</v>
      </c>
      <c r="X12">
        <v>261.10000000000002</v>
      </c>
      <c r="Z12">
        <v>1214.3</v>
      </c>
      <c r="AA12">
        <v>237.8</v>
      </c>
      <c r="AC12">
        <v>64.599999999999994</v>
      </c>
      <c r="AD12">
        <v>23</v>
      </c>
      <c r="AF12" s="27">
        <v>2839956</v>
      </c>
      <c r="AG12">
        <v>28587.5</v>
      </c>
      <c r="AI12" s="28">
        <v>706.6</v>
      </c>
      <c r="AJ12">
        <v>47.2</v>
      </c>
      <c r="AL12">
        <v>868.1</v>
      </c>
      <c r="AM12">
        <v>68</v>
      </c>
      <c r="AO12">
        <v>16569.8</v>
      </c>
      <c r="AP12">
        <v>677.9</v>
      </c>
      <c r="AR12">
        <v>5009.3999999999996</v>
      </c>
      <c r="AS12">
        <v>277.7</v>
      </c>
      <c r="AU12">
        <v>334.4</v>
      </c>
      <c r="AV12">
        <v>49.1</v>
      </c>
      <c r="AX12">
        <v>168.8</v>
      </c>
      <c r="AY12">
        <v>19</v>
      </c>
      <c r="BA12">
        <v>143.80000000000001</v>
      </c>
      <c r="BB12">
        <v>27.8</v>
      </c>
      <c r="BD12">
        <v>140.6</v>
      </c>
      <c r="BE12">
        <v>43.4</v>
      </c>
      <c r="BG12">
        <v>391.7</v>
      </c>
      <c r="BH12">
        <v>27.3</v>
      </c>
      <c r="BJ12">
        <v>364.6</v>
      </c>
      <c r="BK12">
        <v>87.8</v>
      </c>
      <c r="BM12">
        <v>276.10000000000002</v>
      </c>
      <c r="BN12">
        <v>58.9</v>
      </c>
      <c r="BP12">
        <v>5237.8999999999996</v>
      </c>
      <c r="BQ12">
        <v>77.2</v>
      </c>
      <c r="BS12">
        <v>636473.5</v>
      </c>
      <c r="BT12">
        <v>2697.5</v>
      </c>
      <c r="BV12">
        <v>799996.3</v>
      </c>
      <c r="BW12">
        <v>9367.9</v>
      </c>
      <c r="BY12">
        <v>876.5</v>
      </c>
      <c r="BZ12">
        <v>29</v>
      </c>
      <c r="CB12">
        <v>2849.5</v>
      </c>
      <c r="CC12">
        <v>183.2</v>
      </c>
      <c r="CE12">
        <v>1871.3</v>
      </c>
      <c r="CF12">
        <v>23</v>
      </c>
      <c r="CH12">
        <v>55440.5</v>
      </c>
      <c r="CI12">
        <v>643.6</v>
      </c>
      <c r="CK12">
        <v>3526.3</v>
      </c>
      <c r="CL12">
        <v>34.6</v>
      </c>
      <c r="CN12">
        <v>77428</v>
      </c>
      <c r="CO12">
        <v>1602.8</v>
      </c>
      <c r="CQ12">
        <v>12835.2</v>
      </c>
      <c r="CR12">
        <v>241.1</v>
      </c>
      <c r="CT12">
        <v>18167.3</v>
      </c>
      <c r="CU12">
        <v>703.4</v>
      </c>
      <c r="CW12">
        <v>467696.7</v>
      </c>
      <c r="CX12">
        <v>1672.3</v>
      </c>
      <c r="CZ12">
        <v>425</v>
      </c>
      <c r="DA12">
        <v>51</v>
      </c>
      <c r="DC12">
        <v>25900.7</v>
      </c>
      <c r="DD12">
        <v>327</v>
      </c>
      <c r="DF12">
        <v>7192.4</v>
      </c>
      <c r="DG12">
        <v>127.3</v>
      </c>
      <c r="DI12">
        <v>25</v>
      </c>
      <c r="DJ12">
        <v>16.899999999999999</v>
      </c>
      <c r="DL12">
        <v>245.4</v>
      </c>
      <c r="DM12">
        <v>31.6</v>
      </c>
      <c r="DO12">
        <v>375.9</v>
      </c>
      <c r="DP12">
        <v>15.3</v>
      </c>
      <c r="DR12">
        <v>150.9</v>
      </c>
      <c r="DS12">
        <v>28</v>
      </c>
      <c r="DU12">
        <v>2678.3</v>
      </c>
      <c r="DV12">
        <v>104.5</v>
      </c>
      <c r="DX12">
        <v>48.1</v>
      </c>
      <c r="DY12">
        <v>16.3</v>
      </c>
      <c r="EA12">
        <v>154.6</v>
      </c>
      <c r="EB12">
        <v>8.5</v>
      </c>
      <c r="ED12">
        <v>232.4</v>
      </c>
      <c r="EE12">
        <v>36.299999999999997</v>
      </c>
      <c r="EG12">
        <v>163</v>
      </c>
      <c r="EH12">
        <v>47.7</v>
      </c>
      <c r="EJ12">
        <v>246478.1</v>
      </c>
      <c r="EK12">
        <v>8881.2000000000007</v>
      </c>
      <c r="EM12">
        <v>74.099999999999994</v>
      </c>
      <c r="EN12">
        <v>0.8</v>
      </c>
      <c r="EP12">
        <v>56078.7</v>
      </c>
      <c r="EQ12">
        <v>1399.1</v>
      </c>
      <c r="ES12">
        <v>9515.4</v>
      </c>
      <c r="ET12">
        <v>223.7</v>
      </c>
      <c r="EV12">
        <v>0.6</v>
      </c>
      <c r="EW12">
        <v>1</v>
      </c>
      <c r="EY12">
        <v>15</v>
      </c>
      <c r="EZ12">
        <v>7.7</v>
      </c>
      <c r="FB12">
        <v>32.1</v>
      </c>
      <c r="FC12">
        <v>14.4</v>
      </c>
      <c r="FE12">
        <v>1399.5</v>
      </c>
      <c r="FF12">
        <v>42.7</v>
      </c>
      <c r="FH12">
        <v>845.9</v>
      </c>
      <c r="FI12">
        <v>26.3</v>
      </c>
      <c r="FK12">
        <v>75692.399999999994</v>
      </c>
      <c r="FL12">
        <v>1774.3</v>
      </c>
      <c r="FN12">
        <v>20.7</v>
      </c>
      <c r="FO12">
        <v>6.5</v>
      </c>
      <c r="FQ12">
        <v>17560.599999999999</v>
      </c>
      <c r="FR12">
        <v>455.6</v>
      </c>
    </row>
    <row r="13" spans="1:175" x14ac:dyDescent="0.2">
      <c r="A13" t="s">
        <v>79</v>
      </c>
      <c r="B13">
        <v>45237.3</v>
      </c>
      <c r="C13">
        <v>692.6</v>
      </c>
      <c r="E13">
        <v>8008.3</v>
      </c>
      <c r="F13">
        <v>50.9</v>
      </c>
      <c r="H13">
        <v>213168.1</v>
      </c>
      <c r="I13">
        <v>490.7</v>
      </c>
      <c r="K13">
        <v>6214568.5</v>
      </c>
      <c r="L13">
        <v>112554</v>
      </c>
      <c r="N13">
        <v>3357.3</v>
      </c>
      <c r="O13">
        <v>345.3</v>
      </c>
      <c r="Q13">
        <v>335323.7</v>
      </c>
      <c r="R13">
        <v>4616.8</v>
      </c>
      <c r="T13">
        <v>5387</v>
      </c>
      <c r="U13">
        <v>103.1</v>
      </c>
      <c r="W13">
        <v>3780.7</v>
      </c>
      <c r="X13">
        <v>245.5</v>
      </c>
      <c r="Z13">
        <v>10470.4</v>
      </c>
      <c r="AA13">
        <v>71.400000000000006</v>
      </c>
      <c r="AC13">
        <v>8175.2</v>
      </c>
      <c r="AD13">
        <v>90.2</v>
      </c>
      <c r="AF13" s="27">
        <v>2946253</v>
      </c>
      <c r="AG13">
        <v>54847.4</v>
      </c>
      <c r="AI13" s="28">
        <v>1321.7</v>
      </c>
      <c r="AJ13">
        <v>132.69999999999999</v>
      </c>
      <c r="AL13">
        <v>270436.8</v>
      </c>
      <c r="AM13">
        <v>3681.4</v>
      </c>
      <c r="AO13">
        <v>20336.8</v>
      </c>
      <c r="AP13">
        <v>715.8</v>
      </c>
      <c r="AR13">
        <v>1576732.2</v>
      </c>
      <c r="AS13">
        <v>33964.6</v>
      </c>
      <c r="AU13">
        <v>3215.5</v>
      </c>
      <c r="AV13">
        <v>46.3</v>
      </c>
      <c r="AX13">
        <v>3027.8</v>
      </c>
      <c r="AY13">
        <v>103.1</v>
      </c>
      <c r="BA13">
        <v>702.4</v>
      </c>
      <c r="BB13">
        <v>92.8</v>
      </c>
      <c r="BD13">
        <v>610.6</v>
      </c>
      <c r="BE13">
        <v>28.2</v>
      </c>
      <c r="BG13">
        <v>874.4</v>
      </c>
      <c r="BH13">
        <v>57.8</v>
      </c>
      <c r="BJ13">
        <v>3276</v>
      </c>
      <c r="BK13">
        <v>152.5</v>
      </c>
      <c r="BM13">
        <v>1049.5999999999999</v>
      </c>
      <c r="BN13">
        <v>45.7</v>
      </c>
      <c r="BP13">
        <v>4570.3</v>
      </c>
      <c r="BQ13">
        <v>195.1</v>
      </c>
      <c r="BS13">
        <v>657505.30000000005</v>
      </c>
      <c r="BT13">
        <v>9043.6</v>
      </c>
      <c r="BV13">
        <v>612534</v>
      </c>
      <c r="BW13">
        <v>32553.7</v>
      </c>
      <c r="BY13">
        <v>137925.70000000001</v>
      </c>
      <c r="BZ13">
        <v>1378.6</v>
      </c>
      <c r="CB13">
        <v>125883.5</v>
      </c>
      <c r="CC13">
        <v>2715.5</v>
      </c>
      <c r="CE13">
        <v>107614.6</v>
      </c>
      <c r="CF13">
        <v>458.4</v>
      </c>
      <c r="CH13">
        <v>305872.90000000002</v>
      </c>
      <c r="CI13">
        <v>7016.7</v>
      </c>
      <c r="CK13">
        <v>273520</v>
      </c>
      <c r="CL13">
        <v>4214.5</v>
      </c>
      <c r="CN13">
        <v>16104063.800000001</v>
      </c>
      <c r="CO13">
        <v>705301.6</v>
      </c>
      <c r="CQ13">
        <v>4270605.9000000004</v>
      </c>
      <c r="CR13">
        <v>132766.5</v>
      </c>
      <c r="CT13">
        <v>138666.6</v>
      </c>
      <c r="CU13">
        <v>5810.7</v>
      </c>
      <c r="CW13">
        <v>520290.4</v>
      </c>
      <c r="CX13">
        <v>10486</v>
      </c>
      <c r="CZ13">
        <v>526</v>
      </c>
      <c r="DA13">
        <v>22.6</v>
      </c>
      <c r="DC13">
        <v>28621.1</v>
      </c>
      <c r="DD13">
        <v>313.3</v>
      </c>
      <c r="DF13">
        <v>1038150.1</v>
      </c>
      <c r="DG13">
        <v>60407.8</v>
      </c>
      <c r="DI13">
        <v>37</v>
      </c>
      <c r="DJ13">
        <v>18.5</v>
      </c>
      <c r="DL13">
        <v>49178.6</v>
      </c>
      <c r="DM13">
        <v>2976.6</v>
      </c>
      <c r="DO13">
        <v>22715.7</v>
      </c>
      <c r="DP13">
        <v>949</v>
      </c>
      <c r="DR13">
        <v>56737.1</v>
      </c>
      <c r="DS13">
        <v>1349</v>
      </c>
      <c r="DU13">
        <v>130535.4</v>
      </c>
      <c r="DV13">
        <v>4513.7</v>
      </c>
      <c r="DX13">
        <v>35245.9</v>
      </c>
      <c r="DY13">
        <v>1296.4000000000001</v>
      </c>
      <c r="EA13">
        <v>19004.099999999999</v>
      </c>
      <c r="EB13">
        <v>202.1</v>
      </c>
      <c r="ED13">
        <v>14385.2</v>
      </c>
      <c r="EE13">
        <v>245.4</v>
      </c>
      <c r="EG13">
        <v>6055.7</v>
      </c>
      <c r="EH13">
        <v>265.7</v>
      </c>
      <c r="EJ13">
        <v>263547.40000000002</v>
      </c>
      <c r="EK13">
        <v>1153.9000000000001</v>
      </c>
      <c r="EM13">
        <v>126.4</v>
      </c>
      <c r="EN13">
        <v>7.2</v>
      </c>
      <c r="EP13">
        <v>51491.7</v>
      </c>
      <c r="EQ13">
        <v>12986.6</v>
      </c>
      <c r="ES13">
        <v>763330.2</v>
      </c>
      <c r="ET13">
        <v>8916.2999999999993</v>
      </c>
      <c r="EV13">
        <v>9.4</v>
      </c>
      <c r="EW13">
        <v>3.5</v>
      </c>
      <c r="EY13">
        <v>2934.4</v>
      </c>
      <c r="EZ13">
        <v>78.2</v>
      </c>
      <c r="FB13">
        <v>69.599999999999994</v>
      </c>
      <c r="FC13">
        <v>14.8</v>
      </c>
      <c r="FE13">
        <v>812.6</v>
      </c>
      <c r="FF13">
        <v>16.8</v>
      </c>
      <c r="FH13">
        <v>1004.5</v>
      </c>
      <c r="FI13">
        <v>71.8</v>
      </c>
      <c r="FK13">
        <v>82137.100000000006</v>
      </c>
      <c r="FL13">
        <v>1210.5</v>
      </c>
      <c r="FN13">
        <v>36.5</v>
      </c>
      <c r="FO13">
        <v>5.0999999999999996</v>
      </c>
      <c r="FQ13">
        <v>18154.2</v>
      </c>
      <c r="FR13">
        <v>548.29999999999995</v>
      </c>
    </row>
    <row r="14" spans="1:175" x14ac:dyDescent="0.2">
      <c r="A14" t="s">
        <v>80</v>
      </c>
      <c r="B14">
        <v>2336074.2999999998</v>
      </c>
      <c r="C14">
        <v>22436.7</v>
      </c>
      <c r="E14">
        <v>416061.9</v>
      </c>
      <c r="F14">
        <v>11405.7</v>
      </c>
      <c r="H14">
        <v>9643445.1999999993</v>
      </c>
      <c r="I14">
        <v>80229.5</v>
      </c>
      <c r="K14">
        <v>307535102.19999999</v>
      </c>
      <c r="L14">
        <v>2327084.1</v>
      </c>
      <c r="N14">
        <v>40112.199999999997</v>
      </c>
      <c r="O14">
        <v>678</v>
      </c>
      <c r="Q14">
        <v>16538504.1</v>
      </c>
      <c r="R14">
        <v>225818.6</v>
      </c>
      <c r="T14">
        <v>22631.4</v>
      </c>
      <c r="U14">
        <v>592.5</v>
      </c>
      <c r="W14">
        <v>42012.9</v>
      </c>
      <c r="X14">
        <v>1805.1</v>
      </c>
      <c r="Z14">
        <v>574439.30000000005</v>
      </c>
      <c r="AA14">
        <v>10744.6</v>
      </c>
      <c r="AC14">
        <v>436032.8</v>
      </c>
      <c r="AD14">
        <v>7628.1</v>
      </c>
      <c r="AF14" s="27">
        <v>2818909</v>
      </c>
      <c r="AG14">
        <v>45770.3</v>
      </c>
      <c r="AI14" s="28">
        <v>16160.5</v>
      </c>
      <c r="AJ14">
        <v>786.7</v>
      </c>
      <c r="AL14">
        <v>11905521.699999999</v>
      </c>
      <c r="AM14">
        <v>178082</v>
      </c>
      <c r="AO14">
        <v>18981.7</v>
      </c>
      <c r="AP14">
        <v>626.4</v>
      </c>
      <c r="AR14">
        <v>70036343.400000006</v>
      </c>
      <c r="AS14">
        <v>213299.8</v>
      </c>
      <c r="AU14">
        <v>24563.7</v>
      </c>
      <c r="AV14">
        <v>785.8</v>
      </c>
      <c r="AX14">
        <v>16936.900000000001</v>
      </c>
      <c r="AY14">
        <v>424.7</v>
      </c>
      <c r="BA14">
        <v>2868.2</v>
      </c>
      <c r="BB14">
        <v>176.7</v>
      </c>
      <c r="BD14">
        <v>980.7</v>
      </c>
      <c r="BE14">
        <v>15.4</v>
      </c>
      <c r="BG14">
        <v>4058.2</v>
      </c>
      <c r="BH14">
        <v>243.5</v>
      </c>
      <c r="BJ14">
        <v>1576.1</v>
      </c>
      <c r="BK14">
        <v>49.1</v>
      </c>
      <c r="BM14">
        <v>645</v>
      </c>
      <c r="BN14">
        <v>54.7</v>
      </c>
      <c r="BP14">
        <v>9107.7999999999993</v>
      </c>
      <c r="BQ14">
        <v>381.1</v>
      </c>
      <c r="BS14">
        <v>635480.80000000005</v>
      </c>
      <c r="BT14">
        <v>11082.1</v>
      </c>
      <c r="BV14">
        <v>5808.4</v>
      </c>
      <c r="BW14">
        <v>208.1</v>
      </c>
      <c r="BY14">
        <v>5833091.2000000002</v>
      </c>
      <c r="BZ14">
        <v>150784.5</v>
      </c>
      <c r="CB14">
        <v>5383333.5999999996</v>
      </c>
      <c r="CC14">
        <v>60715.3</v>
      </c>
      <c r="CE14">
        <v>4496608.4000000004</v>
      </c>
      <c r="CF14">
        <v>50899.1</v>
      </c>
      <c r="CH14">
        <v>11004755.699999999</v>
      </c>
      <c r="CI14">
        <v>257613.1</v>
      </c>
      <c r="CK14">
        <v>10747707.699999999</v>
      </c>
      <c r="CL14">
        <v>204908.1</v>
      </c>
      <c r="CN14">
        <v>842383782.5</v>
      </c>
      <c r="CO14">
        <v>8945347.1999999993</v>
      </c>
      <c r="CQ14">
        <v>215236382.5</v>
      </c>
      <c r="CR14">
        <v>4694103.3</v>
      </c>
      <c r="CT14">
        <v>6145337.7999999998</v>
      </c>
      <c r="CU14">
        <v>179048.4</v>
      </c>
      <c r="CW14">
        <v>829927.4</v>
      </c>
      <c r="CX14">
        <v>4277.7</v>
      </c>
      <c r="CZ14">
        <v>3491.3</v>
      </c>
      <c r="DA14">
        <v>67.7</v>
      </c>
      <c r="DC14">
        <v>53261.599999999999</v>
      </c>
      <c r="DD14">
        <v>568.20000000000005</v>
      </c>
      <c r="DF14">
        <v>52860349</v>
      </c>
      <c r="DG14">
        <v>157953.1</v>
      </c>
      <c r="DI14">
        <v>321.3</v>
      </c>
      <c r="DJ14">
        <v>23.6</v>
      </c>
      <c r="DL14">
        <v>2566704</v>
      </c>
      <c r="DM14">
        <v>29425</v>
      </c>
      <c r="DO14">
        <v>1085615.1000000001</v>
      </c>
      <c r="DP14">
        <v>54245.599999999999</v>
      </c>
      <c r="DR14">
        <v>2941162.7</v>
      </c>
      <c r="DS14">
        <v>81031.199999999997</v>
      </c>
      <c r="DU14">
        <v>6301861.5</v>
      </c>
      <c r="DV14">
        <v>218306.8</v>
      </c>
      <c r="DX14">
        <v>1875641.5</v>
      </c>
      <c r="DY14">
        <v>52161.9</v>
      </c>
      <c r="EA14">
        <v>963920.9</v>
      </c>
      <c r="EB14">
        <v>17399.2</v>
      </c>
      <c r="ED14">
        <v>694560.3</v>
      </c>
      <c r="EE14">
        <v>5774.5</v>
      </c>
      <c r="EG14">
        <v>288936.09999999998</v>
      </c>
      <c r="EH14">
        <v>3826.1</v>
      </c>
      <c r="EJ14">
        <v>248905.1</v>
      </c>
      <c r="EK14">
        <v>873.6</v>
      </c>
      <c r="EM14">
        <v>1732.8</v>
      </c>
      <c r="EN14">
        <v>98.7</v>
      </c>
      <c r="EP14">
        <v>57211.5</v>
      </c>
      <c r="EQ14">
        <v>1384.6</v>
      </c>
      <c r="ES14">
        <v>38861247.399999999</v>
      </c>
      <c r="ET14">
        <v>1145972.8999999999</v>
      </c>
      <c r="EV14">
        <v>15.6</v>
      </c>
      <c r="EW14">
        <v>9.1999999999999993</v>
      </c>
      <c r="EY14">
        <v>71916.3</v>
      </c>
      <c r="EZ14">
        <v>461.3</v>
      </c>
      <c r="FB14">
        <v>1094.5999999999999</v>
      </c>
      <c r="FC14">
        <v>30.9</v>
      </c>
      <c r="FE14">
        <v>3726.9</v>
      </c>
      <c r="FF14">
        <v>109.8</v>
      </c>
      <c r="FH14">
        <v>1318.8</v>
      </c>
      <c r="FI14">
        <v>71.599999999999994</v>
      </c>
      <c r="FK14">
        <v>78926.600000000006</v>
      </c>
      <c r="FL14">
        <v>961.6</v>
      </c>
      <c r="FN14">
        <v>485.2</v>
      </c>
      <c r="FO14">
        <v>15.2</v>
      </c>
      <c r="FQ14">
        <v>17767.2</v>
      </c>
      <c r="FR14">
        <v>694.3</v>
      </c>
    </row>
    <row r="15" spans="1:175" x14ac:dyDescent="0.2">
      <c r="A15" t="s">
        <v>81</v>
      </c>
      <c r="B15">
        <v>11648.2</v>
      </c>
      <c r="C15">
        <v>965.6</v>
      </c>
      <c r="E15">
        <v>990</v>
      </c>
      <c r="F15">
        <v>114.5</v>
      </c>
      <c r="H15">
        <v>33533.5</v>
      </c>
      <c r="I15">
        <v>1426.8</v>
      </c>
      <c r="K15">
        <v>430918.6</v>
      </c>
      <c r="L15">
        <v>22760.6</v>
      </c>
      <c r="N15">
        <v>1403</v>
      </c>
      <c r="O15">
        <v>74</v>
      </c>
      <c r="Q15">
        <v>43390.6</v>
      </c>
      <c r="R15">
        <v>4479.2</v>
      </c>
      <c r="T15">
        <v>2214.4</v>
      </c>
      <c r="U15">
        <v>91.1</v>
      </c>
      <c r="W15">
        <v>2852.6</v>
      </c>
      <c r="X15">
        <v>107.1</v>
      </c>
      <c r="Z15">
        <v>2333.1999999999998</v>
      </c>
      <c r="AA15">
        <v>799.7</v>
      </c>
      <c r="AC15">
        <v>817</v>
      </c>
      <c r="AD15">
        <v>234.8</v>
      </c>
      <c r="AF15" s="27">
        <v>2802342.3</v>
      </c>
      <c r="AG15">
        <v>15396.5</v>
      </c>
      <c r="AI15" s="28">
        <v>470.9</v>
      </c>
      <c r="AJ15">
        <v>81.3</v>
      </c>
      <c r="AL15">
        <v>20887.3</v>
      </c>
      <c r="AM15">
        <v>2949.5</v>
      </c>
      <c r="AO15">
        <v>7499.3</v>
      </c>
      <c r="AP15">
        <v>403.4</v>
      </c>
      <c r="AR15">
        <v>121998.9</v>
      </c>
      <c r="AS15">
        <v>9552.2999999999993</v>
      </c>
      <c r="AU15">
        <v>1681.4</v>
      </c>
      <c r="AV15">
        <v>25.4</v>
      </c>
      <c r="AX15">
        <v>3127.9</v>
      </c>
      <c r="AY15">
        <v>101.2</v>
      </c>
      <c r="BA15">
        <v>467.8</v>
      </c>
      <c r="BB15">
        <v>32.799999999999997</v>
      </c>
      <c r="BD15">
        <v>174</v>
      </c>
      <c r="BE15">
        <v>51.6</v>
      </c>
      <c r="BG15">
        <v>613.79999999999995</v>
      </c>
      <c r="BH15">
        <v>47</v>
      </c>
      <c r="BJ15">
        <v>302.10000000000002</v>
      </c>
      <c r="BK15">
        <v>34.6</v>
      </c>
      <c r="BM15">
        <v>221.9</v>
      </c>
      <c r="BN15">
        <v>52.2</v>
      </c>
      <c r="BP15">
        <v>2077.8000000000002</v>
      </c>
      <c r="BQ15">
        <v>93.1</v>
      </c>
      <c r="BS15">
        <v>644456.69999999995</v>
      </c>
      <c r="BT15">
        <v>9252.2999999999993</v>
      </c>
      <c r="BV15">
        <v>3466.9</v>
      </c>
      <c r="BW15">
        <v>169.6</v>
      </c>
      <c r="BY15">
        <v>10347.200000000001</v>
      </c>
      <c r="BZ15">
        <v>769</v>
      </c>
      <c r="CB15">
        <v>8711.2999999999993</v>
      </c>
      <c r="CC15">
        <v>743.8</v>
      </c>
      <c r="CE15">
        <v>7484.6</v>
      </c>
      <c r="CF15">
        <v>364</v>
      </c>
      <c r="CH15">
        <v>17886.7</v>
      </c>
      <c r="CI15">
        <v>1265.9000000000001</v>
      </c>
      <c r="CK15">
        <v>17809.400000000001</v>
      </c>
      <c r="CL15">
        <v>604.9</v>
      </c>
      <c r="CN15">
        <v>1634382.8</v>
      </c>
      <c r="CO15">
        <v>109437.9</v>
      </c>
      <c r="CQ15">
        <v>211252</v>
      </c>
      <c r="CR15">
        <v>24860</v>
      </c>
      <c r="CT15">
        <v>258275</v>
      </c>
      <c r="CU15">
        <v>6397.2</v>
      </c>
      <c r="CW15">
        <v>479758.4</v>
      </c>
      <c r="CX15">
        <v>1425.7</v>
      </c>
      <c r="CZ15">
        <v>17465.900000000001</v>
      </c>
      <c r="DA15">
        <v>384.7</v>
      </c>
      <c r="DC15">
        <v>30134.3</v>
      </c>
      <c r="DD15">
        <v>700.9</v>
      </c>
      <c r="DF15">
        <v>59129</v>
      </c>
      <c r="DG15">
        <v>8852.7999999999993</v>
      </c>
      <c r="DI15">
        <v>82.4</v>
      </c>
      <c r="DJ15">
        <v>31</v>
      </c>
      <c r="DL15">
        <v>2432.6999999999998</v>
      </c>
      <c r="DM15">
        <v>228.1</v>
      </c>
      <c r="DO15">
        <v>1542.8</v>
      </c>
      <c r="DP15">
        <v>58.3</v>
      </c>
      <c r="DR15">
        <v>2792.3</v>
      </c>
      <c r="DS15">
        <v>269.60000000000002</v>
      </c>
      <c r="DU15">
        <v>12374.4</v>
      </c>
      <c r="DV15">
        <v>570.5</v>
      </c>
      <c r="DX15">
        <v>1541.8</v>
      </c>
      <c r="DY15">
        <v>85.1</v>
      </c>
      <c r="EA15">
        <v>848.5</v>
      </c>
      <c r="EB15">
        <v>144.4</v>
      </c>
      <c r="ED15">
        <v>5391.8</v>
      </c>
      <c r="EE15">
        <v>107.4</v>
      </c>
      <c r="EG15">
        <v>3154.8</v>
      </c>
      <c r="EH15">
        <v>25</v>
      </c>
      <c r="EJ15">
        <v>247590.39999999999</v>
      </c>
      <c r="EK15">
        <v>9151.2999999999993</v>
      </c>
      <c r="EM15">
        <v>56</v>
      </c>
      <c r="EN15">
        <v>6.3</v>
      </c>
      <c r="EP15">
        <v>56912.2</v>
      </c>
      <c r="EQ15">
        <v>989.6</v>
      </c>
      <c r="ES15">
        <v>55024.800000000003</v>
      </c>
      <c r="ET15">
        <v>3129.1</v>
      </c>
      <c r="EV15">
        <v>2.2000000000000002</v>
      </c>
      <c r="EW15">
        <v>2.5</v>
      </c>
      <c r="EY15">
        <v>106.5</v>
      </c>
      <c r="EZ15">
        <v>20.5</v>
      </c>
      <c r="FB15">
        <v>13.9</v>
      </c>
      <c r="FC15">
        <v>3.1</v>
      </c>
      <c r="FE15">
        <v>654.29999999999995</v>
      </c>
      <c r="FF15">
        <v>92.5</v>
      </c>
      <c r="FH15">
        <v>789.6</v>
      </c>
      <c r="FI15">
        <v>46.8</v>
      </c>
      <c r="FK15">
        <v>76902.7</v>
      </c>
      <c r="FL15">
        <v>1296.2</v>
      </c>
      <c r="FN15">
        <v>11.7</v>
      </c>
      <c r="FO15">
        <v>2.8</v>
      </c>
      <c r="FQ15">
        <v>17484.099999999999</v>
      </c>
      <c r="FR15">
        <v>429.4</v>
      </c>
    </row>
    <row r="16" spans="1:175" x14ac:dyDescent="0.2">
      <c r="A16" t="s">
        <v>82</v>
      </c>
      <c r="B16">
        <v>75618.8</v>
      </c>
      <c r="C16">
        <v>1015</v>
      </c>
      <c r="E16">
        <v>16803.5</v>
      </c>
      <c r="F16">
        <v>346.7</v>
      </c>
      <c r="H16">
        <v>451822</v>
      </c>
      <c r="I16">
        <v>4341.8999999999996</v>
      </c>
      <c r="K16">
        <v>603996.19999999995</v>
      </c>
      <c r="L16">
        <v>3077.2</v>
      </c>
      <c r="N16">
        <v>640908.6</v>
      </c>
      <c r="O16">
        <v>1311.9</v>
      </c>
      <c r="Q16">
        <v>87157.9</v>
      </c>
      <c r="R16">
        <v>167.6</v>
      </c>
      <c r="T16">
        <v>619631.6</v>
      </c>
      <c r="U16">
        <v>11201.9</v>
      </c>
      <c r="W16">
        <v>129658</v>
      </c>
      <c r="X16">
        <v>2724.6</v>
      </c>
      <c r="Z16">
        <v>254670</v>
      </c>
      <c r="AA16">
        <v>2422.5</v>
      </c>
      <c r="AC16">
        <v>35867.9</v>
      </c>
      <c r="AD16">
        <v>555.1</v>
      </c>
      <c r="AF16" s="27">
        <v>2931790.3</v>
      </c>
      <c r="AG16">
        <v>79711.899999999994</v>
      </c>
      <c r="AI16" s="28">
        <v>141727.79999999999</v>
      </c>
      <c r="AJ16">
        <v>2555.6</v>
      </c>
      <c r="AL16">
        <v>145081.1</v>
      </c>
      <c r="AM16">
        <v>3867.9</v>
      </c>
      <c r="AO16">
        <v>705565.7</v>
      </c>
      <c r="AP16">
        <v>6132.3</v>
      </c>
      <c r="AR16">
        <v>313467.7</v>
      </c>
      <c r="AS16">
        <v>7500.7</v>
      </c>
      <c r="AU16">
        <v>772621.4</v>
      </c>
      <c r="AV16">
        <v>19603</v>
      </c>
      <c r="AX16">
        <v>719527.9</v>
      </c>
      <c r="AY16">
        <v>18567.400000000001</v>
      </c>
      <c r="BA16">
        <v>151567.79999999999</v>
      </c>
      <c r="BB16">
        <v>4184.3999999999996</v>
      </c>
      <c r="BD16">
        <v>130502.2</v>
      </c>
      <c r="BE16">
        <v>2692.5</v>
      </c>
      <c r="BG16">
        <v>125890.8</v>
      </c>
      <c r="BH16">
        <v>1794.4</v>
      </c>
      <c r="BJ16">
        <v>853329.7</v>
      </c>
      <c r="BK16">
        <v>15001.2</v>
      </c>
      <c r="BM16">
        <v>237374.4</v>
      </c>
      <c r="BN16">
        <v>5100.6000000000004</v>
      </c>
      <c r="BP16">
        <v>186034.3</v>
      </c>
      <c r="BQ16">
        <v>2603.3000000000002</v>
      </c>
      <c r="BS16">
        <v>650558.4</v>
      </c>
      <c r="BT16">
        <v>6120.7</v>
      </c>
      <c r="BV16">
        <v>148355.4</v>
      </c>
      <c r="BW16">
        <v>3023.1</v>
      </c>
      <c r="BY16">
        <v>573245.9</v>
      </c>
      <c r="BZ16">
        <v>3123.6</v>
      </c>
      <c r="CB16">
        <v>197812</v>
      </c>
      <c r="CC16">
        <v>1188.0999999999999</v>
      </c>
      <c r="CE16">
        <v>166978.1</v>
      </c>
      <c r="CF16">
        <v>3421.4</v>
      </c>
      <c r="CH16">
        <v>417822.5</v>
      </c>
      <c r="CI16">
        <v>4439.6000000000004</v>
      </c>
      <c r="CK16">
        <v>634027.69999999995</v>
      </c>
      <c r="CL16">
        <v>9221.7999999999993</v>
      </c>
      <c r="CN16">
        <v>2388740.7000000002</v>
      </c>
      <c r="CO16">
        <v>107691.5</v>
      </c>
      <c r="CQ16">
        <v>163458.79999999999</v>
      </c>
      <c r="CR16">
        <v>24215.8</v>
      </c>
      <c r="CT16">
        <v>558167.1</v>
      </c>
      <c r="CU16">
        <v>9035.1</v>
      </c>
      <c r="CW16">
        <v>603012.6</v>
      </c>
      <c r="CX16">
        <v>10642.5</v>
      </c>
      <c r="CZ16">
        <v>18664.5</v>
      </c>
      <c r="DA16">
        <v>306.2</v>
      </c>
      <c r="DC16">
        <v>69347</v>
      </c>
      <c r="DD16">
        <v>349.5</v>
      </c>
      <c r="DF16">
        <v>26666.5</v>
      </c>
      <c r="DG16">
        <v>5333</v>
      </c>
      <c r="DI16">
        <v>2719.1</v>
      </c>
      <c r="DJ16">
        <v>219.7</v>
      </c>
      <c r="DL16">
        <v>37093</v>
      </c>
      <c r="DM16">
        <v>925.8</v>
      </c>
      <c r="DO16">
        <v>33816.9</v>
      </c>
      <c r="DP16">
        <v>826.2</v>
      </c>
      <c r="DR16">
        <v>42738.400000000001</v>
      </c>
      <c r="DS16">
        <v>567.6</v>
      </c>
      <c r="DU16">
        <v>145644.70000000001</v>
      </c>
      <c r="DV16">
        <v>753</v>
      </c>
      <c r="DX16">
        <v>38370.9</v>
      </c>
      <c r="DY16">
        <v>620.9</v>
      </c>
      <c r="EA16">
        <v>8814.2000000000007</v>
      </c>
      <c r="EB16">
        <v>135.30000000000001</v>
      </c>
      <c r="ED16">
        <v>34479.9</v>
      </c>
      <c r="EE16">
        <v>366.5</v>
      </c>
      <c r="EG16">
        <v>14207.1</v>
      </c>
      <c r="EH16">
        <v>266.10000000000002</v>
      </c>
      <c r="EJ16">
        <v>253551.4</v>
      </c>
      <c r="EK16">
        <v>8091</v>
      </c>
      <c r="EM16">
        <v>15156.5</v>
      </c>
      <c r="EN16">
        <v>515</v>
      </c>
      <c r="EP16">
        <v>57933.4</v>
      </c>
      <c r="EQ16">
        <v>975.4</v>
      </c>
      <c r="ES16">
        <v>144722.1</v>
      </c>
      <c r="ET16">
        <v>814.8</v>
      </c>
      <c r="EV16">
        <v>1514.2</v>
      </c>
      <c r="EW16">
        <v>48.5</v>
      </c>
      <c r="EY16">
        <v>1705.2</v>
      </c>
      <c r="EZ16">
        <v>49.1</v>
      </c>
      <c r="FB16">
        <v>141.69999999999999</v>
      </c>
      <c r="FC16">
        <v>2.9</v>
      </c>
      <c r="FE16">
        <v>1372.8</v>
      </c>
      <c r="FF16">
        <v>159.5</v>
      </c>
      <c r="FH16">
        <v>841.4</v>
      </c>
      <c r="FI16">
        <v>56</v>
      </c>
      <c r="FK16">
        <v>78621.3</v>
      </c>
      <c r="FL16">
        <v>3131.1</v>
      </c>
      <c r="FN16">
        <v>4471.1000000000004</v>
      </c>
      <c r="FO16">
        <v>183.1</v>
      </c>
      <c r="FQ16">
        <v>17218.8</v>
      </c>
      <c r="FR16">
        <v>338.3</v>
      </c>
    </row>
    <row r="17" spans="1:174" x14ac:dyDescent="0.2">
      <c r="A17" t="s">
        <v>83</v>
      </c>
      <c r="B17">
        <v>10816.9</v>
      </c>
      <c r="C17">
        <v>306.5</v>
      </c>
      <c r="E17">
        <v>743.4</v>
      </c>
      <c r="F17">
        <v>62.4</v>
      </c>
      <c r="H17">
        <v>26621.3</v>
      </c>
      <c r="I17">
        <v>230</v>
      </c>
      <c r="K17">
        <v>76435.8</v>
      </c>
      <c r="L17">
        <v>2344.6999999999998</v>
      </c>
      <c r="N17">
        <v>2330</v>
      </c>
      <c r="O17">
        <v>112.8</v>
      </c>
      <c r="Q17">
        <v>8982.6</v>
      </c>
      <c r="R17">
        <v>225</v>
      </c>
      <c r="T17">
        <v>2024.5</v>
      </c>
      <c r="U17">
        <v>92.5</v>
      </c>
      <c r="W17">
        <v>2241.5</v>
      </c>
      <c r="X17">
        <v>59.5</v>
      </c>
      <c r="Z17">
        <v>23183.599999999999</v>
      </c>
      <c r="AA17">
        <v>673.2</v>
      </c>
      <c r="AC17">
        <v>822.2</v>
      </c>
      <c r="AD17">
        <v>70.8</v>
      </c>
      <c r="AF17" s="27">
        <v>2915773.3</v>
      </c>
      <c r="AG17">
        <v>24772.7</v>
      </c>
      <c r="AI17" s="28">
        <v>5904.3</v>
      </c>
      <c r="AJ17">
        <v>191.6</v>
      </c>
      <c r="AL17">
        <v>22631.3</v>
      </c>
      <c r="AM17">
        <v>283.60000000000002</v>
      </c>
      <c r="AO17">
        <v>17430.599999999999</v>
      </c>
      <c r="AP17">
        <v>516.20000000000005</v>
      </c>
      <c r="AR17">
        <v>23960.3</v>
      </c>
      <c r="AS17">
        <v>388</v>
      </c>
      <c r="AU17">
        <v>3086.2</v>
      </c>
      <c r="AV17">
        <v>71.7</v>
      </c>
      <c r="AX17">
        <v>5667.5</v>
      </c>
      <c r="AY17">
        <v>180.3</v>
      </c>
      <c r="BA17">
        <v>689.9</v>
      </c>
      <c r="BB17">
        <v>40.299999999999997</v>
      </c>
      <c r="BD17">
        <v>194.8</v>
      </c>
      <c r="BE17">
        <v>9.5</v>
      </c>
      <c r="BG17">
        <v>662.7</v>
      </c>
      <c r="BH17">
        <v>16.5</v>
      </c>
      <c r="BJ17">
        <v>367.7</v>
      </c>
      <c r="BK17">
        <v>20.399999999999999</v>
      </c>
      <c r="BM17">
        <v>245.8</v>
      </c>
      <c r="BN17">
        <v>25.3</v>
      </c>
      <c r="BP17">
        <v>4539</v>
      </c>
      <c r="BQ17">
        <v>94</v>
      </c>
      <c r="BS17">
        <v>657133.6</v>
      </c>
      <c r="BT17">
        <v>8311.4</v>
      </c>
      <c r="BV17">
        <v>3466.9</v>
      </c>
      <c r="BW17">
        <v>86.7</v>
      </c>
      <c r="BY17">
        <v>764.9</v>
      </c>
      <c r="BZ17">
        <v>92.9</v>
      </c>
      <c r="CB17">
        <v>24540.7</v>
      </c>
      <c r="CC17">
        <v>474.6</v>
      </c>
      <c r="CE17">
        <v>20966</v>
      </c>
      <c r="CF17">
        <v>532.9</v>
      </c>
      <c r="CH17">
        <v>51694.1</v>
      </c>
      <c r="CI17">
        <v>125.5</v>
      </c>
      <c r="CK17">
        <v>5016.7</v>
      </c>
      <c r="CL17">
        <v>751.7</v>
      </c>
      <c r="CN17">
        <v>1400166.8</v>
      </c>
      <c r="CO17">
        <v>14408.9</v>
      </c>
      <c r="CQ17">
        <v>75294.8</v>
      </c>
      <c r="CR17">
        <v>1113.9000000000001</v>
      </c>
      <c r="CT17">
        <v>434365.9</v>
      </c>
      <c r="CU17">
        <v>11238.1</v>
      </c>
      <c r="CW17">
        <v>600835.1</v>
      </c>
      <c r="CX17">
        <v>5889</v>
      </c>
      <c r="CZ17">
        <v>11501.6</v>
      </c>
      <c r="DA17">
        <v>135</v>
      </c>
      <c r="DC17">
        <v>44865.7</v>
      </c>
      <c r="DD17">
        <v>277.8</v>
      </c>
      <c r="DF17">
        <v>28303.4</v>
      </c>
      <c r="DG17">
        <v>440.4</v>
      </c>
      <c r="DI17">
        <v>209.3</v>
      </c>
      <c r="DJ17">
        <v>27</v>
      </c>
      <c r="DL17">
        <v>647.4</v>
      </c>
      <c r="DM17">
        <v>44.5</v>
      </c>
      <c r="DO17">
        <v>166038.5</v>
      </c>
      <c r="DP17">
        <v>2556.1</v>
      </c>
      <c r="DR17">
        <v>48022.9</v>
      </c>
      <c r="DS17">
        <v>1091.2</v>
      </c>
      <c r="DU17">
        <v>407000.4</v>
      </c>
      <c r="DV17">
        <v>5609.3</v>
      </c>
      <c r="DX17">
        <v>897.7</v>
      </c>
      <c r="DY17">
        <v>22.2</v>
      </c>
      <c r="EA17">
        <v>9411.2999999999993</v>
      </c>
      <c r="EB17">
        <v>185.6</v>
      </c>
      <c r="ED17">
        <v>22094.2</v>
      </c>
      <c r="EE17">
        <v>297.10000000000002</v>
      </c>
      <c r="EG17">
        <v>8630.5</v>
      </c>
      <c r="EH17">
        <v>265.89999999999998</v>
      </c>
      <c r="EJ17">
        <v>254172.4</v>
      </c>
      <c r="EK17">
        <v>2895.3</v>
      </c>
      <c r="EM17">
        <v>611.20000000000005</v>
      </c>
      <c r="EN17">
        <v>54.7</v>
      </c>
      <c r="EP17">
        <v>58748.5</v>
      </c>
      <c r="EQ17">
        <v>1150.4000000000001</v>
      </c>
      <c r="ES17">
        <v>137380.20000000001</v>
      </c>
      <c r="ET17">
        <v>2187.9</v>
      </c>
      <c r="EV17">
        <v>0.6</v>
      </c>
      <c r="EW17">
        <v>1</v>
      </c>
      <c r="EY17">
        <v>16.7</v>
      </c>
      <c r="EZ17">
        <v>8.1</v>
      </c>
      <c r="FB17">
        <v>18.7</v>
      </c>
      <c r="FC17">
        <v>13.1</v>
      </c>
      <c r="FE17">
        <v>642.9</v>
      </c>
      <c r="FF17">
        <v>134.19999999999999</v>
      </c>
      <c r="FH17">
        <v>965.4</v>
      </c>
      <c r="FI17">
        <v>59.4</v>
      </c>
      <c r="FK17">
        <v>80979.100000000006</v>
      </c>
      <c r="FL17">
        <v>858.9</v>
      </c>
      <c r="FN17">
        <v>189.4</v>
      </c>
      <c r="FO17">
        <v>4.8</v>
      </c>
      <c r="FQ17">
        <v>17790.2</v>
      </c>
      <c r="FR17">
        <v>447.8</v>
      </c>
    </row>
    <row r="18" spans="1:174" x14ac:dyDescent="0.2">
      <c r="A18" t="s">
        <v>84</v>
      </c>
      <c r="B18">
        <v>13450.3</v>
      </c>
      <c r="C18">
        <v>405.5</v>
      </c>
      <c r="E18">
        <v>691.3</v>
      </c>
      <c r="F18">
        <v>143.19999999999999</v>
      </c>
      <c r="H18">
        <v>77764.2</v>
      </c>
      <c r="I18">
        <v>1015.2</v>
      </c>
      <c r="K18">
        <v>590824</v>
      </c>
      <c r="L18">
        <v>1799</v>
      </c>
      <c r="N18">
        <v>84763.3</v>
      </c>
      <c r="O18">
        <v>818.4</v>
      </c>
      <c r="Q18">
        <v>434357.3</v>
      </c>
      <c r="R18">
        <v>6901.9</v>
      </c>
      <c r="T18">
        <v>1947.4</v>
      </c>
      <c r="U18">
        <v>30.9</v>
      </c>
      <c r="W18">
        <v>3175.9</v>
      </c>
      <c r="X18">
        <v>20.3</v>
      </c>
      <c r="Z18">
        <v>14092.1</v>
      </c>
      <c r="AA18">
        <v>71.3</v>
      </c>
      <c r="AC18">
        <v>1925.5</v>
      </c>
      <c r="AD18">
        <v>155.4</v>
      </c>
      <c r="AF18" s="27">
        <v>2878078</v>
      </c>
      <c r="AG18">
        <v>81010.100000000006</v>
      </c>
      <c r="AI18" s="28">
        <v>30861.1</v>
      </c>
      <c r="AJ18">
        <v>543.70000000000005</v>
      </c>
      <c r="AL18">
        <v>60251.5</v>
      </c>
      <c r="AM18">
        <v>1856.8</v>
      </c>
      <c r="AO18">
        <v>10887.7</v>
      </c>
      <c r="AP18">
        <v>201.8</v>
      </c>
      <c r="AR18">
        <v>117664.2</v>
      </c>
      <c r="AS18">
        <v>2337.6999999999998</v>
      </c>
      <c r="AU18">
        <v>28732.799999999999</v>
      </c>
      <c r="AV18">
        <v>1140.0999999999999</v>
      </c>
      <c r="AX18">
        <v>62338.9</v>
      </c>
      <c r="AY18">
        <v>1082.0999999999999</v>
      </c>
      <c r="BA18">
        <v>5106.3999999999996</v>
      </c>
      <c r="BB18">
        <v>102.1</v>
      </c>
      <c r="BD18">
        <v>916.1</v>
      </c>
      <c r="BE18">
        <v>110.7</v>
      </c>
      <c r="BG18">
        <v>1545.9</v>
      </c>
      <c r="BH18">
        <v>127.8</v>
      </c>
      <c r="BJ18">
        <v>1159</v>
      </c>
      <c r="BK18">
        <v>59.9</v>
      </c>
      <c r="BM18">
        <v>1224.7</v>
      </c>
      <c r="BN18">
        <v>54.7</v>
      </c>
      <c r="BP18">
        <v>144400.1</v>
      </c>
      <c r="BQ18">
        <v>2093.9</v>
      </c>
      <c r="BS18">
        <v>659198.5</v>
      </c>
      <c r="BT18">
        <v>9386.6</v>
      </c>
      <c r="BV18">
        <v>3504.3</v>
      </c>
      <c r="BW18">
        <v>45.7</v>
      </c>
      <c r="BY18">
        <v>1346.8</v>
      </c>
      <c r="BZ18">
        <v>91.3</v>
      </c>
      <c r="CB18">
        <v>464651.1</v>
      </c>
      <c r="CC18">
        <v>5503.5</v>
      </c>
      <c r="CE18">
        <v>394029.6</v>
      </c>
      <c r="CF18">
        <v>4755.6000000000004</v>
      </c>
      <c r="CH18">
        <v>998108</v>
      </c>
      <c r="CI18">
        <v>15500</v>
      </c>
      <c r="CK18">
        <v>7922.7</v>
      </c>
      <c r="CL18">
        <v>200.2</v>
      </c>
      <c r="CN18">
        <v>1455902.2</v>
      </c>
      <c r="CO18">
        <v>12900.2</v>
      </c>
      <c r="CQ18">
        <v>1478869.9</v>
      </c>
      <c r="CR18">
        <v>32163</v>
      </c>
      <c r="CT18">
        <v>1334370.3999999999</v>
      </c>
      <c r="CU18">
        <v>52702.8</v>
      </c>
      <c r="CW18">
        <v>1512713.5</v>
      </c>
      <c r="CX18">
        <v>22511.8</v>
      </c>
      <c r="CZ18">
        <v>18867.7</v>
      </c>
      <c r="DA18">
        <v>651.29999999999995</v>
      </c>
      <c r="DC18">
        <v>241875</v>
      </c>
      <c r="DD18">
        <v>3872.5</v>
      </c>
      <c r="DF18">
        <v>347086.4</v>
      </c>
      <c r="DG18">
        <v>7678.5</v>
      </c>
      <c r="DI18">
        <v>3504.3</v>
      </c>
      <c r="DJ18">
        <v>311</v>
      </c>
      <c r="DL18">
        <v>3989.1</v>
      </c>
      <c r="DM18">
        <v>63.7</v>
      </c>
      <c r="DO18">
        <v>301900.7</v>
      </c>
      <c r="DP18">
        <v>5996</v>
      </c>
      <c r="DR18">
        <v>148719.79999999999</v>
      </c>
      <c r="DS18">
        <v>1871.7</v>
      </c>
      <c r="DU18">
        <v>3413614.8</v>
      </c>
      <c r="DV18">
        <v>82392</v>
      </c>
      <c r="DX18">
        <v>9713.7000000000007</v>
      </c>
      <c r="DY18">
        <v>218.5</v>
      </c>
      <c r="EA18">
        <v>44673.599999999999</v>
      </c>
      <c r="EB18">
        <v>409.4</v>
      </c>
      <c r="ED18">
        <v>62878.400000000001</v>
      </c>
      <c r="EE18">
        <v>363.1</v>
      </c>
      <c r="EG18">
        <v>42142.8</v>
      </c>
      <c r="EH18">
        <v>1330.4</v>
      </c>
      <c r="EJ18">
        <v>258583</v>
      </c>
      <c r="EK18">
        <v>4905</v>
      </c>
      <c r="EM18">
        <v>3262.3</v>
      </c>
      <c r="EN18">
        <v>119.7</v>
      </c>
      <c r="EP18">
        <v>59779.8</v>
      </c>
      <c r="EQ18">
        <v>1130.0999999999999</v>
      </c>
      <c r="ES18">
        <v>876342.7</v>
      </c>
      <c r="ET18">
        <v>16063.9</v>
      </c>
      <c r="EV18">
        <v>6.7</v>
      </c>
      <c r="EW18">
        <v>4.4000000000000004</v>
      </c>
      <c r="EY18">
        <v>91</v>
      </c>
      <c r="EZ18">
        <v>12.4</v>
      </c>
      <c r="FB18">
        <v>31.2</v>
      </c>
      <c r="FC18">
        <v>10.3</v>
      </c>
      <c r="FE18">
        <v>1052.7</v>
      </c>
      <c r="FF18">
        <v>162.9</v>
      </c>
      <c r="FH18">
        <v>922.6</v>
      </c>
      <c r="FI18">
        <v>40.6</v>
      </c>
      <c r="FK18">
        <v>79866.2</v>
      </c>
      <c r="FL18">
        <v>1215.5999999999999</v>
      </c>
      <c r="FN18">
        <v>933.3</v>
      </c>
      <c r="FO18">
        <v>39.5</v>
      </c>
      <c r="FQ18">
        <v>17666.900000000001</v>
      </c>
      <c r="FR18">
        <v>272</v>
      </c>
    </row>
    <row r="19" spans="1:174" x14ac:dyDescent="0.2">
      <c r="A19" t="s">
        <v>85</v>
      </c>
      <c r="B19">
        <v>11382.2</v>
      </c>
      <c r="C19">
        <v>122</v>
      </c>
      <c r="E19">
        <v>801.8</v>
      </c>
      <c r="F19">
        <v>19.7</v>
      </c>
      <c r="H19">
        <v>33048.9</v>
      </c>
      <c r="I19">
        <v>398.6</v>
      </c>
      <c r="K19">
        <v>85768.5</v>
      </c>
      <c r="L19">
        <v>1290.2</v>
      </c>
      <c r="N19">
        <v>3763</v>
      </c>
      <c r="O19">
        <v>92.1</v>
      </c>
      <c r="Q19">
        <v>48281.3</v>
      </c>
      <c r="R19">
        <v>159.6</v>
      </c>
      <c r="T19">
        <v>2472</v>
      </c>
      <c r="U19">
        <v>53.3</v>
      </c>
      <c r="W19">
        <v>2675.3</v>
      </c>
      <c r="X19">
        <v>179.9</v>
      </c>
      <c r="Z19">
        <v>37212.9</v>
      </c>
      <c r="AA19">
        <v>771.3</v>
      </c>
      <c r="AC19">
        <v>431.3</v>
      </c>
      <c r="AD19">
        <v>51.7</v>
      </c>
      <c r="AF19" s="27">
        <v>2929620</v>
      </c>
      <c r="AG19">
        <v>10630.3</v>
      </c>
      <c r="AI19" s="28">
        <v>16832.5</v>
      </c>
      <c r="AJ19">
        <v>332.1</v>
      </c>
      <c r="AL19">
        <v>207366.7</v>
      </c>
      <c r="AM19">
        <v>1797.4</v>
      </c>
      <c r="AO19">
        <v>9541.9</v>
      </c>
      <c r="AP19">
        <v>23</v>
      </c>
      <c r="AR19">
        <v>151200.5</v>
      </c>
      <c r="AS19">
        <v>2279.1</v>
      </c>
      <c r="AU19">
        <v>5205.5</v>
      </c>
      <c r="AV19">
        <v>100.7</v>
      </c>
      <c r="AX19">
        <v>9740</v>
      </c>
      <c r="AY19">
        <v>128.80000000000001</v>
      </c>
      <c r="BA19">
        <v>1122.5999999999999</v>
      </c>
      <c r="BB19">
        <v>70.7</v>
      </c>
      <c r="BD19">
        <v>285.39999999999998</v>
      </c>
      <c r="BE19">
        <v>17.2</v>
      </c>
      <c r="BG19">
        <v>677.3</v>
      </c>
      <c r="BH19">
        <v>96.6</v>
      </c>
      <c r="BJ19">
        <v>431.3</v>
      </c>
      <c r="BK19">
        <v>30.8</v>
      </c>
      <c r="BM19">
        <v>422</v>
      </c>
      <c r="BN19">
        <v>43.4</v>
      </c>
      <c r="BP19">
        <v>12821.1</v>
      </c>
      <c r="BQ19">
        <v>178.9</v>
      </c>
      <c r="BS19">
        <v>660819.69999999995</v>
      </c>
      <c r="BT19">
        <v>5936.7</v>
      </c>
      <c r="BV19">
        <v>3515.9</v>
      </c>
      <c r="BW19">
        <v>255.5</v>
      </c>
      <c r="BY19">
        <v>692.9</v>
      </c>
      <c r="BZ19">
        <v>44</v>
      </c>
      <c r="CB19">
        <v>560068.30000000005</v>
      </c>
      <c r="CC19">
        <v>7128</v>
      </c>
      <c r="CE19">
        <v>465017.4</v>
      </c>
      <c r="CF19">
        <v>7052.5</v>
      </c>
      <c r="CH19">
        <v>1191616.2</v>
      </c>
      <c r="CI19">
        <v>10658.6</v>
      </c>
      <c r="CK19">
        <v>1610909</v>
      </c>
      <c r="CL19">
        <v>17604.3</v>
      </c>
      <c r="CN19">
        <v>2142290.4</v>
      </c>
      <c r="CO19">
        <v>21204.1</v>
      </c>
      <c r="CQ19">
        <v>89667.8</v>
      </c>
      <c r="CR19">
        <v>1256.4000000000001</v>
      </c>
      <c r="CT19">
        <v>943111.4</v>
      </c>
      <c r="CU19">
        <v>13754.8</v>
      </c>
      <c r="CW19">
        <v>641496.69999999995</v>
      </c>
      <c r="CX19">
        <v>6197.8</v>
      </c>
      <c r="CZ19">
        <v>10994.3</v>
      </c>
      <c r="DA19">
        <v>368.8</v>
      </c>
      <c r="DC19">
        <v>40612.1</v>
      </c>
      <c r="DD19">
        <v>162.19999999999999</v>
      </c>
      <c r="DF19">
        <v>24392.1</v>
      </c>
      <c r="DG19">
        <v>635</v>
      </c>
      <c r="DI19">
        <v>299.10000000000002</v>
      </c>
      <c r="DJ19">
        <v>6.4</v>
      </c>
      <c r="DL19">
        <v>2218.5</v>
      </c>
      <c r="DM19">
        <v>51.5</v>
      </c>
      <c r="DO19">
        <v>792903.9</v>
      </c>
      <c r="DP19">
        <v>2020.9</v>
      </c>
      <c r="DR19">
        <v>307398.09999999998</v>
      </c>
      <c r="DS19">
        <v>4793.8</v>
      </c>
      <c r="DU19">
        <v>3032821.3</v>
      </c>
      <c r="DV19">
        <v>29146.799999999999</v>
      </c>
      <c r="DX19">
        <v>8574</v>
      </c>
      <c r="DY19">
        <v>330</v>
      </c>
      <c r="EA19">
        <v>148210.1</v>
      </c>
      <c r="EB19">
        <v>2034</v>
      </c>
      <c r="ED19">
        <v>484851.1</v>
      </c>
      <c r="EE19">
        <v>3287.7</v>
      </c>
      <c r="EG19">
        <v>15698.7</v>
      </c>
      <c r="EH19">
        <v>75</v>
      </c>
      <c r="EJ19">
        <v>257809.4</v>
      </c>
      <c r="EK19">
        <v>3841.4</v>
      </c>
      <c r="EM19">
        <v>1712.4</v>
      </c>
      <c r="EN19">
        <v>68.3</v>
      </c>
      <c r="EP19">
        <v>58624.7</v>
      </c>
      <c r="EQ19">
        <v>941.3</v>
      </c>
      <c r="ES19">
        <v>147906.5</v>
      </c>
      <c r="ET19">
        <v>1931.1</v>
      </c>
      <c r="EV19">
        <v>0</v>
      </c>
      <c r="EW19">
        <v>0</v>
      </c>
      <c r="EY19">
        <v>27.4</v>
      </c>
      <c r="EZ19">
        <v>16</v>
      </c>
      <c r="FB19">
        <v>18.2</v>
      </c>
      <c r="FC19">
        <v>16.2</v>
      </c>
      <c r="FE19">
        <v>957.9</v>
      </c>
      <c r="FF19">
        <v>139.19999999999999</v>
      </c>
      <c r="FH19">
        <v>1006.7</v>
      </c>
      <c r="FI19">
        <v>41.1</v>
      </c>
      <c r="FK19">
        <v>78457.899999999994</v>
      </c>
      <c r="FL19">
        <v>818.7</v>
      </c>
      <c r="FN19">
        <v>519.6</v>
      </c>
      <c r="FO19">
        <v>19.100000000000001</v>
      </c>
      <c r="FQ19">
        <v>18061.2</v>
      </c>
      <c r="FR19">
        <v>578.5</v>
      </c>
    </row>
    <row r="20" spans="1:174" x14ac:dyDescent="0.2">
      <c r="A20" t="s">
        <v>86</v>
      </c>
      <c r="B20">
        <v>160328.5</v>
      </c>
      <c r="C20">
        <v>2587</v>
      </c>
      <c r="E20">
        <v>36300.6</v>
      </c>
      <c r="F20">
        <v>460.6</v>
      </c>
      <c r="H20">
        <v>945224.8</v>
      </c>
      <c r="I20">
        <v>9741.7999999999993</v>
      </c>
      <c r="K20">
        <v>1253149.5</v>
      </c>
      <c r="L20">
        <v>5151.8</v>
      </c>
      <c r="N20">
        <v>1453022.2</v>
      </c>
      <c r="O20">
        <v>24071.3</v>
      </c>
      <c r="Q20">
        <v>179501.9</v>
      </c>
      <c r="R20">
        <v>1718.9</v>
      </c>
      <c r="T20">
        <v>1385984.5</v>
      </c>
      <c r="U20">
        <v>15491.3</v>
      </c>
      <c r="W20">
        <v>283554.09999999998</v>
      </c>
      <c r="X20">
        <v>2418.5</v>
      </c>
      <c r="Z20">
        <v>562288.30000000005</v>
      </c>
      <c r="AA20">
        <v>1855.2</v>
      </c>
      <c r="AC20">
        <v>80827.199999999997</v>
      </c>
      <c r="AD20">
        <v>1497.2</v>
      </c>
      <c r="AF20" s="27">
        <v>2969963</v>
      </c>
      <c r="AG20">
        <v>40112.300000000003</v>
      </c>
      <c r="AI20" s="28">
        <v>314171.5</v>
      </c>
      <c r="AJ20">
        <v>4784.5</v>
      </c>
      <c r="AL20">
        <v>304991.8</v>
      </c>
      <c r="AM20">
        <v>773</v>
      </c>
      <c r="AO20">
        <v>1583037.7</v>
      </c>
      <c r="AP20">
        <v>3208.6</v>
      </c>
      <c r="AR20">
        <v>659622.40000000002</v>
      </c>
      <c r="AS20">
        <v>2308.1</v>
      </c>
      <c r="AU20">
        <v>1765962</v>
      </c>
      <c r="AV20">
        <v>12993.9</v>
      </c>
      <c r="AX20">
        <v>1624389.2</v>
      </c>
      <c r="AY20">
        <v>11302.8</v>
      </c>
      <c r="BA20">
        <v>335899.6</v>
      </c>
      <c r="BB20">
        <v>1878</v>
      </c>
      <c r="BD20">
        <v>288469.2</v>
      </c>
      <c r="BE20">
        <v>1104.8</v>
      </c>
      <c r="BG20">
        <v>278174.7</v>
      </c>
      <c r="BH20">
        <v>4592.6000000000004</v>
      </c>
      <c r="BJ20">
        <v>1928323.7</v>
      </c>
      <c r="BK20">
        <v>32855.4</v>
      </c>
      <c r="BM20">
        <v>521769.8</v>
      </c>
      <c r="BN20">
        <v>3460.6</v>
      </c>
      <c r="BP20">
        <v>397144.7</v>
      </c>
      <c r="BQ20">
        <v>2768.5</v>
      </c>
      <c r="BS20">
        <v>668802.5</v>
      </c>
      <c r="BT20">
        <v>10993.8</v>
      </c>
      <c r="BV20">
        <v>308961.5</v>
      </c>
      <c r="BW20">
        <v>2292.9</v>
      </c>
      <c r="BY20">
        <v>1281798.2</v>
      </c>
      <c r="BZ20">
        <v>25411.3</v>
      </c>
      <c r="CB20">
        <v>428777.3</v>
      </c>
      <c r="CC20">
        <v>914.3</v>
      </c>
      <c r="CE20">
        <v>359517.6</v>
      </c>
      <c r="CF20">
        <v>2805.9</v>
      </c>
      <c r="CH20">
        <v>907644.8</v>
      </c>
      <c r="CI20">
        <v>9561.2999999999993</v>
      </c>
      <c r="CK20">
        <v>1391792.7</v>
      </c>
      <c r="CL20">
        <v>7010.9</v>
      </c>
      <c r="CN20">
        <v>437911.2</v>
      </c>
      <c r="CO20">
        <v>4242.1000000000004</v>
      </c>
      <c r="CQ20">
        <v>259055.6</v>
      </c>
      <c r="CR20">
        <v>1559.8</v>
      </c>
      <c r="CT20">
        <v>201882.1</v>
      </c>
      <c r="CU20">
        <v>923.6</v>
      </c>
      <c r="CW20">
        <v>696142.2</v>
      </c>
      <c r="CX20">
        <v>5162.8</v>
      </c>
      <c r="CZ20">
        <v>3514.5</v>
      </c>
      <c r="DA20">
        <v>97.9</v>
      </c>
      <c r="DC20">
        <v>110220.3</v>
      </c>
      <c r="DD20">
        <v>1496</v>
      </c>
      <c r="DF20">
        <v>24079.3</v>
      </c>
      <c r="DG20">
        <v>595.70000000000005</v>
      </c>
      <c r="DI20">
        <v>5666.3</v>
      </c>
      <c r="DJ20">
        <v>45.2</v>
      </c>
      <c r="DL20">
        <v>78188</v>
      </c>
      <c r="DM20">
        <v>1372.5</v>
      </c>
      <c r="DO20">
        <v>69611</v>
      </c>
      <c r="DP20">
        <v>1930.5</v>
      </c>
      <c r="DR20">
        <v>89753.4</v>
      </c>
      <c r="DS20">
        <v>456</v>
      </c>
      <c r="DU20">
        <v>288787.90000000002</v>
      </c>
      <c r="DV20">
        <v>6586.4</v>
      </c>
      <c r="DX20">
        <v>82389.399999999994</v>
      </c>
      <c r="DY20">
        <v>1312.9</v>
      </c>
      <c r="EA20">
        <v>19160</v>
      </c>
      <c r="EB20">
        <v>541.4</v>
      </c>
      <c r="ED20">
        <v>40524.1</v>
      </c>
      <c r="EE20">
        <v>487.8</v>
      </c>
      <c r="EG20">
        <v>16882.400000000001</v>
      </c>
      <c r="EH20">
        <v>479.3</v>
      </c>
      <c r="EJ20">
        <v>258712.1</v>
      </c>
      <c r="EK20">
        <v>1004.6</v>
      </c>
      <c r="EM20">
        <v>32546.9</v>
      </c>
      <c r="EN20">
        <v>382.8</v>
      </c>
      <c r="EP20">
        <v>59041</v>
      </c>
      <c r="EQ20">
        <v>1076.3</v>
      </c>
      <c r="ES20">
        <v>176181.1</v>
      </c>
      <c r="ET20">
        <v>1806.7</v>
      </c>
      <c r="EV20">
        <v>3581.7</v>
      </c>
      <c r="EW20">
        <v>23.7</v>
      </c>
      <c r="EY20">
        <v>3058.5</v>
      </c>
      <c r="EZ20">
        <v>41.6</v>
      </c>
      <c r="FB20">
        <v>273.89999999999998</v>
      </c>
      <c r="FC20">
        <v>16.7</v>
      </c>
      <c r="FE20">
        <v>1227.5</v>
      </c>
      <c r="FF20">
        <v>32.6</v>
      </c>
      <c r="FH20">
        <v>1000</v>
      </c>
      <c r="FI20">
        <v>79.3</v>
      </c>
      <c r="FK20">
        <v>81151.5</v>
      </c>
      <c r="FL20">
        <v>1354.6</v>
      </c>
      <c r="FN20">
        <v>9298.4</v>
      </c>
      <c r="FO20">
        <v>201</v>
      </c>
      <c r="FQ20">
        <v>18140.8</v>
      </c>
      <c r="FR20">
        <v>375.6</v>
      </c>
    </row>
    <row r="21" spans="1:174" x14ac:dyDescent="0.2">
      <c r="A21" t="s">
        <v>87</v>
      </c>
      <c r="B21">
        <v>10413.1</v>
      </c>
      <c r="C21">
        <v>459.9</v>
      </c>
      <c r="E21">
        <v>672.5</v>
      </c>
      <c r="F21">
        <v>106.3</v>
      </c>
      <c r="H21">
        <v>9351</v>
      </c>
      <c r="I21">
        <v>47</v>
      </c>
      <c r="K21">
        <v>40795.4</v>
      </c>
      <c r="L21">
        <v>809.9</v>
      </c>
      <c r="N21">
        <v>155.19999999999999</v>
      </c>
      <c r="O21">
        <v>18.8</v>
      </c>
      <c r="Q21">
        <v>843.1</v>
      </c>
      <c r="R21">
        <v>89.2</v>
      </c>
      <c r="T21">
        <v>2054.8000000000002</v>
      </c>
      <c r="U21">
        <v>109.6</v>
      </c>
      <c r="W21">
        <v>1862.9</v>
      </c>
      <c r="X21">
        <v>91.6</v>
      </c>
      <c r="Z21">
        <v>1458.3</v>
      </c>
      <c r="AA21">
        <v>25.4</v>
      </c>
      <c r="AC21">
        <v>58.3</v>
      </c>
      <c r="AD21">
        <v>19.100000000000001</v>
      </c>
      <c r="AF21" s="27">
        <v>2916769.7</v>
      </c>
      <c r="AG21">
        <v>17319.8</v>
      </c>
      <c r="AI21" s="28">
        <v>558.5</v>
      </c>
      <c r="AJ21">
        <v>89.9</v>
      </c>
      <c r="AL21">
        <v>1167.4000000000001</v>
      </c>
      <c r="AM21">
        <v>68.599999999999994</v>
      </c>
      <c r="AO21">
        <v>5346.3</v>
      </c>
      <c r="AP21">
        <v>146.6</v>
      </c>
      <c r="AR21">
        <v>7281.2</v>
      </c>
      <c r="AS21">
        <v>61</v>
      </c>
      <c r="AU21">
        <v>324</v>
      </c>
      <c r="AV21">
        <v>13</v>
      </c>
      <c r="AX21">
        <v>138.5</v>
      </c>
      <c r="AY21">
        <v>21.3</v>
      </c>
      <c r="BA21">
        <v>125</v>
      </c>
      <c r="BB21">
        <v>21.9</v>
      </c>
      <c r="BD21">
        <v>105.2</v>
      </c>
      <c r="BE21">
        <v>28.4</v>
      </c>
      <c r="BG21">
        <v>534.5</v>
      </c>
      <c r="BH21">
        <v>81.5</v>
      </c>
      <c r="BJ21">
        <v>262.5</v>
      </c>
      <c r="BK21">
        <v>50.3</v>
      </c>
      <c r="BM21">
        <v>144.80000000000001</v>
      </c>
      <c r="BN21">
        <v>47.4</v>
      </c>
      <c r="BP21">
        <v>2466.6999999999998</v>
      </c>
      <c r="BQ21">
        <v>60.1</v>
      </c>
      <c r="BS21">
        <v>662339.69999999995</v>
      </c>
      <c r="BT21">
        <v>3509.4</v>
      </c>
      <c r="BV21">
        <v>3714</v>
      </c>
      <c r="BW21">
        <v>138.80000000000001</v>
      </c>
      <c r="BY21">
        <v>680.5</v>
      </c>
      <c r="BZ21">
        <v>89.9</v>
      </c>
      <c r="CB21">
        <v>452.1</v>
      </c>
      <c r="CC21">
        <v>17.8</v>
      </c>
      <c r="CE21">
        <v>631.5</v>
      </c>
      <c r="CF21">
        <v>73.5</v>
      </c>
      <c r="CH21">
        <v>1085</v>
      </c>
      <c r="CI21">
        <v>76.099999999999994</v>
      </c>
      <c r="CK21">
        <v>970.3</v>
      </c>
      <c r="CL21">
        <v>87.5</v>
      </c>
      <c r="CN21">
        <v>65266.1</v>
      </c>
      <c r="CO21">
        <v>1857.8</v>
      </c>
      <c r="CQ21">
        <v>14497.4</v>
      </c>
      <c r="CR21">
        <v>286.7</v>
      </c>
      <c r="CT21">
        <v>16086.6</v>
      </c>
      <c r="CU21">
        <v>2177</v>
      </c>
      <c r="CW21">
        <v>492100.4</v>
      </c>
      <c r="CX21">
        <v>6071.5</v>
      </c>
      <c r="CZ21">
        <v>456.5</v>
      </c>
      <c r="DA21">
        <v>33.4</v>
      </c>
      <c r="DC21">
        <v>27395.8</v>
      </c>
      <c r="DD21">
        <v>617.29999999999995</v>
      </c>
      <c r="DF21">
        <v>9252.7999999999993</v>
      </c>
      <c r="DG21">
        <v>132.9</v>
      </c>
      <c r="DI21">
        <v>19.399999999999999</v>
      </c>
      <c r="DJ21">
        <v>15.5</v>
      </c>
      <c r="DL21">
        <v>251.9</v>
      </c>
      <c r="DM21">
        <v>58.7</v>
      </c>
      <c r="DO21">
        <v>574.20000000000005</v>
      </c>
      <c r="DP21">
        <v>57.2</v>
      </c>
      <c r="DR21">
        <v>190.7</v>
      </c>
      <c r="DS21">
        <v>30.6</v>
      </c>
      <c r="DU21">
        <v>2667.2</v>
      </c>
      <c r="DV21">
        <v>49.5</v>
      </c>
      <c r="DX21">
        <v>63</v>
      </c>
      <c r="DY21">
        <v>18.899999999999999</v>
      </c>
      <c r="EA21">
        <v>175</v>
      </c>
      <c r="EB21">
        <v>38.9</v>
      </c>
      <c r="ED21">
        <v>337.1</v>
      </c>
      <c r="EE21">
        <v>15.8</v>
      </c>
      <c r="EG21">
        <v>155.6</v>
      </c>
      <c r="EH21">
        <v>17.3</v>
      </c>
      <c r="EJ21">
        <v>253028.1</v>
      </c>
      <c r="EK21">
        <v>8649.7000000000007</v>
      </c>
      <c r="EM21">
        <v>75.900000000000006</v>
      </c>
      <c r="EN21">
        <v>53.4</v>
      </c>
      <c r="EP21">
        <v>57363.6</v>
      </c>
      <c r="EQ21">
        <v>1123</v>
      </c>
      <c r="ES21">
        <v>10148.200000000001</v>
      </c>
      <c r="ET21">
        <v>213.8</v>
      </c>
      <c r="EV21">
        <v>0.6</v>
      </c>
      <c r="EW21">
        <v>1</v>
      </c>
      <c r="EY21">
        <v>15.3</v>
      </c>
      <c r="EZ21">
        <v>6</v>
      </c>
      <c r="FB21">
        <v>49.3</v>
      </c>
      <c r="FC21">
        <v>8.1999999999999993</v>
      </c>
      <c r="FE21">
        <v>1366.2</v>
      </c>
      <c r="FF21">
        <v>180.1</v>
      </c>
      <c r="FH21">
        <v>923.7</v>
      </c>
      <c r="FI21">
        <v>53.7</v>
      </c>
      <c r="FK21">
        <v>78770.5</v>
      </c>
      <c r="FL21">
        <v>1301.5</v>
      </c>
      <c r="FN21">
        <v>20.399999999999999</v>
      </c>
      <c r="FO21">
        <v>7.8</v>
      </c>
      <c r="FQ21">
        <v>17514</v>
      </c>
      <c r="FR21">
        <v>502.5</v>
      </c>
    </row>
    <row r="22" spans="1:174" x14ac:dyDescent="0.2">
      <c r="A22" t="s">
        <v>88</v>
      </c>
      <c r="B22">
        <v>10732.2</v>
      </c>
      <c r="C22">
        <v>486.5</v>
      </c>
      <c r="E22">
        <v>817.1</v>
      </c>
      <c r="F22">
        <v>37.5</v>
      </c>
      <c r="H22">
        <v>18500.7</v>
      </c>
      <c r="I22">
        <v>339.1</v>
      </c>
      <c r="K22">
        <v>78106</v>
      </c>
      <c r="L22">
        <v>497.3</v>
      </c>
      <c r="N22">
        <v>2230</v>
      </c>
      <c r="O22">
        <v>106.4</v>
      </c>
      <c r="Q22">
        <v>40989.9</v>
      </c>
      <c r="R22">
        <v>698.8</v>
      </c>
      <c r="T22">
        <v>2314.5</v>
      </c>
      <c r="U22">
        <v>115.3</v>
      </c>
      <c r="W22">
        <v>2310.3000000000002</v>
      </c>
      <c r="X22">
        <v>131.30000000000001</v>
      </c>
      <c r="Z22">
        <v>16246.1</v>
      </c>
      <c r="AA22">
        <v>97.1</v>
      </c>
      <c r="AC22">
        <v>444.9</v>
      </c>
      <c r="AD22">
        <v>17.8</v>
      </c>
      <c r="AF22" s="27">
        <v>2938553</v>
      </c>
      <c r="AG22">
        <v>16743.5</v>
      </c>
      <c r="AI22" s="28">
        <v>13564.1</v>
      </c>
      <c r="AJ22">
        <v>203</v>
      </c>
      <c r="AL22">
        <v>85632.5</v>
      </c>
      <c r="AM22">
        <v>1147.3</v>
      </c>
      <c r="AO22">
        <v>7543</v>
      </c>
      <c r="AP22">
        <v>230.3</v>
      </c>
      <c r="AR22">
        <v>83234.7</v>
      </c>
      <c r="AS22">
        <v>80.7</v>
      </c>
      <c r="AU22">
        <v>4093.6</v>
      </c>
      <c r="AV22">
        <v>28.1</v>
      </c>
      <c r="AX22">
        <v>6047.2</v>
      </c>
      <c r="AY22">
        <v>8.3000000000000007</v>
      </c>
      <c r="BA22">
        <v>1041.2</v>
      </c>
      <c r="BB22">
        <v>162</v>
      </c>
      <c r="BD22">
        <v>265.60000000000002</v>
      </c>
      <c r="BE22">
        <v>0</v>
      </c>
      <c r="BG22">
        <v>638.70000000000005</v>
      </c>
      <c r="BH22">
        <v>88.5</v>
      </c>
      <c r="BJ22">
        <v>664.8</v>
      </c>
      <c r="BK22">
        <v>57.8</v>
      </c>
      <c r="BM22">
        <v>563.70000000000005</v>
      </c>
      <c r="BN22">
        <v>45.6</v>
      </c>
      <c r="BP22">
        <v>10685.3</v>
      </c>
      <c r="BQ22">
        <v>171.6</v>
      </c>
      <c r="BS22">
        <v>661928.30000000005</v>
      </c>
      <c r="BT22">
        <v>7445.4</v>
      </c>
      <c r="BV22">
        <v>3537.8</v>
      </c>
      <c r="BW22">
        <v>24.5</v>
      </c>
      <c r="BY22">
        <v>1061</v>
      </c>
      <c r="BZ22">
        <v>129.19999999999999</v>
      </c>
      <c r="CB22">
        <v>266993.59999999998</v>
      </c>
      <c r="CC22">
        <v>1485.4</v>
      </c>
      <c r="CE22">
        <v>225211.3</v>
      </c>
      <c r="CF22">
        <v>2107.1</v>
      </c>
      <c r="CH22">
        <v>561099.69999999995</v>
      </c>
      <c r="CI22">
        <v>5146.7</v>
      </c>
      <c r="CK22">
        <v>641780.80000000005</v>
      </c>
      <c r="CL22">
        <v>2207.3000000000002</v>
      </c>
      <c r="CN22">
        <v>982885.2</v>
      </c>
      <c r="CO22">
        <v>11696.3</v>
      </c>
      <c r="CQ22">
        <v>89913.8</v>
      </c>
      <c r="CR22">
        <v>478.8</v>
      </c>
      <c r="CT22">
        <v>348761</v>
      </c>
      <c r="CU22">
        <v>991.5</v>
      </c>
      <c r="CW22">
        <v>625041.5</v>
      </c>
      <c r="CX22">
        <v>3326.3</v>
      </c>
      <c r="CZ22">
        <v>11175.1</v>
      </c>
      <c r="DA22">
        <v>127.7</v>
      </c>
      <c r="DC22">
        <v>48271.199999999997</v>
      </c>
      <c r="DD22">
        <v>114.4</v>
      </c>
      <c r="DF22">
        <v>29272.400000000001</v>
      </c>
      <c r="DG22">
        <v>313.10000000000002</v>
      </c>
      <c r="DI22">
        <v>252.8</v>
      </c>
      <c r="DJ22">
        <v>35.5</v>
      </c>
      <c r="DL22">
        <v>1802.3</v>
      </c>
      <c r="DM22">
        <v>100.3</v>
      </c>
      <c r="DO22">
        <v>644825.30000000005</v>
      </c>
      <c r="DP22">
        <v>8129.3</v>
      </c>
      <c r="DR22">
        <v>267719</v>
      </c>
      <c r="DS22">
        <v>4678.2</v>
      </c>
      <c r="DU22">
        <v>2480784</v>
      </c>
      <c r="DV22">
        <v>66350.399999999994</v>
      </c>
      <c r="DX22">
        <v>7160</v>
      </c>
      <c r="DY22">
        <v>238.3</v>
      </c>
      <c r="EA22">
        <v>100611.8</v>
      </c>
      <c r="EB22">
        <v>2389.1999999999998</v>
      </c>
      <c r="ED22">
        <v>190998.2</v>
      </c>
      <c r="EE22">
        <v>2367.1</v>
      </c>
      <c r="EG22">
        <v>18997.7</v>
      </c>
      <c r="EH22">
        <v>329.7</v>
      </c>
      <c r="EJ22">
        <v>258107</v>
      </c>
      <c r="EK22">
        <v>1721.2</v>
      </c>
      <c r="EM22">
        <v>1425.5</v>
      </c>
      <c r="EN22">
        <v>73.400000000000006</v>
      </c>
      <c r="EP22">
        <v>59513</v>
      </c>
      <c r="EQ22">
        <v>1605.8</v>
      </c>
      <c r="ES22">
        <v>87419.3</v>
      </c>
      <c r="ET22">
        <v>123</v>
      </c>
      <c r="EV22">
        <v>6.7</v>
      </c>
      <c r="EW22">
        <v>6</v>
      </c>
      <c r="EY22">
        <v>31.4</v>
      </c>
      <c r="EZ22">
        <v>11.7</v>
      </c>
      <c r="FB22">
        <v>28.5</v>
      </c>
      <c r="FC22">
        <v>14.2</v>
      </c>
      <c r="FE22">
        <v>1177.9000000000001</v>
      </c>
      <c r="FF22">
        <v>79.2</v>
      </c>
      <c r="FH22">
        <v>892.6</v>
      </c>
      <c r="FI22">
        <v>37.299999999999997</v>
      </c>
      <c r="FK22">
        <v>77971.100000000006</v>
      </c>
      <c r="FL22">
        <v>410.1</v>
      </c>
      <c r="FN22">
        <v>412.2</v>
      </c>
      <c r="FO22">
        <v>25.8</v>
      </c>
      <c r="FQ22">
        <v>17790.5</v>
      </c>
      <c r="FR22">
        <v>402</v>
      </c>
    </row>
    <row r="23" spans="1:174" x14ac:dyDescent="0.2">
      <c r="A23" t="s">
        <v>89</v>
      </c>
      <c r="B23">
        <v>10180.799999999999</v>
      </c>
      <c r="C23">
        <v>1022.8</v>
      </c>
      <c r="E23">
        <v>713.8</v>
      </c>
      <c r="F23">
        <v>56.1</v>
      </c>
      <c r="H23">
        <v>7988.5</v>
      </c>
      <c r="I23">
        <v>115.5</v>
      </c>
      <c r="K23">
        <v>38737.5</v>
      </c>
      <c r="L23">
        <v>380.4</v>
      </c>
      <c r="N23">
        <v>152.1</v>
      </c>
      <c r="O23">
        <v>16</v>
      </c>
      <c r="Q23">
        <v>506.4</v>
      </c>
      <c r="R23">
        <v>27.3</v>
      </c>
      <c r="T23">
        <v>2066.3000000000002</v>
      </c>
      <c r="U23">
        <v>67.3</v>
      </c>
      <c r="W23">
        <v>1650.2</v>
      </c>
      <c r="X23">
        <v>144.5</v>
      </c>
      <c r="Z23">
        <v>727.4</v>
      </c>
      <c r="AA23">
        <v>19.100000000000001</v>
      </c>
      <c r="AC23">
        <v>57.3</v>
      </c>
      <c r="AD23">
        <v>15.4</v>
      </c>
      <c r="AF23" s="27">
        <v>2876605.7</v>
      </c>
      <c r="AG23">
        <v>46891.9</v>
      </c>
      <c r="AI23" s="28">
        <v>388.6</v>
      </c>
      <c r="AJ23">
        <v>63.2</v>
      </c>
      <c r="AL23">
        <v>1143.4000000000001</v>
      </c>
      <c r="AM23">
        <v>155.6</v>
      </c>
      <c r="AO23">
        <v>4351.3</v>
      </c>
      <c r="AP23">
        <v>124.8</v>
      </c>
      <c r="AR23">
        <v>6970.4</v>
      </c>
      <c r="AS23">
        <v>130.1</v>
      </c>
      <c r="AU23">
        <v>316.7</v>
      </c>
      <c r="AV23">
        <v>15.4</v>
      </c>
      <c r="AX23">
        <v>276.10000000000002</v>
      </c>
      <c r="AY23">
        <v>34.9</v>
      </c>
      <c r="BA23">
        <v>126.1</v>
      </c>
      <c r="BB23">
        <v>20.8</v>
      </c>
      <c r="BD23">
        <v>86.5</v>
      </c>
      <c r="BE23">
        <v>18.8</v>
      </c>
      <c r="BG23">
        <v>444.8</v>
      </c>
      <c r="BH23">
        <v>30</v>
      </c>
      <c r="BJ23">
        <v>170.9</v>
      </c>
      <c r="BK23">
        <v>46.9</v>
      </c>
      <c r="BM23">
        <v>144.80000000000001</v>
      </c>
      <c r="BN23">
        <v>31.5</v>
      </c>
      <c r="BP23">
        <v>1915</v>
      </c>
      <c r="BQ23">
        <v>126.8</v>
      </c>
      <c r="BS23">
        <v>649169.1</v>
      </c>
      <c r="BT23">
        <v>5553.2</v>
      </c>
      <c r="BV23">
        <v>3594.1</v>
      </c>
      <c r="BW23">
        <v>167.4</v>
      </c>
      <c r="BY23">
        <v>234.4</v>
      </c>
      <c r="BZ23">
        <v>66.5</v>
      </c>
      <c r="CB23">
        <v>426.1</v>
      </c>
      <c r="CC23">
        <v>72.400000000000006</v>
      </c>
      <c r="CE23">
        <v>565.79999999999995</v>
      </c>
      <c r="CF23">
        <v>101.9</v>
      </c>
      <c r="CH23">
        <v>1141.3</v>
      </c>
      <c r="CI23">
        <v>75.900000000000006</v>
      </c>
      <c r="CK23">
        <v>1080.8</v>
      </c>
      <c r="CL23">
        <v>142.4</v>
      </c>
      <c r="CN23">
        <v>67924.7</v>
      </c>
      <c r="CO23">
        <v>1169.3</v>
      </c>
      <c r="CQ23">
        <v>13492.9</v>
      </c>
      <c r="CR23">
        <v>274.89999999999998</v>
      </c>
      <c r="CT23">
        <v>39314.9</v>
      </c>
      <c r="CU23">
        <v>334.4</v>
      </c>
      <c r="CW23">
        <v>487125.3</v>
      </c>
      <c r="CX23">
        <v>11449.4</v>
      </c>
      <c r="CZ23">
        <v>11139.9</v>
      </c>
      <c r="DA23">
        <v>122.5</v>
      </c>
      <c r="DC23">
        <v>27473.8</v>
      </c>
      <c r="DD23">
        <v>401.6</v>
      </c>
      <c r="DF23">
        <v>9206.5</v>
      </c>
      <c r="DG23">
        <v>155</v>
      </c>
      <c r="DI23">
        <v>50</v>
      </c>
      <c r="DJ23">
        <v>5.6</v>
      </c>
      <c r="DL23">
        <v>251.9</v>
      </c>
      <c r="DM23">
        <v>10.5</v>
      </c>
      <c r="DO23">
        <v>592.79999999999995</v>
      </c>
      <c r="DP23">
        <v>37.4</v>
      </c>
      <c r="DR23">
        <v>153.69999999999999</v>
      </c>
      <c r="DS23">
        <v>3.2</v>
      </c>
      <c r="DU23">
        <v>2385.4</v>
      </c>
      <c r="DV23">
        <v>268.7</v>
      </c>
      <c r="DX23">
        <v>92.6</v>
      </c>
      <c r="DY23">
        <v>13.7</v>
      </c>
      <c r="EA23">
        <v>185.2</v>
      </c>
      <c r="EB23">
        <v>25.1</v>
      </c>
      <c r="ED23">
        <v>652</v>
      </c>
      <c r="EE23">
        <v>13.7</v>
      </c>
      <c r="EG23">
        <v>574.20000000000005</v>
      </c>
      <c r="EH23">
        <v>37.299999999999997</v>
      </c>
      <c r="EJ23">
        <v>250472.8</v>
      </c>
      <c r="EK23">
        <v>7299.8</v>
      </c>
      <c r="EM23">
        <v>31</v>
      </c>
      <c r="EN23">
        <v>1.6</v>
      </c>
      <c r="EP23">
        <v>57388.5</v>
      </c>
      <c r="EQ23">
        <v>1090.0999999999999</v>
      </c>
      <c r="ES23">
        <v>9178.5</v>
      </c>
      <c r="ET23">
        <v>93.5</v>
      </c>
      <c r="EV23">
        <v>1.1000000000000001</v>
      </c>
      <c r="EW23">
        <v>1.9</v>
      </c>
      <c r="EY23">
        <v>6.7</v>
      </c>
      <c r="EZ23">
        <v>6.7</v>
      </c>
      <c r="FB23">
        <v>15.9</v>
      </c>
      <c r="FC23">
        <v>4.2</v>
      </c>
      <c r="FE23">
        <v>868.6</v>
      </c>
      <c r="FF23">
        <v>17.100000000000001</v>
      </c>
      <c r="FH23">
        <v>857.5</v>
      </c>
      <c r="FI23">
        <v>61.8</v>
      </c>
      <c r="FK23">
        <v>79131.899999999994</v>
      </c>
      <c r="FL23">
        <v>893</v>
      </c>
      <c r="FN23">
        <v>8</v>
      </c>
      <c r="FO23">
        <v>3.3</v>
      </c>
      <c r="FQ23">
        <v>17329.400000000001</v>
      </c>
      <c r="FR23">
        <v>322.7</v>
      </c>
    </row>
    <row r="24" spans="1:174" x14ac:dyDescent="0.2">
      <c r="A24" t="s">
        <v>90</v>
      </c>
      <c r="B24">
        <v>75162.399999999994</v>
      </c>
      <c r="C24">
        <v>478.6</v>
      </c>
      <c r="E24">
        <v>16423.599999999999</v>
      </c>
      <c r="F24">
        <v>201.1</v>
      </c>
      <c r="H24">
        <v>421768.1</v>
      </c>
      <c r="I24">
        <v>2379.3000000000002</v>
      </c>
      <c r="K24">
        <v>571241.4</v>
      </c>
      <c r="L24">
        <v>764.7</v>
      </c>
      <c r="N24">
        <v>633040.1</v>
      </c>
      <c r="O24">
        <v>5841.4</v>
      </c>
      <c r="Q24">
        <v>82921.399999999994</v>
      </c>
      <c r="R24">
        <v>975.3</v>
      </c>
      <c r="T24">
        <v>621351</v>
      </c>
      <c r="U24">
        <v>4184.6000000000004</v>
      </c>
      <c r="W24">
        <v>130072.4</v>
      </c>
      <c r="X24">
        <v>915.2</v>
      </c>
      <c r="Z24">
        <v>255831.6</v>
      </c>
      <c r="AA24">
        <v>2769.5</v>
      </c>
      <c r="AC24">
        <v>35813.699999999997</v>
      </c>
      <c r="AD24">
        <v>622.29999999999995</v>
      </c>
      <c r="AF24" s="27">
        <v>2908672.3</v>
      </c>
      <c r="AG24">
        <v>26420.6</v>
      </c>
      <c r="AI24" s="28">
        <v>144894.1</v>
      </c>
      <c r="AJ24">
        <v>948.5</v>
      </c>
      <c r="AL24">
        <v>144733.4</v>
      </c>
      <c r="AM24">
        <v>1373.9</v>
      </c>
      <c r="AO24">
        <v>695737.4</v>
      </c>
      <c r="AP24">
        <v>3928.3</v>
      </c>
      <c r="AR24">
        <v>303040</v>
      </c>
      <c r="AS24">
        <v>3429.2</v>
      </c>
      <c r="AU24">
        <v>775045.7</v>
      </c>
      <c r="AV24">
        <v>4296.5</v>
      </c>
      <c r="AX24">
        <v>709777.5</v>
      </c>
      <c r="AY24">
        <v>12483.4</v>
      </c>
      <c r="BA24">
        <v>149879.4</v>
      </c>
      <c r="BB24">
        <v>351.3</v>
      </c>
      <c r="BD24">
        <v>129949.5</v>
      </c>
      <c r="BE24">
        <v>654</v>
      </c>
      <c r="BG24">
        <v>124553.1</v>
      </c>
      <c r="BH24">
        <v>1233.5</v>
      </c>
      <c r="BJ24">
        <v>843628.7</v>
      </c>
      <c r="BK24">
        <v>3508.4</v>
      </c>
      <c r="BM24">
        <v>232295.2</v>
      </c>
      <c r="BN24">
        <v>3096.4</v>
      </c>
      <c r="BP24">
        <v>184440.3</v>
      </c>
      <c r="BQ24">
        <v>1191.5</v>
      </c>
      <c r="BS24">
        <v>661573.30000000005</v>
      </c>
      <c r="BT24">
        <v>6892.2</v>
      </c>
      <c r="BV24">
        <v>143450.6</v>
      </c>
      <c r="BW24">
        <v>774.3</v>
      </c>
      <c r="BY24">
        <v>568514.69999999995</v>
      </c>
      <c r="BZ24">
        <v>3825.3</v>
      </c>
      <c r="CB24">
        <v>192946.3</v>
      </c>
      <c r="CC24">
        <v>885.8</v>
      </c>
      <c r="CE24">
        <v>165071.9</v>
      </c>
      <c r="CF24">
        <v>3390.3</v>
      </c>
      <c r="CH24">
        <v>405810.5</v>
      </c>
      <c r="CI24">
        <v>4154.8</v>
      </c>
      <c r="CK24">
        <v>622288</v>
      </c>
      <c r="CL24">
        <v>8388.2999999999993</v>
      </c>
      <c r="CN24">
        <v>238169.7</v>
      </c>
      <c r="CO24">
        <v>2181.5</v>
      </c>
      <c r="CQ24">
        <v>128792.3</v>
      </c>
      <c r="CR24">
        <v>793.6</v>
      </c>
      <c r="CT24">
        <v>122211.9</v>
      </c>
      <c r="CU24">
        <v>1582.3</v>
      </c>
      <c r="CW24">
        <v>578878.19999999995</v>
      </c>
      <c r="CX24">
        <v>3664.4</v>
      </c>
      <c r="CZ24">
        <v>12397.6</v>
      </c>
      <c r="DA24">
        <v>535.6</v>
      </c>
      <c r="DC24">
        <v>64683.199999999997</v>
      </c>
      <c r="DD24">
        <v>509.9</v>
      </c>
      <c r="DF24">
        <v>18230.5</v>
      </c>
      <c r="DG24">
        <v>211.6</v>
      </c>
      <c r="DI24">
        <v>2739.4</v>
      </c>
      <c r="DJ24">
        <v>30.6</v>
      </c>
      <c r="DL24">
        <v>35945.599999999999</v>
      </c>
      <c r="DM24">
        <v>1013.4</v>
      </c>
      <c r="DO24">
        <v>31989.5</v>
      </c>
      <c r="DP24">
        <v>512.9</v>
      </c>
      <c r="DR24">
        <v>41291.800000000003</v>
      </c>
      <c r="DS24">
        <v>641.4</v>
      </c>
      <c r="DU24">
        <v>131795.4</v>
      </c>
      <c r="DV24">
        <v>1088.0999999999999</v>
      </c>
      <c r="DX24">
        <v>37287.1</v>
      </c>
      <c r="DY24">
        <v>1148.8</v>
      </c>
      <c r="EA24">
        <v>8433</v>
      </c>
      <c r="EB24">
        <v>220.9</v>
      </c>
      <c r="ED24">
        <v>18490.2</v>
      </c>
      <c r="EE24">
        <v>330.3</v>
      </c>
      <c r="EG24">
        <v>8503.5</v>
      </c>
      <c r="EH24">
        <v>123</v>
      </c>
      <c r="EJ24">
        <v>259509.7</v>
      </c>
      <c r="EK24">
        <v>4463.2</v>
      </c>
      <c r="EM24">
        <v>14757.2</v>
      </c>
      <c r="EN24">
        <v>208.9</v>
      </c>
      <c r="EP24">
        <v>58796.1</v>
      </c>
      <c r="EQ24">
        <v>1878.3</v>
      </c>
      <c r="ES24">
        <v>85137.600000000006</v>
      </c>
      <c r="ET24">
        <v>606.6</v>
      </c>
      <c r="EV24">
        <v>1541.4</v>
      </c>
      <c r="EW24">
        <v>55.1</v>
      </c>
      <c r="EY24">
        <v>1546.4</v>
      </c>
      <c r="EZ24">
        <v>67.3</v>
      </c>
      <c r="FB24">
        <v>136.1</v>
      </c>
      <c r="FC24">
        <v>9.5</v>
      </c>
      <c r="FE24">
        <v>1048</v>
      </c>
      <c r="FF24">
        <v>62.2</v>
      </c>
      <c r="FH24">
        <v>838.6</v>
      </c>
      <c r="FI24">
        <v>49.7</v>
      </c>
      <c r="FK24">
        <v>77929.600000000006</v>
      </c>
      <c r="FL24">
        <v>1844.3</v>
      </c>
      <c r="FN24">
        <v>4152.6000000000004</v>
      </c>
      <c r="FO24">
        <v>83.9</v>
      </c>
      <c r="FQ24">
        <v>17336.400000000001</v>
      </c>
      <c r="FR24">
        <v>197.5</v>
      </c>
    </row>
    <row r="25" spans="1:174" x14ac:dyDescent="0.2">
      <c r="A25" t="s">
        <v>91</v>
      </c>
      <c r="B25">
        <v>10190.1</v>
      </c>
      <c r="C25">
        <v>214.4</v>
      </c>
      <c r="E25">
        <v>700.4</v>
      </c>
      <c r="F25">
        <v>8.4</v>
      </c>
      <c r="H25">
        <v>12118</v>
      </c>
      <c r="I25">
        <v>257.60000000000002</v>
      </c>
      <c r="K25">
        <v>54447.9</v>
      </c>
      <c r="L25">
        <v>342.4</v>
      </c>
      <c r="N25">
        <v>1030.8</v>
      </c>
      <c r="O25">
        <v>413.5</v>
      </c>
      <c r="Q25">
        <v>6666.8</v>
      </c>
      <c r="R25">
        <v>203.3</v>
      </c>
      <c r="T25">
        <v>2362.4</v>
      </c>
      <c r="U25">
        <v>251.9</v>
      </c>
      <c r="W25">
        <v>1719</v>
      </c>
      <c r="X25">
        <v>166.1</v>
      </c>
      <c r="Z25">
        <v>3014.2</v>
      </c>
      <c r="AA25">
        <v>120.1</v>
      </c>
      <c r="AC25">
        <v>428.1</v>
      </c>
      <c r="AD25">
        <v>56.3</v>
      </c>
      <c r="AF25" s="27">
        <v>2887190.3</v>
      </c>
      <c r="AG25">
        <v>30906.1</v>
      </c>
      <c r="AI25" s="28">
        <v>2659894.2999999998</v>
      </c>
      <c r="AJ25">
        <v>38443</v>
      </c>
      <c r="AL25">
        <v>24803.200000000001</v>
      </c>
      <c r="AM25">
        <v>252.5</v>
      </c>
      <c r="AO25">
        <v>10922.2</v>
      </c>
      <c r="AP25">
        <v>276.39999999999998</v>
      </c>
      <c r="AR25">
        <v>26209.3</v>
      </c>
      <c r="AS25">
        <v>500.6</v>
      </c>
      <c r="AU25">
        <v>2058.9</v>
      </c>
      <c r="AV25">
        <v>301.10000000000002</v>
      </c>
      <c r="AX25">
        <v>2651.3</v>
      </c>
      <c r="AY25">
        <v>226.5</v>
      </c>
      <c r="BA25">
        <v>385.5</v>
      </c>
      <c r="BB25">
        <v>145.4</v>
      </c>
      <c r="BD25">
        <v>183.3</v>
      </c>
      <c r="BE25">
        <v>47.8</v>
      </c>
      <c r="BG25">
        <v>521</v>
      </c>
      <c r="BH25">
        <v>66</v>
      </c>
      <c r="BJ25">
        <v>664.8</v>
      </c>
      <c r="BK25">
        <v>330.5</v>
      </c>
      <c r="BM25">
        <v>348</v>
      </c>
      <c r="BN25">
        <v>208</v>
      </c>
      <c r="BP25">
        <v>2633.6</v>
      </c>
      <c r="BQ25">
        <v>56.9</v>
      </c>
      <c r="BS25">
        <v>654097</v>
      </c>
      <c r="BT25">
        <v>7006.9</v>
      </c>
      <c r="BV25">
        <v>4211.6000000000004</v>
      </c>
      <c r="BW25">
        <v>130.69999999999999</v>
      </c>
      <c r="BY25">
        <v>612.79999999999995</v>
      </c>
      <c r="BZ25">
        <v>294.39999999999998</v>
      </c>
      <c r="CB25">
        <v>6007.6</v>
      </c>
      <c r="CC25">
        <v>251</v>
      </c>
      <c r="CE25">
        <v>5483.9</v>
      </c>
      <c r="CF25">
        <v>27.8</v>
      </c>
      <c r="CH25">
        <v>13165.4</v>
      </c>
      <c r="CI25">
        <v>603.9</v>
      </c>
      <c r="CK25">
        <v>2919.3</v>
      </c>
      <c r="CL25">
        <v>334.1</v>
      </c>
      <c r="CN25">
        <v>2939472.6</v>
      </c>
      <c r="CO25">
        <v>45462.5</v>
      </c>
      <c r="CQ25">
        <v>74147.399999999994</v>
      </c>
      <c r="CR25">
        <v>591.79999999999995</v>
      </c>
      <c r="CT25">
        <v>162925.1</v>
      </c>
      <c r="CU25">
        <v>2448.6999999999998</v>
      </c>
      <c r="CW25">
        <v>557713.80000000005</v>
      </c>
      <c r="CX25">
        <v>5421.3</v>
      </c>
      <c r="CZ25">
        <v>414684.1</v>
      </c>
      <c r="DA25">
        <v>4775.5</v>
      </c>
      <c r="DC25">
        <v>37997.599999999999</v>
      </c>
      <c r="DD25">
        <v>667.7</v>
      </c>
      <c r="DF25">
        <v>19728.099999999999</v>
      </c>
      <c r="DG25">
        <v>186.6</v>
      </c>
      <c r="DI25">
        <v>252.8</v>
      </c>
      <c r="DJ25">
        <v>51.5</v>
      </c>
      <c r="DL25">
        <v>442.7</v>
      </c>
      <c r="DM25">
        <v>86.3</v>
      </c>
      <c r="DO25">
        <v>34867</v>
      </c>
      <c r="DP25">
        <v>427.4</v>
      </c>
      <c r="DR25">
        <v>4722.3999999999996</v>
      </c>
      <c r="DS25">
        <v>115.7</v>
      </c>
      <c r="DU25">
        <v>336871.3</v>
      </c>
      <c r="DV25">
        <v>6898</v>
      </c>
      <c r="DX25">
        <v>1046</v>
      </c>
      <c r="DY25">
        <v>53.2</v>
      </c>
      <c r="EA25">
        <v>3798.1</v>
      </c>
      <c r="EB25">
        <v>181.3</v>
      </c>
      <c r="ED25">
        <v>6627.7</v>
      </c>
      <c r="EE25">
        <v>256.8</v>
      </c>
      <c r="EG25">
        <v>4877.3</v>
      </c>
      <c r="EH25">
        <v>101.1</v>
      </c>
      <c r="EJ25">
        <v>245342.5</v>
      </c>
      <c r="EK25">
        <v>4721.1000000000004</v>
      </c>
      <c r="EM25">
        <v>258213.6</v>
      </c>
      <c r="EN25">
        <v>4185.8</v>
      </c>
      <c r="EP25">
        <v>55833</v>
      </c>
      <c r="EQ25">
        <v>976.6</v>
      </c>
      <c r="ES25">
        <v>1005365.3</v>
      </c>
      <c r="ET25">
        <v>9520.7999999999993</v>
      </c>
      <c r="EV25">
        <v>2.2000000000000002</v>
      </c>
      <c r="EW25">
        <v>2.5</v>
      </c>
      <c r="EY25">
        <v>113.7</v>
      </c>
      <c r="EZ25">
        <v>8.9</v>
      </c>
      <c r="FB25">
        <v>38.200000000000003</v>
      </c>
      <c r="FC25">
        <v>17.8</v>
      </c>
      <c r="FE25">
        <v>1020.6</v>
      </c>
      <c r="FF25">
        <v>92.1</v>
      </c>
      <c r="FH25">
        <v>814.1</v>
      </c>
      <c r="FI25">
        <v>6</v>
      </c>
      <c r="FK25">
        <v>77362.899999999994</v>
      </c>
      <c r="FL25">
        <v>1468</v>
      </c>
      <c r="FN25">
        <v>72849.3</v>
      </c>
      <c r="FO25">
        <v>1246</v>
      </c>
      <c r="FQ25">
        <v>17563.400000000001</v>
      </c>
      <c r="FR25">
        <v>319.10000000000002</v>
      </c>
    </row>
    <row r="26" spans="1:174" x14ac:dyDescent="0.2">
      <c r="A26" t="s">
        <v>92</v>
      </c>
      <c r="B26">
        <v>9979.7000000000007</v>
      </c>
      <c r="C26">
        <v>360.8</v>
      </c>
      <c r="E26">
        <v>636.29999999999995</v>
      </c>
      <c r="F26">
        <v>41.7</v>
      </c>
      <c r="H26">
        <v>10033.299999999999</v>
      </c>
      <c r="I26">
        <v>352.8</v>
      </c>
      <c r="K26">
        <v>63016.9</v>
      </c>
      <c r="L26">
        <v>150.80000000000001</v>
      </c>
      <c r="N26">
        <v>1171.5999999999999</v>
      </c>
      <c r="O26">
        <v>62.1</v>
      </c>
      <c r="Q26">
        <v>4947.8999999999996</v>
      </c>
      <c r="R26">
        <v>156.6</v>
      </c>
      <c r="T26">
        <v>1965.1</v>
      </c>
      <c r="U26">
        <v>87.3</v>
      </c>
      <c r="W26">
        <v>1640.8</v>
      </c>
      <c r="X26">
        <v>78.3</v>
      </c>
      <c r="Z26">
        <v>2257.1</v>
      </c>
      <c r="AA26">
        <v>151.9</v>
      </c>
      <c r="AC26">
        <v>429.2</v>
      </c>
      <c r="AD26">
        <v>39.700000000000003</v>
      </c>
      <c r="AF26" s="27">
        <v>2855325.7</v>
      </c>
      <c r="AG26">
        <v>91377.1</v>
      </c>
      <c r="AI26" s="28">
        <v>768024.8</v>
      </c>
      <c r="AJ26">
        <v>21925.8</v>
      </c>
      <c r="AL26">
        <v>17614.400000000001</v>
      </c>
      <c r="AM26">
        <v>534.6</v>
      </c>
      <c r="AO26">
        <v>11017.1</v>
      </c>
      <c r="AP26">
        <v>277.10000000000002</v>
      </c>
      <c r="AR26">
        <v>28065.1</v>
      </c>
      <c r="AS26">
        <v>404.1</v>
      </c>
      <c r="AU26">
        <v>1467.7</v>
      </c>
      <c r="AV26">
        <v>68.099999999999994</v>
      </c>
      <c r="AX26">
        <v>2496</v>
      </c>
      <c r="AY26">
        <v>62.8</v>
      </c>
      <c r="BA26">
        <v>256.3</v>
      </c>
      <c r="BB26">
        <v>6.2</v>
      </c>
      <c r="BD26">
        <v>101</v>
      </c>
      <c r="BE26">
        <v>21.9</v>
      </c>
      <c r="BG26">
        <v>487.6</v>
      </c>
      <c r="BH26">
        <v>126.9</v>
      </c>
      <c r="BJ26">
        <v>238.6</v>
      </c>
      <c r="BK26">
        <v>51.6</v>
      </c>
      <c r="BM26">
        <v>162.5</v>
      </c>
      <c r="BN26">
        <v>30.8</v>
      </c>
      <c r="BP26">
        <v>2183.1</v>
      </c>
      <c r="BQ26">
        <v>25</v>
      </c>
      <c r="BS26">
        <v>655143.6</v>
      </c>
      <c r="BT26">
        <v>11110.8</v>
      </c>
      <c r="BV26">
        <v>3955</v>
      </c>
      <c r="BW26">
        <v>332.9</v>
      </c>
      <c r="BY26">
        <v>239.6</v>
      </c>
      <c r="BZ26">
        <v>73.3</v>
      </c>
      <c r="CB26">
        <v>8370.2999999999993</v>
      </c>
      <c r="CC26">
        <v>223.2</v>
      </c>
      <c r="CE26">
        <v>7565</v>
      </c>
      <c r="CF26">
        <v>222.8</v>
      </c>
      <c r="CH26">
        <v>18023.400000000001</v>
      </c>
      <c r="CI26">
        <v>391.8</v>
      </c>
      <c r="CK26">
        <v>2552.1999999999998</v>
      </c>
      <c r="CL26">
        <v>45.4</v>
      </c>
      <c r="CN26">
        <v>811125.9</v>
      </c>
      <c r="CO26">
        <v>3112.2</v>
      </c>
      <c r="CQ26">
        <v>70896.100000000006</v>
      </c>
      <c r="CR26">
        <v>298.10000000000002</v>
      </c>
      <c r="CT26">
        <v>113298.8</v>
      </c>
      <c r="CU26">
        <v>1852.4</v>
      </c>
      <c r="CW26">
        <v>557493.6</v>
      </c>
      <c r="CX26">
        <v>3127.3</v>
      </c>
      <c r="CZ26">
        <v>100417.60000000001</v>
      </c>
      <c r="DA26">
        <v>992</v>
      </c>
      <c r="DC26">
        <v>81052.899999999994</v>
      </c>
      <c r="DD26">
        <v>826.5</v>
      </c>
      <c r="DF26">
        <v>26294.799999999999</v>
      </c>
      <c r="DG26">
        <v>163.69999999999999</v>
      </c>
      <c r="DI26">
        <v>296.3</v>
      </c>
      <c r="DJ26">
        <v>20.5</v>
      </c>
      <c r="DL26">
        <v>342.6</v>
      </c>
      <c r="DM26">
        <v>9.6999999999999993</v>
      </c>
      <c r="DO26">
        <v>12713.8</v>
      </c>
      <c r="DP26">
        <v>473.9</v>
      </c>
      <c r="DR26">
        <v>5855.4</v>
      </c>
      <c r="DS26">
        <v>188.7</v>
      </c>
      <c r="DU26">
        <v>219911</v>
      </c>
      <c r="DV26">
        <v>3602.2</v>
      </c>
      <c r="DX26">
        <v>2886</v>
      </c>
      <c r="DY26">
        <v>148.9</v>
      </c>
      <c r="EA26">
        <v>11359.8</v>
      </c>
      <c r="EB26">
        <v>220.1</v>
      </c>
      <c r="ED26">
        <v>21953.1</v>
      </c>
      <c r="EE26">
        <v>603.79999999999995</v>
      </c>
      <c r="EG26">
        <v>5151.7</v>
      </c>
      <c r="EH26">
        <v>317.5</v>
      </c>
      <c r="EJ26">
        <v>242893.8</v>
      </c>
      <c r="EK26">
        <v>3715.2</v>
      </c>
      <c r="EM26">
        <v>76796.800000000003</v>
      </c>
      <c r="EN26">
        <v>594.4</v>
      </c>
      <c r="EP26">
        <v>56229.4</v>
      </c>
      <c r="EQ26">
        <v>447.5</v>
      </c>
      <c r="ES26">
        <v>260016.7</v>
      </c>
      <c r="ET26">
        <v>4242.2</v>
      </c>
      <c r="EV26">
        <v>2.2000000000000002</v>
      </c>
      <c r="EW26">
        <v>0.5</v>
      </c>
      <c r="EY26">
        <v>79.599999999999994</v>
      </c>
      <c r="EZ26">
        <v>12.9</v>
      </c>
      <c r="FB26">
        <v>46.6</v>
      </c>
      <c r="FC26">
        <v>9.4</v>
      </c>
      <c r="FE26">
        <v>1670.6</v>
      </c>
      <c r="FF26">
        <v>73.900000000000006</v>
      </c>
      <c r="FH26">
        <v>834.1</v>
      </c>
      <c r="FI26">
        <v>36.200000000000003</v>
      </c>
      <c r="FK26">
        <v>75467.8</v>
      </c>
      <c r="FL26">
        <v>737.6</v>
      </c>
      <c r="FN26">
        <v>22053.7</v>
      </c>
      <c r="FO26">
        <v>129.1</v>
      </c>
      <c r="FQ26">
        <v>16785.099999999999</v>
      </c>
      <c r="FR26">
        <v>390.4</v>
      </c>
    </row>
    <row r="27" spans="1:174" x14ac:dyDescent="0.2">
      <c r="A27" t="s">
        <v>93</v>
      </c>
      <c r="B27">
        <v>11322.4</v>
      </c>
      <c r="C27">
        <v>154.9</v>
      </c>
      <c r="E27">
        <v>775.4</v>
      </c>
      <c r="F27">
        <v>84.7</v>
      </c>
      <c r="H27">
        <v>31998.1</v>
      </c>
      <c r="I27">
        <v>375.6</v>
      </c>
      <c r="K27">
        <v>85236</v>
      </c>
      <c r="L27">
        <v>368.1</v>
      </c>
      <c r="N27">
        <v>3575.3</v>
      </c>
      <c r="O27">
        <v>146.4</v>
      </c>
      <c r="Q27">
        <v>46949.3</v>
      </c>
      <c r="R27">
        <v>290.10000000000002</v>
      </c>
      <c r="T27">
        <v>2430.1999999999998</v>
      </c>
      <c r="U27">
        <v>214.7</v>
      </c>
      <c r="W27">
        <v>2376</v>
      </c>
      <c r="X27">
        <v>130.5</v>
      </c>
      <c r="Z27">
        <v>37361.199999999997</v>
      </c>
      <c r="AA27">
        <v>498.2</v>
      </c>
      <c r="AC27">
        <v>394.8</v>
      </c>
      <c r="AD27">
        <v>32.5</v>
      </c>
      <c r="AF27" s="27">
        <v>2952257.7</v>
      </c>
      <c r="AG27">
        <v>19671.099999999999</v>
      </c>
      <c r="AI27" s="28">
        <v>18409.599999999999</v>
      </c>
      <c r="AJ27">
        <v>569.4</v>
      </c>
      <c r="AL27">
        <v>207716.9</v>
      </c>
      <c r="AM27">
        <v>1005.8</v>
      </c>
      <c r="AO27">
        <v>9012.9</v>
      </c>
      <c r="AP27">
        <v>28.2</v>
      </c>
      <c r="AR27">
        <v>151618.1</v>
      </c>
      <c r="AS27">
        <v>1269.5999999999999</v>
      </c>
      <c r="AU27">
        <v>5388.1</v>
      </c>
      <c r="AV27">
        <v>156.69999999999999</v>
      </c>
      <c r="AX27">
        <v>9357.1</v>
      </c>
      <c r="AY27">
        <v>259.89999999999998</v>
      </c>
      <c r="BA27">
        <v>1081.9000000000001</v>
      </c>
      <c r="BB27">
        <v>37.9</v>
      </c>
      <c r="BD27">
        <v>281.3</v>
      </c>
      <c r="BE27">
        <v>24.4</v>
      </c>
      <c r="BG27">
        <v>611.6</v>
      </c>
      <c r="BH27">
        <v>72.900000000000006</v>
      </c>
      <c r="BJ27">
        <v>534.5</v>
      </c>
      <c r="BK27">
        <v>16.600000000000001</v>
      </c>
      <c r="BM27">
        <v>387.6</v>
      </c>
      <c r="BN27">
        <v>77</v>
      </c>
      <c r="BP27">
        <v>11959.3</v>
      </c>
      <c r="BQ27">
        <v>118.3</v>
      </c>
      <c r="BS27">
        <v>662654.80000000005</v>
      </c>
      <c r="BT27">
        <v>14644.4</v>
      </c>
      <c r="BV27">
        <v>3781.8</v>
      </c>
      <c r="BW27">
        <v>89.1</v>
      </c>
      <c r="BY27">
        <v>548</v>
      </c>
      <c r="BZ27">
        <v>72.400000000000006</v>
      </c>
      <c r="CB27">
        <v>564999.1</v>
      </c>
      <c r="CC27">
        <v>5067.3</v>
      </c>
      <c r="CE27">
        <v>467718.8</v>
      </c>
      <c r="CF27">
        <v>4804.7</v>
      </c>
      <c r="CH27">
        <v>1183446</v>
      </c>
      <c r="CI27">
        <v>4976.6000000000004</v>
      </c>
      <c r="CK27">
        <v>1607307.3</v>
      </c>
      <c r="CL27">
        <v>19856.3</v>
      </c>
      <c r="CN27">
        <v>2127515.2999999998</v>
      </c>
      <c r="CO27">
        <v>13264.9</v>
      </c>
      <c r="CQ27">
        <v>86683.1</v>
      </c>
      <c r="CR27">
        <v>1248.0999999999999</v>
      </c>
      <c r="CT27">
        <v>936227</v>
      </c>
      <c r="CU27">
        <v>18567</v>
      </c>
      <c r="CW27">
        <v>649191.4</v>
      </c>
      <c r="CX27">
        <v>7401.5</v>
      </c>
      <c r="CZ27">
        <v>11232.6</v>
      </c>
      <c r="DA27">
        <v>167.3</v>
      </c>
      <c r="DC27">
        <v>39741.800000000003</v>
      </c>
      <c r="DD27">
        <v>394.2</v>
      </c>
      <c r="DF27">
        <v>23490</v>
      </c>
      <c r="DG27">
        <v>167.5</v>
      </c>
      <c r="DI27">
        <v>300</v>
      </c>
      <c r="DJ27">
        <v>55.3</v>
      </c>
      <c r="DL27">
        <v>2276</v>
      </c>
      <c r="DM27">
        <v>65.7</v>
      </c>
      <c r="DO27">
        <v>812696.4</v>
      </c>
      <c r="DP27">
        <v>4646.2</v>
      </c>
      <c r="DR27">
        <v>311911.90000000002</v>
      </c>
      <c r="DS27">
        <v>705.6</v>
      </c>
      <c r="DU27">
        <v>3055508.1</v>
      </c>
      <c r="DV27">
        <v>14656.4</v>
      </c>
      <c r="DX27">
        <v>8958.9</v>
      </c>
      <c r="DY27">
        <v>102.1</v>
      </c>
      <c r="EA27">
        <v>148386</v>
      </c>
      <c r="EB27">
        <v>654.20000000000005</v>
      </c>
      <c r="ED27">
        <v>483448.7</v>
      </c>
      <c r="EE27">
        <v>11290.7</v>
      </c>
      <c r="EG27">
        <v>16195.1</v>
      </c>
      <c r="EH27">
        <v>306.39999999999998</v>
      </c>
      <c r="EJ27">
        <v>254159.3</v>
      </c>
      <c r="EK27">
        <v>4771.3999999999996</v>
      </c>
      <c r="EM27">
        <v>2091.5</v>
      </c>
      <c r="EN27">
        <v>36.299999999999997</v>
      </c>
      <c r="EP27">
        <v>57998</v>
      </c>
      <c r="EQ27">
        <v>914.9</v>
      </c>
      <c r="ES27">
        <v>146535.9</v>
      </c>
      <c r="ET27">
        <v>1036.5</v>
      </c>
      <c r="EV27">
        <v>6.5</v>
      </c>
      <c r="EW27">
        <v>3.1</v>
      </c>
      <c r="EY27">
        <v>15</v>
      </c>
      <c r="EZ27">
        <v>7.7</v>
      </c>
      <c r="FB27">
        <v>29.3</v>
      </c>
      <c r="FC27">
        <v>18</v>
      </c>
      <c r="FE27">
        <v>1189.3</v>
      </c>
      <c r="FF27">
        <v>140.5</v>
      </c>
      <c r="FH27">
        <v>864.8</v>
      </c>
      <c r="FI27">
        <v>43.7</v>
      </c>
      <c r="FK27">
        <v>78178.899999999994</v>
      </c>
      <c r="FL27">
        <v>1128.9000000000001</v>
      </c>
      <c r="FN27">
        <v>579.4</v>
      </c>
      <c r="FO27">
        <v>28.5</v>
      </c>
      <c r="FQ27">
        <v>17449.8</v>
      </c>
      <c r="FR27">
        <v>680.4</v>
      </c>
    </row>
    <row r="28" spans="1:174" x14ac:dyDescent="0.2">
      <c r="A28" t="s">
        <v>94</v>
      </c>
      <c r="B28">
        <v>10814.5</v>
      </c>
      <c r="C28">
        <v>209.2</v>
      </c>
      <c r="E28">
        <v>729.6</v>
      </c>
      <c r="F28">
        <v>103.3</v>
      </c>
      <c r="H28">
        <v>9182</v>
      </c>
      <c r="I28">
        <v>243.1</v>
      </c>
      <c r="K28">
        <v>55508.800000000003</v>
      </c>
      <c r="L28">
        <v>725.5</v>
      </c>
      <c r="N28">
        <v>517.79999999999995</v>
      </c>
      <c r="O28">
        <v>51.6</v>
      </c>
      <c r="Q28">
        <v>1419.7</v>
      </c>
      <c r="R28">
        <v>135</v>
      </c>
      <c r="T28">
        <v>1951.5</v>
      </c>
      <c r="U28">
        <v>87.1</v>
      </c>
      <c r="W28">
        <v>1660.6</v>
      </c>
      <c r="X28">
        <v>40.700000000000003</v>
      </c>
      <c r="Z28">
        <v>16393.2</v>
      </c>
      <c r="AA28">
        <v>150</v>
      </c>
      <c r="AC28">
        <v>278.10000000000002</v>
      </c>
      <c r="AD28">
        <v>28.1</v>
      </c>
      <c r="AF28" s="27">
        <v>2893560.7</v>
      </c>
      <c r="AG28">
        <v>28532.5</v>
      </c>
      <c r="AI28" s="28">
        <v>421075.7</v>
      </c>
      <c r="AJ28">
        <v>5285.2</v>
      </c>
      <c r="AL28">
        <v>20128.900000000001</v>
      </c>
      <c r="AM28">
        <v>386.5</v>
      </c>
      <c r="AO28">
        <v>10604.9</v>
      </c>
      <c r="AP28">
        <v>87.9</v>
      </c>
      <c r="AR28">
        <v>16157.4</v>
      </c>
      <c r="AS28">
        <v>114.3</v>
      </c>
      <c r="AU28">
        <v>862.9</v>
      </c>
      <c r="AV28">
        <v>117.7</v>
      </c>
      <c r="AX28">
        <v>1291.5</v>
      </c>
      <c r="AY28">
        <v>111.9</v>
      </c>
      <c r="BA28">
        <v>184.4</v>
      </c>
      <c r="BB28">
        <v>43.8</v>
      </c>
      <c r="BD28">
        <v>112.5</v>
      </c>
      <c r="BE28">
        <v>17.399999999999999</v>
      </c>
      <c r="BG28">
        <v>423</v>
      </c>
      <c r="BH28">
        <v>20.100000000000001</v>
      </c>
      <c r="BJ28">
        <v>196.9</v>
      </c>
      <c r="BK28">
        <v>17.399999999999999</v>
      </c>
      <c r="BM28">
        <v>140.6</v>
      </c>
      <c r="BN28">
        <v>8.3000000000000007</v>
      </c>
      <c r="BP28">
        <v>2828.6</v>
      </c>
      <c r="BQ28">
        <v>107</v>
      </c>
      <c r="BS28">
        <v>654105.1</v>
      </c>
      <c r="BT28">
        <v>7491.1</v>
      </c>
      <c r="BV28">
        <v>4171.8999999999996</v>
      </c>
      <c r="BW28">
        <v>93.9</v>
      </c>
      <c r="BY28">
        <v>262.5</v>
      </c>
      <c r="BZ28">
        <v>51.5</v>
      </c>
      <c r="CB28">
        <v>12232.5</v>
      </c>
      <c r="CC28">
        <v>313</v>
      </c>
      <c r="CE28">
        <v>10815.6</v>
      </c>
      <c r="CF28">
        <v>231.8</v>
      </c>
      <c r="CH28">
        <v>25581.8</v>
      </c>
      <c r="CI28">
        <v>203.6</v>
      </c>
      <c r="CK28">
        <v>2705.5</v>
      </c>
      <c r="CL28">
        <v>65.8</v>
      </c>
      <c r="CN28">
        <v>213547.2</v>
      </c>
      <c r="CO28">
        <v>457.9</v>
      </c>
      <c r="CQ28">
        <v>37171.800000000003</v>
      </c>
      <c r="CR28">
        <v>297.7</v>
      </c>
      <c r="CT28">
        <v>446365.6</v>
      </c>
      <c r="CU28">
        <v>5806.6</v>
      </c>
      <c r="CW28">
        <v>540766.5</v>
      </c>
      <c r="CX28">
        <v>5331.5</v>
      </c>
      <c r="CZ28">
        <v>10411</v>
      </c>
      <c r="DA28">
        <v>621.4</v>
      </c>
      <c r="DC28">
        <v>46571.5</v>
      </c>
      <c r="DD28">
        <v>1028.4000000000001</v>
      </c>
      <c r="DF28">
        <v>27728</v>
      </c>
      <c r="DG28">
        <v>436.5</v>
      </c>
      <c r="DI28">
        <v>114.8</v>
      </c>
      <c r="DJ28">
        <v>22.3</v>
      </c>
      <c r="DL28">
        <v>366.7</v>
      </c>
      <c r="DM28">
        <v>26.5</v>
      </c>
      <c r="DO28">
        <v>9805.4</v>
      </c>
      <c r="DP28">
        <v>216.4</v>
      </c>
      <c r="DR28">
        <v>5852.6</v>
      </c>
      <c r="DS28">
        <v>347.1</v>
      </c>
      <c r="DU28">
        <v>332911.09999999998</v>
      </c>
      <c r="DV28">
        <v>2491.6</v>
      </c>
      <c r="DX28">
        <v>1817.2</v>
      </c>
      <c r="DY28">
        <v>107.7</v>
      </c>
      <c r="EA28">
        <v>4806.8</v>
      </c>
      <c r="EB28">
        <v>50.5</v>
      </c>
      <c r="ED28">
        <v>9906.5</v>
      </c>
      <c r="EE28">
        <v>298.7</v>
      </c>
      <c r="EG28">
        <v>12606.2</v>
      </c>
      <c r="EH28">
        <v>181.6</v>
      </c>
      <c r="EJ28">
        <v>247946.6</v>
      </c>
      <c r="EK28">
        <v>3454</v>
      </c>
      <c r="EM28">
        <v>43394.5</v>
      </c>
      <c r="EN28">
        <v>884.2</v>
      </c>
      <c r="EP28">
        <v>57188.9</v>
      </c>
      <c r="EQ28">
        <v>1778.3</v>
      </c>
      <c r="ES28">
        <v>57438.400000000001</v>
      </c>
      <c r="ET28">
        <v>675.7</v>
      </c>
      <c r="EV28">
        <v>0.6</v>
      </c>
      <c r="EW28">
        <v>1</v>
      </c>
      <c r="EY28">
        <v>72.3</v>
      </c>
      <c r="EZ28">
        <v>17.8</v>
      </c>
      <c r="FB28">
        <v>15.6</v>
      </c>
      <c r="FC28">
        <v>7.1</v>
      </c>
      <c r="FE28">
        <v>602.5</v>
      </c>
      <c r="FF28">
        <v>60.7</v>
      </c>
      <c r="FH28">
        <v>968.8</v>
      </c>
      <c r="FI28">
        <v>99.3</v>
      </c>
      <c r="FK28">
        <v>79205.2</v>
      </c>
      <c r="FL28">
        <v>879.2</v>
      </c>
      <c r="FN28">
        <v>12320.9</v>
      </c>
      <c r="FO28">
        <v>201.4</v>
      </c>
      <c r="FQ28">
        <v>17330.7</v>
      </c>
      <c r="FR28">
        <v>289.89999999999998</v>
      </c>
    </row>
    <row r="29" spans="1:174" x14ac:dyDescent="0.2">
      <c r="A29" t="s">
        <v>95</v>
      </c>
      <c r="B29">
        <v>39186.400000000001</v>
      </c>
      <c r="C29">
        <v>292.7</v>
      </c>
      <c r="E29">
        <v>697</v>
      </c>
      <c r="F29">
        <v>19.600000000000001</v>
      </c>
      <c r="H29">
        <v>2170735.7999999998</v>
      </c>
      <c r="I29">
        <v>3179.6</v>
      </c>
      <c r="K29">
        <v>163656.4</v>
      </c>
      <c r="L29">
        <v>442.5</v>
      </c>
      <c r="N29">
        <v>7133.1</v>
      </c>
      <c r="O29">
        <v>130.80000000000001</v>
      </c>
      <c r="Q29">
        <v>43763.4</v>
      </c>
      <c r="R29">
        <v>374.8</v>
      </c>
      <c r="T29">
        <v>3248.9</v>
      </c>
      <c r="U29">
        <v>73.099999999999994</v>
      </c>
      <c r="W29">
        <v>2705.5</v>
      </c>
      <c r="X29">
        <v>168.5</v>
      </c>
      <c r="Z29">
        <v>327014.09999999998</v>
      </c>
      <c r="AA29">
        <v>1417.1</v>
      </c>
      <c r="AC29">
        <v>57579.199999999997</v>
      </c>
      <c r="AD29">
        <v>326.7</v>
      </c>
      <c r="AF29" s="27">
        <v>10948380.300000001</v>
      </c>
      <c r="AG29">
        <v>49987.5</v>
      </c>
      <c r="AI29" s="28">
        <v>12506418.4</v>
      </c>
      <c r="AJ29">
        <v>34866.699999999997</v>
      </c>
      <c r="AL29">
        <v>48452518.600000001</v>
      </c>
      <c r="AM29">
        <v>218987.8</v>
      </c>
      <c r="AO29">
        <v>159908.5</v>
      </c>
      <c r="AP29">
        <v>1025.3</v>
      </c>
      <c r="AR29">
        <v>228169.5</v>
      </c>
      <c r="AS29">
        <v>3357.8</v>
      </c>
      <c r="AU29">
        <v>30449.8</v>
      </c>
      <c r="AV29">
        <v>714.7</v>
      </c>
      <c r="AX29">
        <v>12476.8</v>
      </c>
      <c r="AY29">
        <v>123.8</v>
      </c>
      <c r="BA29">
        <v>1198.5999999999999</v>
      </c>
      <c r="BB29">
        <v>107.3</v>
      </c>
      <c r="BD29">
        <v>357.3</v>
      </c>
      <c r="BE29">
        <v>16</v>
      </c>
      <c r="BG29">
        <v>625.20000000000005</v>
      </c>
      <c r="BH29">
        <v>53.3</v>
      </c>
      <c r="BJ29">
        <v>451.1</v>
      </c>
      <c r="BK29">
        <v>24.3</v>
      </c>
      <c r="BM29">
        <v>473</v>
      </c>
      <c r="BN29">
        <v>53.5</v>
      </c>
      <c r="BP29">
        <v>5898.1</v>
      </c>
      <c r="BQ29">
        <v>167</v>
      </c>
      <c r="BS29">
        <v>662434.19999999995</v>
      </c>
      <c r="BT29">
        <v>2106.9</v>
      </c>
      <c r="BV29">
        <v>3670.2</v>
      </c>
      <c r="BW29">
        <v>155.6</v>
      </c>
      <c r="BY29">
        <v>77277.600000000006</v>
      </c>
      <c r="BZ29">
        <v>843.6</v>
      </c>
      <c r="CB29">
        <v>3654770.9</v>
      </c>
      <c r="CC29">
        <v>19643.099999999999</v>
      </c>
      <c r="CE29">
        <v>3461601.3</v>
      </c>
      <c r="CF29">
        <v>16449.099999999999</v>
      </c>
      <c r="CH29">
        <v>7408018</v>
      </c>
      <c r="CI29">
        <v>126472.9</v>
      </c>
      <c r="CK29">
        <v>1697679</v>
      </c>
      <c r="CL29">
        <v>11120.9</v>
      </c>
      <c r="CN29">
        <v>23848192.399999999</v>
      </c>
      <c r="CO29">
        <v>311223.5</v>
      </c>
      <c r="CQ29">
        <v>113576.6</v>
      </c>
      <c r="CR29">
        <v>1644.8</v>
      </c>
      <c r="CT29">
        <v>1545155</v>
      </c>
      <c r="CU29">
        <v>3990.4</v>
      </c>
      <c r="CW29">
        <v>5261558.8</v>
      </c>
      <c r="CX29">
        <v>17752.2</v>
      </c>
      <c r="CZ29">
        <v>144549.79999999999</v>
      </c>
      <c r="DA29">
        <v>2965.6</v>
      </c>
      <c r="DC29">
        <v>1381571</v>
      </c>
      <c r="DD29">
        <v>7484.2</v>
      </c>
      <c r="DF29">
        <v>57235.6</v>
      </c>
      <c r="DG29">
        <v>906</v>
      </c>
      <c r="DI29">
        <v>852.2</v>
      </c>
      <c r="DJ29">
        <v>68.3</v>
      </c>
      <c r="DL29">
        <v>1411.2</v>
      </c>
      <c r="DM29">
        <v>30.5</v>
      </c>
      <c r="DO29">
        <v>255721.4</v>
      </c>
      <c r="DP29">
        <v>2204.3000000000002</v>
      </c>
      <c r="DR29">
        <v>138719.20000000001</v>
      </c>
      <c r="DS29">
        <v>1106.9000000000001</v>
      </c>
      <c r="DU29">
        <v>1557548.4</v>
      </c>
      <c r="DV29">
        <v>9364.9</v>
      </c>
      <c r="DX29">
        <v>29105.8</v>
      </c>
      <c r="DY29">
        <v>603.4</v>
      </c>
      <c r="EA29">
        <v>41849.699999999997</v>
      </c>
      <c r="EB29">
        <v>683.8</v>
      </c>
      <c r="ED29">
        <v>946387.9</v>
      </c>
      <c r="EE29">
        <v>9674.5</v>
      </c>
      <c r="EG29">
        <v>8206608.7999999998</v>
      </c>
      <c r="EH29">
        <v>139688.70000000001</v>
      </c>
      <c r="EJ29">
        <v>1112920.8999999999</v>
      </c>
      <c r="EK29">
        <v>13801.1</v>
      </c>
      <c r="EM29">
        <v>1431415.7</v>
      </c>
      <c r="EN29">
        <v>26609.5</v>
      </c>
      <c r="EP29">
        <v>58655.6</v>
      </c>
      <c r="EQ29">
        <v>679.5</v>
      </c>
      <c r="ES29">
        <v>11761891.300000001</v>
      </c>
      <c r="ET29">
        <v>107787.6</v>
      </c>
      <c r="EV29">
        <v>568.79999999999995</v>
      </c>
      <c r="EW29">
        <v>29.4</v>
      </c>
      <c r="EY29">
        <v>303561.09999999998</v>
      </c>
      <c r="EZ29">
        <v>4803.8</v>
      </c>
      <c r="FB29">
        <v>1401.7</v>
      </c>
      <c r="FC29">
        <v>17.7</v>
      </c>
      <c r="FE29">
        <v>4603.6000000000004</v>
      </c>
      <c r="FF29">
        <v>114.4</v>
      </c>
      <c r="FH29">
        <v>908.1</v>
      </c>
      <c r="FI29">
        <v>18.399999999999999</v>
      </c>
      <c r="FK29">
        <v>332064.09999999998</v>
      </c>
      <c r="FL29">
        <v>2835.6</v>
      </c>
      <c r="FN29">
        <v>387801.59999999998</v>
      </c>
      <c r="FO29">
        <v>2710.7</v>
      </c>
      <c r="FQ29">
        <v>17998.5</v>
      </c>
      <c r="FR29">
        <v>384.6</v>
      </c>
    </row>
    <row r="30" spans="1:174" x14ac:dyDescent="0.2">
      <c r="A30" t="s">
        <v>96</v>
      </c>
      <c r="B30">
        <v>12027.1</v>
      </c>
      <c r="C30">
        <v>649</v>
      </c>
      <c r="E30">
        <v>867.2</v>
      </c>
      <c r="F30">
        <v>96.2</v>
      </c>
      <c r="H30">
        <v>277656.8</v>
      </c>
      <c r="I30">
        <v>1604.6</v>
      </c>
      <c r="K30">
        <v>87478.3</v>
      </c>
      <c r="L30">
        <v>459.9</v>
      </c>
      <c r="N30">
        <v>3263.5</v>
      </c>
      <c r="O30">
        <v>37.9</v>
      </c>
      <c r="Q30">
        <v>22802.400000000001</v>
      </c>
      <c r="R30">
        <v>459.9</v>
      </c>
      <c r="T30">
        <v>1762.8</v>
      </c>
      <c r="U30">
        <v>131.30000000000001</v>
      </c>
      <c r="W30">
        <v>2008.9</v>
      </c>
      <c r="X30">
        <v>23.4</v>
      </c>
      <c r="Z30">
        <v>150654.9</v>
      </c>
      <c r="AA30">
        <v>1220.0999999999999</v>
      </c>
      <c r="AC30">
        <v>2627.3</v>
      </c>
      <c r="AD30">
        <v>54.3</v>
      </c>
      <c r="AF30" s="27">
        <v>3322048.7</v>
      </c>
      <c r="AG30">
        <v>32608.2</v>
      </c>
      <c r="AI30" s="28">
        <v>447113.8</v>
      </c>
      <c r="AJ30">
        <v>3477.7</v>
      </c>
      <c r="AL30">
        <v>2255179.2999999998</v>
      </c>
      <c r="AM30">
        <v>13227.7</v>
      </c>
      <c r="AO30">
        <v>31197.5</v>
      </c>
      <c r="AP30">
        <v>832.1</v>
      </c>
      <c r="AR30">
        <v>33956.1</v>
      </c>
      <c r="AS30">
        <v>240</v>
      </c>
      <c r="AU30">
        <v>4561.8999999999996</v>
      </c>
      <c r="AV30">
        <v>221.1</v>
      </c>
      <c r="AX30">
        <v>8321.2999999999993</v>
      </c>
      <c r="AY30">
        <v>391.2</v>
      </c>
      <c r="BA30">
        <v>899.4</v>
      </c>
      <c r="BB30">
        <v>48.6</v>
      </c>
      <c r="BD30">
        <v>285.39999999999998</v>
      </c>
      <c r="BE30">
        <v>43.8</v>
      </c>
      <c r="BG30">
        <v>613.70000000000005</v>
      </c>
      <c r="BH30">
        <v>60.6</v>
      </c>
      <c r="BJ30">
        <v>334.4</v>
      </c>
      <c r="BK30">
        <v>56.4</v>
      </c>
      <c r="BM30">
        <v>406.3</v>
      </c>
      <c r="BN30">
        <v>111.3</v>
      </c>
      <c r="BP30">
        <v>9034.7999999999993</v>
      </c>
      <c r="BQ30">
        <v>252.7</v>
      </c>
      <c r="BS30">
        <v>668216.6</v>
      </c>
      <c r="BT30">
        <v>6640.4</v>
      </c>
      <c r="BV30">
        <v>3826.6</v>
      </c>
      <c r="BW30">
        <v>208.8</v>
      </c>
      <c r="BY30">
        <v>6908.8</v>
      </c>
      <c r="BZ30">
        <v>148.9</v>
      </c>
      <c r="CB30">
        <v>224258.7</v>
      </c>
      <c r="CC30">
        <v>1987.3</v>
      </c>
      <c r="CE30">
        <v>188590.8</v>
      </c>
      <c r="CF30">
        <v>1102.3</v>
      </c>
      <c r="CH30">
        <v>468459.3</v>
      </c>
      <c r="CI30">
        <v>8658.2999999999993</v>
      </c>
      <c r="CK30">
        <v>128468.8</v>
      </c>
      <c r="CL30">
        <v>1565.6</v>
      </c>
      <c r="CN30">
        <v>4164668</v>
      </c>
      <c r="CO30">
        <v>26449.9</v>
      </c>
      <c r="CQ30">
        <v>89463</v>
      </c>
      <c r="CR30">
        <v>546.9</v>
      </c>
      <c r="CT30">
        <v>533837.19999999995</v>
      </c>
      <c r="CU30">
        <v>3255.8</v>
      </c>
      <c r="CW30">
        <v>943997.6</v>
      </c>
      <c r="CX30">
        <v>9840.7999999999993</v>
      </c>
      <c r="CZ30">
        <v>18183</v>
      </c>
      <c r="DA30">
        <v>229.3</v>
      </c>
      <c r="DC30">
        <v>196404.2</v>
      </c>
      <c r="DD30">
        <v>1571.3</v>
      </c>
      <c r="DF30">
        <v>34191</v>
      </c>
      <c r="DG30">
        <v>1155.3</v>
      </c>
      <c r="DI30">
        <v>306.5</v>
      </c>
      <c r="DJ30">
        <v>30.5</v>
      </c>
      <c r="DL30">
        <v>2777.5</v>
      </c>
      <c r="DM30">
        <v>125.6</v>
      </c>
      <c r="DO30">
        <v>486061.3</v>
      </c>
      <c r="DP30">
        <v>7646.2</v>
      </c>
      <c r="DR30">
        <v>113248</v>
      </c>
      <c r="DS30">
        <v>522.5</v>
      </c>
      <c r="DU30">
        <v>3003712.6</v>
      </c>
      <c r="DV30">
        <v>22522.2</v>
      </c>
      <c r="DX30">
        <v>3414.4</v>
      </c>
      <c r="DY30">
        <v>138.1</v>
      </c>
      <c r="EA30">
        <v>53224.7</v>
      </c>
      <c r="EB30">
        <v>762.1</v>
      </c>
      <c r="ED30">
        <v>119450.1</v>
      </c>
      <c r="EE30">
        <v>2163.6999999999998</v>
      </c>
      <c r="EG30">
        <v>318782</v>
      </c>
      <c r="EH30">
        <v>4361.2</v>
      </c>
      <c r="EJ30">
        <v>281081.09999999998</v>
      </c>
      <c r="EK30">
        <v>2891.8</v>
      </c>
      <c r="EM30">
        <v>47063.6</v>
      </c>
      <c r="EN30">
        <v>750.9</v>
      </c>
      <c r="EP30">
        <v>57920.4</v>
      </c>
      <c r="EQ30">
        <v>674</v>
      </c>
      <c r="ES30">
        <v>2284142.7999999998</v>
      </c>
      <c r="ET30">
        <v>34705.1</v>
      </c>
      <c r="EV30">
        <v>17.8</v>
      </c>
      <c r="EW30">
        <v>4.8</v>
      </c>
      <c r="EY30">
        <v>15677.7</v>
      </c>
      <c r="EZ30">
        <v>155.30000000000001</v>
      </c>
      <c r="FB30">
        <v>71.5</v>
      </c>
      <c r="FC30">
        <v>19.2</v>
      </c>
      <c r="FE30">
        <v>1552.2</v>
      </c>
      <c r="FF30">
        <v>223.4</v>
      </c>
      <c r="FH30">
        <v>951.6</v>
      </c>
      <c r="FI30">
        <v>63.6</v>
      </c>
      <c r="FK30">
        <v>86000.5</v>
      </c>
      <c r="FL30">
        <v>1336.3</v>
      </c>
      <c r="FN30">
        <v>13089.5</v>
      </c>
      <c r="FO30">
        <v>404</v>
      </c>
      <c r="FQ30">
        <v>17559</v>
      </c>
      <c r="FR30">
        <v>334</v>
      </c>
    </row>
    <row r="31" spans="1:174" x14ac:dyDescent="0.2">
      <c r="A31" t="s">
        <v>97</v>
      </c>
      <c r="B31">
        <v>63817.5</v>
      </c>
      <c r="C31">
        <v>107.2</v>
      </c>
      <c r="E31">
        <v>770.8</v>
      </c>
      <c r="F31">
        <v>39.799999999999997</v>
      </c>
      <c r="H31">
        <v>4303719.8</v>
      </c>
      <c r="I31">
        <v>20751.900000000001</v>
      </c>
      <c r="K31">
        <v>277259.59999999998</v>
      </c>
      <c r="L31">
        <v>1271.3</v>
      </c>
      <c r="N31">
        <v>3425.2</v>
      </c>
      <c r="O31">
        <v>84.1</v>
      </c>
      <c r="Q31">
        <v>85211.7</v>
      </c>
      <c r="R31">
        <v>1538.7</v>
      </c>
      <c r="T31">
        <v>3958</v>
      </c>
      <c r="U31">
        <v>72.3</v>
      </c>
      <c r="W31">
        <v>2879.7</v>
      </c>
      <c r="X31">
        <v>20.8</v>
      </c>
      <c r="Z31">
        <v>4771138.8</v>
      </c>
      <c r="AA31">
        <v>32439.5</v>
      </c>
      <c r="AC31">
        <v>232083.5</v>
      </c>
      <c r="AD31">
        <v>1708.2</v>
      </c>
      <c r="AF31" s="27">
        <v>15649769.1</v>
      </c>
      <c r="AG31">
        <v>197787</v>
      </c>
      <c r="AI31" s="28">
        <v>16778476.600000001</v>
      </c>
      <c r="AJ31">
        <v>95950.8</v>
      </c>
      <c r="AL31">
        <v>62074073.100000001</v>
      </c>
      <c r="AM31">
        <v>191889.9</v>
      </c>
      <c r="AO31">
        <v>276057.59999999998</v>
      </c>
      <c r="AP31">
        <v>1358</v>
      </c>
      <c r="AR31">
        <v>445807.5</v>
      </c>
      <c r="AS31">
        <v>3225.7</v>
      </c>
      <c r="AU31">
        <v>34341.9</v>
      </c>
      <c r="AV31">
        <v>676.8</v>
      </c>
      <c r="AX31">
        <v>9090.1</v>
      </c>
      <c r="AY31">
        <v>201.4</v>
      </c>
      <c r="BA31">
        <v>803.4</v>
      </c>
      <c r="BB31">
        <v>30.2</v>
      </c>
      <c r="BD31">
        <v>534.5</v>
      </c>
      <c r="BE31">
        <v>8.3000000000000007</v>
      </c>
      <c r="BG31">
        <v>574.1</v>
      </c>
      <c r="BH31">
        <v>26.9</v>
      </c>
      <c r="BJ31">
        <v>320.89999999999998</v>
      </c>
      <c r="BK31">
        <v>30</v>
      </c>
      <c r="BM31">
        <v>375.1</v>
      </c>
      <c r="BN31">
        <v>31.8</v>
      </c>
      <c r="BP31">
        <v>40943.1</v>
      </c>
      <c r="BQ31">
        <v>300.39999999999998</v>
      </c>
      <c r="BS31">
        <v>668292.9</v>
      </c>
      <c r="BT31">
        <v>2138.1</v>
      </c>
      <c r="BV31">
        <v>3701.6</v>
      </c>
      <c r="BW31">
        <v>69.2</v>
      </c>
      <c r="BY31">
        <v>131283.5</v>
      </c>
      <c r="BZ31">
        <v>1078.3</v>
      </c>
      <c r="CB31">
        <v>6905203.7000000002</v>
      </c>
      <c r="CC31">
        <v>51524</v>
      </c>
      <c r="CE31">
        <v>5836351.2999999998</v>
      </c>
      <c r="CF31">
        <v>20348</v>
      </c>
      <c r="CH31">
        <v>14298201.800000001</v>
      </c>
      <c r="CI31">
        <v>82749.600000000006</v>
      </c>
      <c r="CK31">
        <v>2058817.3</v>
      </c>
      <c r="CL31">
        <v>18970.5</v>
      </c>
      <c r="CN31">
        <v>62903522.100000001</v>
      </c>
      <c r="CO31">
        <v>285569.3</v>
      </c>
      <c r="CQ31">
        <v>176487.4</v>
      </c>
      <c r="CR31">
        <v>1888.3</v>
      </c>
      <c r="CT31">
        <v>879549.5</v>
      </c>
      <c r="CU31">
        <v>9884.2000000000007</v>
      </c>
      <c r="CW31">
        <v>16722985.1</v>
      </c>
      <c r="CX31">
        <v>158534.79999999999</v>
      </c>
      <c r="CZ31">
        <v>517802.7</v>
      </c>
      <c r="DA31">
        <v>5073.3</v>
      </c>
      <c r="DC31">
        <v>681960.3</v>
      </c>
      <c r="DD31">
        <v>2891.4</v>
      </c>
      <c r="DF31">
        <v>99204.5</v>
      </c>
      <c r="DG31">
        <v>1096.7</v>
      </c>
      <c r="DI31">
        <v>1012.6</v>
      </c>
      <c r="DJ31">
        <v>89.9</v>
      </c>
      <c r="DL31">
        <v>4865.2</v>
      </c>
      <c r="DM31">
        <v>245</v>
      </c>
      <c r="DO31">
        <v>779112.1</v>
      </c>
      <c r="DP31">
        <v>18410</v>
      </c>
      <c r="DR31">
        <v>463924.9</v>
      </c>
      <c r="DS31">
        <v>8216.2999999999993</v>
      </c>
      <c r="DU31">
        <v>4003080.2</v>
      </c>
      <c r="DV31">
        <v>97986.1</v>
      </c>
      <c r="DX31">
        <v>45897.2</v>
      </c>
      <c r="DY31">
        <v>909.2</v>
      </c>
      <c r="EA31">
        <v>137128.20000000001</v>
      </c>
      <c r="EB31">
        <v>2302.4</v>
      </c>
      <c r="ED31">
        <v>1470273.5</v>
      </c>
      <c r="EE31">
        <v>30321.4</v>
      </c>
      <c r="EG31">
        <v>21262118.100000001</v>
      </c>
      <c r="EH31">
        <v>280674</v>
      </c>
      <c r="EJ31">
        <v>1671098.1</v>
      </c>
      <c r="EK31">
        <v>41376</v>
      </c>
      <c r="EM31">
        <v>2059171.3</v>
      </c>
      <c r="EN31">
        <v>73262.399999999994</v>
      </c>
      <c r="EP31">
        <v>58042.6</v>
      </c>
      <c r="EQ31">
        <v>1231.8</v>
      </c>
      <c r="ES31">
        <v>33389031.600000001</v>
      </c>
      <c r="ET31">
        <v>685427.4</v>
      </c>
      <c r="EV31">
        <v>269.5</v>
      </c>
      <c r="EW31">
        <v>9.1999999999999993</v>
      </c>
      <c r="EY31">
        <v>112911.5</v>
      </c>
      <c r="EZ31">
        <v>2487.1</v>
      </c>
      <c r="FB31">
        <v>281.2</v>
      </c>
      <c r="FC31">
        <v>13.4</v>
      </c>
      <c r="FE31">
        <v>1526.9</v>
      </c>
      <c r="FF31">
        <v>158.6</v>
      </c>
      <c r="FH31">
        <v>908.7</v>
      </c>
      <c r="FI31">
        <v>13.5</v>
      </c>
      <c r="FK31">
        <v>484077</v>
      </c>
      <c r="FL31">
        <v>8570.4</v>
      </c>
      <c r="FN31">
        <v>519349.6</v>
      </c>
      <c r="FO31">
        <v>2779.5</v>
      </c>
      <c r="FQ31">
        <v>17847.599999999999</v>
      </c>
      <c r="FR31">
        <v>167.8</v>
      </c>
    </row>
    <row r="32" spans="1:174" x14ac:dyDescent="0.2">
      <c r="A32" t="s">
        <v>98</v>
      </c>
      <c r="B32">
        <v>14484.2</v>
      </c>
      <c r="C32">
        <v>328.3</v>
      </c>
      <c r="E32">
        <v>828.3</v>
      </c>
      <c r="F32">
        <v>67.400000000000006</v>
      </c>
      <c r="H32">
        <v>714808.5</v>
      </c>
      <c r="I32">
        <v>12778.1</v>
      </c>
      <c r="K32">
        <v>109278.5</v>
      </c>
      <c r="L32">
        <v>937.2</v>
      </c>
      <c r="N32">
        <v>1417.7</v>
      </c>
      <c r="O32">
        <v>145.80000000000001</v>
      </c>
      <c r="Q32">
        <v>23580.3</v>
      </c>
      <c r="R32">
        <v>99.2</v>
      </c>
      <c r="T32">
        <v>1583.4</v>
      </c>
      <c r="U32">
        <v>70</v>
      </c>
      <c r="W32">
        <v>1921.4</v>
      </c>
      <c r="X32">
        <v>72.900000000000006</v>
      </c>
      <c r="Z32">
        <v>289659.2</v>
      </c>
      <c r="AA32">
        <v>3980.1</v>
      </c>
      <c r="AC32">
        <v>23095.9</v>
      </c>
      <c r="AD32">
        <v>641.5</v>
      </c>
      <c r="AF32" s="27">
        <v>3219079.3</v>
      </c>
      <c r="AG32">
        <v>250997.4</v>
      </c>
      <c r="AI32" s="28">
        <v>1424880.3</v>
      </c>
      <c r="AJ32">
        <v>132040.6</v>
      </c>
      <c r="AL32">
        <v>1746730.7</v>
      </c>
      <c r="AM32">
        <v>318792.8</v>
      </c>
      <c r="AO32">
        <v>44249.4</v>
      </c>
      <c r="AP32">
        <v>5848.1</v>
      </c>
      <c r="AR32">
        <v>117701.7</v>
      </c>
      <c r="AS32">
        <v>6474.6</v>
      </c>
      <c r="AU32">
        <v>2566.9</v>
      </c>
      <c r="AV32">
        <v>218.8</v>
      </c>
      <c r="AX32">
        <v>3481.4</v>
      </c>
      <c r="AY32">
        <v>325</v>
      </c>
      <c r="BA32">
        <v>469.8</v>
      </c>
      <c r="BB32">
        <v>54.7</v>
      </c>
      <c r="BD32">
        <v>193.8</v>
      </c>
      <c r="BE32">
        <v>27.2</v>
      </c>
      <c r="BG32">
        <v>498.1</v>
      </c>
      <c r="BH32">
        <v>42.5</v>
      </c>
      <c r="BJ32">
        <v>290.60000000000002</v>
      </c>
      <c r="BK32">
        <v>29.8</v>
      </c>
      <c r="BM32">
        <v>264.60000000000002</v>
      </c>
      <c r="BN32">
        <v>97.1</v>
      </c>
      <c r="BP32">
        <v>11666</v>
      </c>
      <c r="BQ32">
        <v>177.5</v>
      </c>
      <c r="BS32">
        <v>669685.6</v>
      </c>
      <c r="BT32">
        <v>27959.8</v>
      </c>
      <c r="BV32">
        <v>3756.8</v>
      </c>
      <c r="BW32">
        <v>100.8</v>
      </c>
      <c r="BY32">
        <v>28080.7</v>
      </c>
      <c r="BZ32">
        <v>1386.6</v>
      </c>
      <c r="CB32">
        <v>1164331.8</v>
      </c>
      <c r="CC32">
        <v>56519.9</v>
      </c>
      <c r="CE32">
        <v>984323.5</v>
      </c>
      <c r="CF32">
        <v>30364.9</v>
      </c>
      <c r="CH32">
        <v>2568268</v>
      </c>
      <c r="CI32">
        <v>135209.4</v>
      </c>
      <c r="CK32">
        <v>529021.5</v>
      </c>
      <c r="CL32">
        <v>25918.9</v>
      </c>
      <c r="CN32">
        <v>5797897.7000000002</v>
      </c>
      <c r="CO32">
        <v>36110.199999999997</v>
      </c>
      <c r="CQ32">
        <v>61595.3</v>
      </c>
      <c r="CR32">
        <v>370.4</v>
      </c>
      <c r="CT32">
        <v>290504.5</v>
      </c>
      <c r="CU32">
        <v>3290.2</v>
      </c>
      <c r="CW32">
        <v>1479286.5</v>
      </c>
      <c r="CX32">
        <v>5637.2</v>
      </c>
      <c r="CZ32">
        <v>36210.5</v>
      </c>
      <c r="DA32">
        <v>163.69999999999999</v>
      </c>
      <c r="DC32">
        <v>213587.3</v>
      </c>
      <c r="DD32">
        <v>1347.1</v>
      </c>
      <c r="DF32">
        <v>29153.7</v>
      </c>
      <c r="DG32">
        <v>561.29999999999995</v>
      </c>
      <c r="DI32">
        <v>177.8</v>
      </c>
      <c r="DJ32">
        <v>27.4</v>
      </c>
      <c r="DL32">
        <v>791.1</v>
      </c>
      <c r="DM32">
        <v>13.2</v>
      </c>
      <c r="DO32">
        <v>189238</v>
      </c>
      <c r="DP32">
        <v>890</v>
      </c>
      <c r="DR32">
        <v>94342.9</v>
      </c>
      <c r="DS32">
        <v>907.5</v>
      </c>
      <c r="DU32">
        <v>531869.80000000005</v>
      </c>
      <c r="DV32">
        <v>7107.1</v>
      </c>
      <c r="DX32">
        <v>4328.3999999999996</v>
      </c>
      <c r="DY32">
        <v>96</v>
      </c>
      <c r="EA32">
        <v>11427.4</v>
      </c>
      <c r="EB32">
        <v>165.5</v>
      </c>
      <c r="ED32">
        <v>126057</v>
      </c>
      <c r="EE32">
        <v>393.5</v>
      </c>
      <c r="EG32">
        <v>2524172.4</v>
      </c>
      <c r="EH32">
        <v>26731.8</v>
      </c>
      <c r="EJ32">
        <v>290259.90000000002</v>
      </c>
      <c r="EK32">
        <v>1083.5999999999999</v>
      </c>
      <c r="EM32">
        <v>150714.9</v>
      </c>
      <c r="EN32">
        <v>1353.1</v>
      </c>
      <c r="EP32">
        <v>60070.5</v>
      </c>
      <c r="EQ32">
        <v>453.2</v>
      </c>
      <c r="ES32">
        <v>5470231.0999999996</v>
      </c>
      <c r="ET32">
        <v>59165.1</v>
      </c>
      <c r="EV32">
        <v>128.9</v>
      </c>
      <c r="EW32">
        <v>5.4</v>
      </c>
      <c r="EY32">
        <v>4512.7</v>
      </c>
      <c r="EZ32">
        <v>162.19999999999999</v>
      </c>
      <c r="FB32">
        <v>57.5</v>
      </c>
      <c r="FC32">
        <v>8.6</v>
      </c>
      <c r="FE32">
        <v>1476.1</v>
      </c>
      <c r="FF32">
        <v>71.099999999999994</v>
      </c>
      <c r="FH32">
        <v>995.5</v>
      </c>
      <c r="FI32">
        <v>69.2</v>
      </c>
      <c r="FK32">
        <v>88118.8</v>
      </c>
      <c r="FL32">
        <v>668.7</v>
      </c>
      <c r="FN32">
        <v>41602.1</v>
      </c>
      <c r="FO32">
        <v>1218.7</v>
      </c>
      <c r="FQ32">
        <v>17230.599999999999</v>
      </c>
      <c r="FR32">
        <v>258.60000000000002</v>
      </c>
    </row>
    <row r="33" spans="1:174" x14ac:dyDescent="0.2">
      <c r="A33" t="s">
        <v>99</v>
      </c>
      <c r="B33">
        <v>158123.9</v>
      </c>
      <c r="C33">
        <v>739.9</v>
      </c>
      <c r="E33">
        <v>36077.1</v>
      </c>
      <c r="F33">
        <v>343.4</v>
      </c>
      <c r="H33">
        <v>944076.6</v>
      </c>
      <c r="I33">
        <v>7280.6</v>
      </c>
      <c r="K33">
        <v>1259371.3</v>
      </c>
      <c r="L33">
        <v>11480.3</v>
      </c>
      <c r="N33">
        <v>1446020.5</v>
      </c>
      <c r="O33">
        <v>21734.5</v>
      </c>
      <c r="Q33">
        <v>179631.9</v>
      </c>
      <c r="R33">
        <v>1209.8</v>
      </c>
      <c r="T33">
        <v>1390313.3</v>
      </c>
      <c r="U33">
        <v>16660.099999999999</v>
      </c>
      <c r="W33">
        <v>280857.59999999998</v>
      </c>
      <c r="X33">
        <v>4069.5</v>
      </c>
      <c r="Z33">
        <v>560980.6</v>
      </c>
      <c r="AA33">
        <v>6576.8</v>
      </c>
      <c r="AC33">
        <v>80031.7</v>
      </c>
      <c r="AD33">
        <v>1205.0999999999999</v>
      </c>
      <c r="AF33" s="27">
        <v>2974051.7</v>
      </c>
      <c r="AG33">
        <v>23424.1</v>
      </c>
      <c r="AI33" s="28">
        <v>315832.09999999998</v>
      </c>
      <c r="AJ33">
        <v>5720.8</v>
      </c>
      <c r="AL33">
        <v>304476.5</v>
      </c>
      <c r="AM33">
        <v>5268.9</v>
      </c>
      <c r="AO33">
        <v>1590588.5</v>
      </c>
      <c r="AP33">
        <v>14073.9</v>
      </c>
      <c r="AR33">
        <v>667828.80000000005</v>
      </c>
      <c r="AS33">
        <v>3080.8</v>
      </c>
      <c r="AU33">
        <v>1770095.5</v>
      </c>
      <c r="AV33">
        <v>14538.1</v>
      </c>
      <c r="AX33">
        <v>1637377.2</v>
      </c>
      <c r="AY33">
        <v>10833.6</v>
      </c>
      <c r="BA33">
        <v>332694.5</v>
      </c>
      <c r="BB33">
        <v>3351</v>
      </c>
      <c r="BD33">
        <v>286824.40000000002</v>
      </c>
      <c r="BE33">
        <v>1889.4</v>
      </c>
      <c r="BG33">
        <v>276276.5</v>
      </c>
      <c r="BH33">
        <v>1721.7</v>
      </c>
      <c r="BJ33">
        <v>1931464</v>
      </c>
      <c r="BK33">
        <v>39178.5</v>
      </c>
      <c r="BM33">
        <v>518186.8</v>
      </c>
      <c r="BN33">
        <v>17867.900000000001</v>
      </c>
      <c r="BP33">
        <v>392794.5</v>
      </c>
      <c r="BQ33">
        <v>4393.6000000000004</v>
      </c>
      <c r="BS33">
        <v>672469.9</v>
      </c>
      <c r="BT33">
        <v>3222.6</v>
      </c>
      <c r="BV33">
        <v>308636.3</v>
      </c>
      <c r="BW33">
        <v>3988.2</v>
      </c>
      <c r="BY33">
        <v>1281286</v>
      </c>
      <c r="BZ33">
        <v>9595.7000000000007</v>
      </c>
      <c r="CB33">
        <v>423119.6</v>
      </c>
      <c r="CC33">
        <v>9614.7999999999993</v>
      </c>
      <c r="CE33">
        <v>362270.8</v>
      </c>
      <c r="CF33">
        <v>3689.6</v>
      </c>
      <c r="CH33">
        <v>894960.7</v>
      </c>
      <c r="CI33">
        <v>5659.9</v>
      </c>
      <c r="CK33">
        <v>1388637</v>
      </c>
      <c r="CL33">
        <v>19753.7</v>
      </c>
      <c r="CN33">
        <v>429816.1</v>
      </c>
      <c r="CO33">
        <v>10353.299999999999</v>
      </c>
      <c r="CQ33">
        <v>261970.1</v>
      </c>
      <c r="CR33">
        <v>9588.7999999999993</v>
      </c>
      <c r="CT33">
        <v>202828.9</v>
      </c>
      <c r="CU33">
        <v>9909.2999999999993</v>
      </c>
      <c r="CW33">
        <v>746859.7</v>
      </c>
      <c r="CX33">
        <v>12665.6</v>
      </c>
      <c r="CZ33">
        <v>3473.6</v>
      </c>
      <c r="DA33">
        <v>199.4</v>
      </c>
      <c r="DC33">
        <v>111991.8</v>
      </c>
      <c r="DD33">
        <v>1229.0999999999999</v>
      </c>
      <c r="DF33">
        <v>23571.599999999999</v>
      </c>
      <c r="DG33">
        <v>562.6</v>
      </c>
      <c r="DI33">
        <v>5610.6</v>
      </c>
      <c r="DJ33">
        <v>289.7</v>
      </c>
      <c r="DL33">
        <v>79369.899999999994</v>
      </c>
      <c r="DM33">
        <v>1672.7</v>
      </c>
      <c r="DO33">
        <v>70778.600000000006</v>
      </c>
      <c r="DP33">
        <v>537.29999999999995</v>
      </c>
      <c r="DR33">
        <v>90392.7</v>
      </c>
      <c r="DS33">
        <v>1679.8</v>
      </c>
      <c r="DU33">
        <v>288075</v>
      </c>
      <c r="DV33">
        <v>10029.200000000001</v>
      </c>
      <c r="DX33">
        <v>82262.7</v>
      </c>
      <c r="DY33">
        <v>2431.9</v>
      </c>
      <c r="EA33">
        <v>19101.5</v>
      </c>
      <c r="EB33">
        <v>732.2</v>
      </c>
      <c r="ED33">
        <v>39214.5</v>
      </c>
      <c r="EE33">
        <v>1511.8</v>
      </c>
      <c r="EG33">
        <v>19691.599999999999</v>
      </c>
      <c r="EH33">
        <v>773.9</v>
      </c>
      <c r="EJ33">
        <v>260109.7</v>
      </c>
      <c r="EK33">
        <v>6079.7</v>
      </c>
      <c r="EM33">
        <v>32809.599999999999</v>
      </c>
      <c r="EN33">
        <v>218.5</v>
      </c>
      <c r="EP33">
        <v>58137.7</v>
      </c>
      <c r="EQ33">
        <v>302.2</v>
      </c>
      <c r="ES33">
        <v>201214.9</v>
      </c>
      <c r="ET33">
        <v>1304.8</v>
      </c>
      <c r="EV33">
        <v>3448.1</v>
      </c>
      <c r="EW33">
        <v>126.2</v>
      </c>
      <c r="EY33">
        <v>2921.9</v>
      </c>
      <c r="EZ33">
        <v>154.69999999999999</v>
      </c>
      <c r="FB33">
        <v>261.39999999999998</v>
      </c>
      <c r="FC33">
        <v>13.2</v>
      </c>
      <c r="FE33">
        <v>1629.1</v>
      </c>
      <c r="FF33">
        <v>285.39999999999998</v>
      </c>
      <c r="FH33">
        <v>962.1</v>
      </c>
      <c r="FI33">
        <v>55</v>
      </c>
      <c r="FK33">
        <v>79207.899999999994</v>
      </c>
      <c r="FL33">
        <v>256.60000000000002</v>
      </c>
      <c r="FN33">
        <v>9173.2999999999993</v>
      </c>
      <c r="FO33">
        <v>193.7</v>
      </c>
      <c r="FQ33">
        <v>17631.900000000001</v>
      </c>
      <c r="FR33">
        <v>599.79999999999995</v>
      </c>
    </row>
    <row r="34" spans="1:174" x14ac:dyDescent="0.2">
      <c r="A34" t="s">
        <v>100</v>
      </c>
      <c r="B34">
        <v>10660.7</v>
      </c>
      <c r="C34">
        <v>331.4</v>
      </c>
      <c r="E34">
        <v>797.6</v>
      </c>
      <c r="F34">
        <v>10.5</v>
      </c>
      <c r="H34">
        <v>9600.4</v>
      </c>
      <c r="I34">
        <v>335.4</v>
      </c>
      <c r="K34">
        <v>47056.800000000003</v>
      </c>
      <c r="L34">
        <v>949.1</v>
      </c>
      <c r="N34">
        <v>172.9</v>
      </c>
      <c r="O34">
        <v>4.8</v>
      </c>
      <c r="Q34">
        <v>628.29999999999995</v>
      </c>
      <c r="R34">
        <v>94.2</v>
      </c>
      <c r="T34">
        <v>1914</v>
      </c>
      <c r="U34">
        <v>92.9</v>
      </c>
      <c r="W34">
        <v>1754.4</v>
      </c>
      <c r="X34">
        <v>81.8</v>
      </c>
      <c r="Z34">
        <v>1410.4</v>
      </c>
      <c r="AA34">
        <v>121.2</v>
      </c>
      <c r="AC34">
        <v>39.6</v>
      </c>
      <c r="AD34">
        <v>18.3</v>
      </c>
      <c r="AF34" s="27">
        <v>2904469</v>
      </c>
      <c r="AG34">
        <v>12419.8</v>
      </c>
      <c r="AI34" s="28">
        <v>1638.7</v>
      </c>
      <c r="AJ34">
        <v>132.5</v>
      </c>
      <c r="AL34">
        <v>2213.3000000000002</v>
      </c>
      <c r="AM34">
        <v>142.6</v>
      </c>
      <c r="AO34">
        <v>3451.2</v>
      </c>
      <c r="AP34">
        <v>148.9</v>
      </c>
      <c r="AR34">
        <v>8295.2000000000007</v>
      </c>
      <c r="AS34">
        <v>268.60000000000002</v>
      </c>
      <c r="AU34">
        <v>277.10000000000002</v>
      </c>
      <c r="AV34">
        <v>17.2</v>
      </c>
      <c r="AX34">
        <v>152.1</v>
      </c>
      <c r="AY34">
        <v>25.5</v>
      </c>
      <c r="BA34">
        <v>141.69999999999999</v>
      </c>
      <c r="BB34">
        <v>3.6</v>
      </c>
      <c r="BD34">
        <v>124</v>
      </c>
      <c r="BE34">
        <v>17.2</v>
      </c>
      <c r="BG34">
        <v>456.3</v>
      </c>
      <c r="BH34">
        <v>41</v>
      </c>
      <c r="BJ34">
        <v>286.5</v>
      </c>
      <c r="BK34">
        <v>21.3</v>
      </c>
      <c r="BM34">
        <v>175</v>
      </c>
      <c r="BN34">
        <v>39.200000000000003</v>
      </c>
      <c r="BP34">
        <v>2028.7</v>
      </c>
      <c r="BQ34">
        <v>161.4</v>
      </c>
      <c r="BS34">
        <v>653360.6</v>
      </c>
      <c r="BT34">
        <v>10287.9</v>
      </c>
      <c r="BV34">
        <v>4033.2</v>
      </c>
      <c r="BW34">
        <v>279.39999999999998</v>
      </c>
      <c r="BY34">
        <v>423</v>
      </c>
      <c r="BZ34">
        <v>45.2</v>
      </c>
      <c r="CB34">
        <v>409.4</v>
      </c>
      <c r="CC34">
        <v>49.6</v>
      </c>
      <c r="CE34">
        <v>531.4</v>
      </c>
      <c r="CF34">
        <v>37.5</v>
      </c>
      <c r="CH34">
        <v>1274.8</v>
      </c>
      <c r="CI34">
        <v>64.099999999999994</v>
      </c>
      <c r="CK34">
        <v>997.4</v>
      </c>
      <c r="CL34">
        <v>55.3</v>
      </c>
      <c r="CN34">
        <v>52168.7</v>
      </c>
      <c r="CO34">
        <v>161.4</v>
      </c>
      <c r="CQ34">
        <v>12366.9</v>
      </c>
      <c r="CR34">
        <v>273.5</v>
      </c>
      <c r="CT34">
        <v>14683</v>
      </c>
      <c r="CU34">
        <v>480.1</v>
      </c>
      <c r="CW34">
        <v>517859</v>
      </c>
      <c r="CX34">
        <v>10087.9</v>
      </c>
      <c r="CZ34">
        <v>535.29999999999995</v>
      </c>
      <c r="DA34">
        <v>23.6</v>
      </c>
      <c r="DC34">
        <v>26210.7</v>
      </c>
      <c r="DD34">
        <v>129.30000000000001</v>
      </c>
      <c r="DF34">
        <v>8666.7000000000007</v>
      </c>
      <c r="DG34">
        <v>75.2</v>
      </c>
      <c r="DI34">
        <v>14.8</v>
      </c>
      <c r="DJ34">
        <v>3.2</v>
      </c>
      <c r="DL34">
        <v>198.1</v>
      </c>
      <c r="DM34">
        <v>69</v>
      </c>
      <c r="DO34">
        <v>539</v>
      </c>
      <c r="DP34">
        <v>26.5</v>
      </c>
      <c r="DR34">
        <v>140.69999999999999</v>
      </c>
      <c r="DS34">
        <v>17</v>
      </c>
      <c r="DU34">
        <v>2564.3000000000002</v>
      </c>
      <c r="DV34">
        <v>95.4</v>
      </c>
      <c r="DX34">
        <v>72.2</v>
      </c>
      <c r="DY34">
        <v>2.8</v>
      </c>
      <c r="EA34">
        <v>163.9</v>
      </c>
      <c r="EB34">
        <v>20</v>
      </c>
      <c r="ED34">
        <v>275.89999999999998</v>
      </c>
      <c r="EE34">
        <v>32.9</v>
      </c>
      <c r="EG34">
        <v>195.4</v>
      </c>
      <c r="EH34">
        <v>36.700000000000003</v>
      </c>
      <c r="EJ34">
        <v>254247.1</v>
      </c>
      <c r="EK34">
        <v>4801.3</v>
      </c>
      <c r="EM34">
        <v>161.1</v>
      </c>
      <c r="EN34">
        <v>20.7</v>
      </c>
      <c r="EP34">
        <v>57189.8</v>
      </c>
      <c r="EQ34">
        <v>756.7</v>
      </c>
      <c r="ES34">
        <v>24126.1</v>
      </c>
      <c r="ET34">
        <v>477.1</v>
      </c>
      <c r="EV34">
        <v>1.7</v>
      </c>
      <c r="EW34">
        <v>2.9</v>
      </c>
      <c r="EY34">
        <v>16.899999999999999</v>
      </c>
      <c r="EZ34">
        <v>4.3</v>
      </c>
      <c r="FB34">
        <v>44.6</v>
      </c>
      <c r="FC34">
        <v>12.5</v>
      </c>
      <c r="FE34">
        <v>1303.4000000000001</v>
      </c>
      <c r="FF34">
        <v>39</v>
      </c>
      <c r="FH34">
        <v>968.3</v>
      </c>
      <c r="FI34">
        <v>17.100000000000001</v>
      </c>
      <c r="FK34">
        <v>76439.199999999997</v>
      </c>
      <c r="FL34">
        <v>279.39999999999998</v>
      </c>
      <c r="FN34">
        <v>46.1</v>
      </c>
      <c r="FO34">
        <v>12.2</v>
      </c>
      <c r="FQ34">
        <v>16997.400000000001</v>
      </c>
      <c r="FR34">
        <v>256.7</v>
      </c>
    </row>
    <row r="35" spans="1:174" x14ac:dyDescent="0.2">
      <c r="A35" t="s">
        <v>101</v>
      </c>
      <c r="B35">
        <v>69826.100000000006</v>
      </c>
      <c r="C35">
        <v>781</v>
      </c>
      <c r="E35">
        <v>744.7</v>
      </c>
      <c r="F35">
        <v>44.9</v>
      </c>
      <c r="H35">
        <v>6070364.9000000004</v>
      </c>
      <c r="I35">
        <v>73824.800000000003</v>
      </c>
      <c r="K35">
        <v>240975.5</v>
      </c>
      <c r="L35">
        <v>2388</v>
      </c>
      <c r="N35">
        <v>6165</v>
      </c>
      <c r="O35">
        <v>289</v>
      </c>
      <c r="Q35">
        <v>100650</v>
      </c>
      <c r="R35">
        <v>1316.3</v>
      </c>
      <c r="T35">
        <v>2894.3</v>
      </c>
      <c r="U35">
        <v>61.6</v>
      </c>
      <c r="W35">
        <v>2407.3000000000002</v>
      </c>
      <c r="X35">
        <v>176.8</v>
      </c>
      <c r="Z35">
        <v>520761.3</v>
      </c>
      <c r="AA35">
        <v>3467.6</v>
      </c>
      <c r="AC35">
        <v>202894</v>
      </c>
      <c r="AD35">
        <v>1196.7</v>
      </c>
      <c r="AF35" s="27">
        <v>16048823.5</v>
      </c>
      <c r="AG35">
        <v>177827.3</v>
      </c>
      <c r="AI35" s="28">
        <v>21535885.399999999</v>
      </c>
      <c r="AJ35">
        <v>164275.29999999999</v>
      </c>
      <c r="AL35">
        <v>83116185.900000006</v>
      </c>
      <c r="AM35">
        <v>453710.3</v>
      </c>
      <c r="AO35">
        <v>438530.2</v>
      </c>
      <c r="AP35">
        <v>5962.1</v>
      </c>
      <c r="AR35">
        <v>528479.9</v>
      </c>
      <c r="AS35">
        <v>4260.1000000000004</v>
      </c>
      <c r="AU35">
        <v>40929.699999999997</v>
      </c>
      <c r="AV35">
        <v>620.79999999999995</v>
      </c>
      <c r="AX35">
        <v>8739.6</v>
      </c>
      <c r="AY35">
        <v>374.1</v>
      </c>
      <c r="BA35">
        <v>858.7</v>
      </c>
      <c r="BB35">
        <v>33.700000000000003</v>
      </c>
      <c r="BD35">
        <v>272.89999999999998</v>
      </c>
      <c r="BE35">
        <v>54.3</v>
      </c>
      <c r="BG35">
        <v>561.6</v>
      </c>
      <c r="BH35">
        <v>28.4</v>
      </c>
      <c r="BJ35">
        <v>444.9</v>
      </c>
      <c r="BK35">
        <v>61.7</v>
      </c>
      <c r="BM35">
        <v>408.4</v>
      </c>
      <c r="BN35">
        <v>51.6</v>
      </c>
      <c r="BP35">
        <v>57495.7</v>
      </c>
      <c r="BQ35">
        <v>252.5</v>
      </c>
      <c r="BS35">
        <v>665705.19999999995</v>
      </c>
      <c r="BT35">
        <v>13014.8</v>
      </c>
      <c r="BV35">
        <v>3777.8</v>
      </c>
      <c r="BW35">
        <v>75.8</v>
      </c>
      <c r="BY35">
        <v>111551.9</v>
      </c>
      <c r="BZ35">
        <v>1902.4</v>
      </c>
      <c r="CB35">
        <v>7652928.7999999998</v>
      </c>
      <c r="CC35">
        <v>174086</v>
      </c>
      <c r="CE35">
        <v>6363559.5</v>
      </c>
      <c r="CF35">
        <v>61060.4</v>
      </c>
      <c r="CH35">
        <v>15556931.1</v>
      </c>
      <c r="CI35">
        <v>233560.5</v>
      </c>
      <c r="CK35">
        <v>2561611.7000000002</v>
      </c>
      <c r="CL35">
        <v>58117.3</v>
      </c>
      <c r="CN35">
        <v>58658218.700000003</v>
      </c>
      <c r="CO35">
        <v>515595.3</v>
      </c>
      <c r="CQ35">
        <v>137488.5</v>
      </c>
      <c r="CR35">
        <v>1489.6</v>
      </c>
      <c r="CT35">
        <v>680564</v>
      </c>
      <c r="CU35">
        <v>6557.4</v>
      </c>
      <c r="CW35">
        <v>16369301.199999999</v>
      </c>
      <c r="CX35">
        <v>138818.70000000001</v>
      </c>
      <c r="CZ35">
        <v>531660.4</v>
      </c>
      <c r="DA35">
        <v>3447.4</v>
      </c>
      <c r="DC35">
        <v>2822731.3</v>
      </c>
      <c r="DD35">
        <v>32032.3</v>
      </c>
      <c r="DF35">
        <v>73302.7</v>
      </c>
      <c r="DG35">
        <v>1295.3</v>
      </c>
      <c r="DI35">
        <v>696.5</v>
      </c>
      <c r="DJ35">
        <v>21.6</v>
      </c>
      <c r="DL35">
        <v>4482.3</v>
      </c>
      <c r="DM35">
        <v>254.9</v>
      </c>
      <c r="DO35">
        <v>485692.3</v>
      </c>
      <c r="DP35">
        <v>7557.6</v>
      </c>
      <c r="DR35">
        <v>351423</v>
      </c>
      <c r="DS35">
        <v>9122.2000000000007</v>
      </c>
      <c r="DU35">
        <v>3458423.7</v>
      </c>
      <c r="DV35">
        <v>25421.9</v>
      </c>
      <c r="DX35">
        <v>48220.800000000003</v>
      </c>
      <c r="DY35">
        <v>411.5</v>
      </c>
      <c r="EA35">
        <v>109054.8</v>
      </c>
      <c r="EB35">
        <v>1452.7</v>
      </c>
      <c r="ED35">
        <v>701396.4</v>
      </c>
      <c r="EE35">
        <v>10161.1</v>
      </c>
      <c r="EG35">
        <v>24039175.899999999</v>
      </c>
      <c r="EH35">
        <v>408313.7</v>
      </c>
      <c r="EJ35">
        <v>1699972.1</v>
      </c>
      <c r="EK35">
        <v>10345.200000000001</v>
      </c>
      <c r="EM35">
        <v>2639439.4</v>
      </c>
      <c r="EN35">
        <v>20538.599999999999</v>
      </c>
      <c r="EP35">
        <v>60269.4</v>
      </c>
      <c r="EQ35">
        <v>521.9</v>
      </c>
      <c r="ES35">
        <v>37287565.399999999</v>
      </c>
      <c r="ET35">
        <v>1097528.3</v>
      </c>
      <c r="EV35">
        <v>1134.5999999999999</v>
      </c>
      <c r="EW35">
        <v>69.400000000000006</v>
      </c>
      <c r="EY35">
        <v>420722</v>
      </c>
      <c r="EZ35">
        <v>4203.6000000000004</v>
      </c>
      <c r="FB35">
        <v>1278.2</v>
      </c>
      <c r="FC35">
        <v>56.8</v>
      </c>
      <c r="FE35">
        <v>4148.8</v>
      </c>
      <c r="FF35">
        <v>64.099999999999994</v>
      </c>
      <c r="FH35">
        <v>1042.3</v>
      </c>
      <c r="FI35">
        <v>30.9</v>
      </c>
      <c r="FK35">
        <v>493439.1</v>
      </c>
      <c r="FL35">
        <v>10398.299999999999</v>
      </c>
      <c r="FN35">
        <v>673174.1</v>
      </c>
      <c r="FO35">
        <v>12270.4</v>
      </c>
      <c r="FQ35">
        <v>17461.8</v>
      </c>
      <c r="FR35">
        <v>387.4</v>
      </c>
    </row>
    <row r="36" spans="1:174" x14ac:dyDescent="0.2">
      <c r="A36" t="s">
        <v>102</v>
      </c>
      <c r="B36">
        <v>18203.2</v>
      </c>
      <c r="C36">
        <v>341.1</v>
      </c>
      <c r="E36">
        <v>824</v>
      </c>
      <c r="F36">
        <v>52.5</v>
      </c>
      <c r="H36">
        <v>1517065.7</v>
      </c>
      <c r="I36">
        <v>6607.3</v>
      </c>
      <c r="K36">
        <v>139429.4</v>
      </c>
      <c r="L36">
        <v>2096.5</v>
      </c>
      <c r="N36">
        <v>2648.1</v>
      </c>
      <c r="O36">
        <v>142.80000000000001</v>
      </c>
      <c r="Q36">
        <v>18265.7</v>
      </c>
      <c r="R36">
        <v>557.6</v>
      </c>
      <c r="T36">
        <v>3060.2</v>
      </c>
      <c r="U36">
        <v>289.10000000000002</v>
      </c>
      <c r="W36">
        <v>1931.8</v>
      </c>
      <c r="X36">
        <v>104.7</v>
      </c>
      <c r="Z36">
        <v>202692.6</v>
      </c>
      <c r="AA36">
        <v>1429.7</v>
      </c>
      <c r="AC36">
        <v>38828.400000000001</v>
      </c>
      <c r="AD36">
        <v>314.10000000000002</v>
      </c>
      <c r="AF36" s="27">
        <v>3510046.7</v>
      </c>
      <c r="AG36">
        <v>16324.8</v>
      </c>
      <c r="AI36" s="28">
        <v>2337122.2999999998</v>
      </c>
      <c r="AJ36">
        <v>30868.3</v>
      </c>
      <c r="AL36">
        <v>1442620.2</v>
      </c>
      <c r="AM36">
        <v>13673.7</v>
      </c>
      <c r="AO36">
        <v>104181.8</v>
      </c>
      <c r="AP36">
        <v>376.6</v>
      </c>
      <c r="AR36">
        <v>170755.20000000001</v>
      </c>
      <c r="AS36">
        <v>1992</v>
      </c>
      <c r="AU36">
        <v>4524.5</v>
      </c>
      <c r="AV36">
        <v>60</v>
      </c>
      <c r="AX36">
        <v>7551.4</v>
      </c>
      <c r="AY36">
        <v>366.9</v>
      </c>
      <c r="BA36">
        <v>872.3</v>
      </c>
      <c r="BB36">
        <v>118.9</v>
      </c>
      <c r="BD36">
        <v>279.2</v>
      </c>
      <c r="BE36">
        <v>70.900000000000006</v>
      </c>
      <c r="BG36">
        <v>597.1</v>
      </c>
      <c r="BH36">
        <v>15.6</v>
      </c>
      <c r="BJ36">
        <v>306.3</v>
      </c>
      <c r="BK36">
        <v>35.5</v>
      </c>
      <c r="BM36">
        <v>310.39999999999998</v>
      </c>
      <c r="BN36">
        <v>43.3</v>
      </c>
      <c r="BP36">
        <v>9634.6</v>
      </c>
      <c r="BQ36">
        <v>446.7</v>
      </c>
      <c r="BS36">
        <v>658665.80000000005</v>
      </c>
      <c r="BT36">
        <v>8175.8</v>
      </c>
      <c r="BV36">
        <v>3697.4</v>
      </c>
      <c r="BW36">
        <v>65.7</v>
      </c>
      <c r="BY36">
        <v>75267.3</v>
      </c>
      <c r="BZ36">
        <v>1546.9</v>
      </c>
      <c r="CB36">
        <v>1679089.7</v>
      </c>
      <c r="CC36">
        <v>23203.5</v>
      </c>
      <c r="CE36">
        <v>1379740</v>
      </c>
      <c r="CF36">
        <v>30504.1</v>
      </c>
      <c r="CH36">
        <v>3609626.7</v>
      </c>
      <c r="CI36">
        <v>70585.7</v>
      </c>
      <c r="CK36">
        <v>1596757.3</v>
      </c>
      <c r="CL36">
        <v>23615.9</v>
      </c>
      <c r="CN36">
        <v>8555565.5</v>
      </c>
      <c r="CO36">
        <v>211854</v>
      </c>
      <c r="CQ36">
        <v>77102.3</v>
      </c>
      <c r="CR36">
        <v>1762.4</v>
      </c>
      <c r="CT36">
        <v>611260.9</v>
      </c>
      <c r="CU36">
        <v>16852.3</v>
      </c>
      <c r="CW36">
        <v>1644651.3</v>
      </c>
      <c r="CX36">
        <v>15902</v>
      </c>
      <c r="CZ36">
        <v>107898.9</v>
      </c>
      <c r="DA36">
        <v>2839.7</v>
      </c>
      <c r="DC36">
        <v>907728.3</v>
      </c>
      <c r="DD36">
        <v>9565.4</v>
      </c>
      <c r="DF36">
        <v>40411.599999999999</v>
      </c>
      <c r="DG36">
        <v>463.6</v>
      </c>
      <c r="DI36">
        <v>238</v>
      </c>
      <c r="DJ36">
        <v>30.6</v>
      </c>
      <c r="DL36">
        <v>647.4</v>
      </c>
      <c r="DM36">
        <v>32.1</v>
      </c>
      <c r="DO36">
        <v>178992.5</v>
      </c>
      <c r="DP36">
        <v>4036.4</v>
      </c>
      <c r="DR36">
        <v>80983.7</v>
      </c>
      <c r="DS36">
        <v>2603.5</v>
      </c>
      <c r="DU36">
        <v>526181.9</v>
      </c>
      <c r="DV36">
        <v>12740.5</v>
      </c>
      <c r="DX36">
        <v>3268.8</v>
      </c>
      <c r="DY36">
        <v>185.2</v>
      </c>
      <c r="EA36">
        <v>12756.5</v>
      </c>
      <c r="EB36">
        <v>386.9</v>
      </c>
      <c r="ED36">
        <v>140631.9</v>
      </c>
      <c r="EE36">
        <v>2470.1</v>
      </c>
      <c r="EG36">
        <v>2314170.7000000002</v>
      </c>
      <c r="EH36">
        <v>16173.9</v>
      </c>
      <c r="EJ36">
        <v>299749.3</v>
      </c>
      <c r="EK36">
        <v>2788.1</v>
      </c>
      <c r="EM36">
        <v>229538.9</v>
      </c>
      <c r="EN36">
        <v>4411.5</v>
      </c>
      <c r="EP36">
        <v>58813.7</v>
      </c>
      <c r="EQ36">
        <v>1251</v>
      </c>
      <c r="ES36">
        <v>9810670.0999999996</v>
      </c>
      <c r="ET36">
        <v>90888.7</v>
      </c>
      <c r="EV36">
        <v>150.6</v>
      </c>
      <c r="EW36">
        <v>1.9</v>
      </c>
      <c r="EY36">
        <v>7442.4</v>
      </c>
      <c r="EZ36">
        <v>147.1</v>
      </c>
      <c r="FB36">
        <v>135</v>
      </c>
      <c r="FC36">
        <v>16.399999999999999</v>
      </c>
      <c r="FE36">
        <v>1423.5</v>
      </c>
      <c r="FF36">
        <v>237.8</v>
      </c>
      <c r="FH36">
        <v>986.1</v>
      </c>
      <c r="FI36">
        <v>50.3</v>
      </c>
      <c r="FK36">
        <v>90345.4</v>
      </c>
      <c r="FL36">
        <v>941.6</v>
      </c>
      <c r="FN36">
        <v>62092.2</v>
      </c>
      <c r="FO36">
        <v>1725.7</v>
      </c>
      <c r="FQ36">
        <v>16953.3</v>
      </c>
      <c r="FR36">
        <v>449.4</v>
      </c>
    </row>
    <row r="37" spans="1:174" x14ac:dyDescent="0.2">
      <c r="A37" t="s">
        <v>103</v>
      </c>
      <c r="B37">
        <v>11553</v>
      </c>
      <c r="C37">
        <v>117.2</v>
      </c>
      <c r="E37">
        <v>893.6</v>
      </c>
      <c r="F37">
        <v>123.9</v>
      </c>
      <c r="H37">
        <v>147266.4</v>
      </c>
      <c r="I37">
        <v>1399.2</v>
      </c>
      <c r="K37">
        <v>110639</v>
      </c>
      <c r="L37">
        <v>750.7</v>
      </c>
      <c r="N37">
        <v>17212.5</v>
      </c>
      <c r="O37">
        <v>471.1</v>
      </c>
      <c r="Q37">
        <v>10648.7</v>
      </c>
      <c r="R37">
        <v>300.8</v>
      </c>
      <c r="T37">
        <v>1958.8</v>
      </c>
      <c r="U37">
        <v>64.2</v>
      </c>
      <c r="W37">
        <v>1934.8</v>
      </c>
      <c r="X37">
        <v>50.1</v>
      </c>
      <c r="Z37">
        <v>67090.8</v>
      </c>
      <c r="AA37">
        <v>1420.3</v>
      </c>
      <c r="AC37">
        <v>4991.7</v>
      </c>
      <c r="AD37">
        <v>165.2</v>
      </c>
      <c r="AF37" s="27">
        <v>3048754.3</v>
      </c>
      <c r="AG37">
        <v>4977.3</v>
      </c>
      <c r="AI37" s="28">
        <v>1051278.5</v>
      </c>
      <c r="AJ37">
        <v>11676.5</v>
      </c>
      <c r="AL37">
        <v>480574.2</v>
      </c>
      <c r="AM37">
        <v>2310.5</v>
      </c>
      <c r="AO37">
        <v>16128.1</v>
      </c>
      <c r="AP37">
        <v>201.6</v>
      </c>
      <c r="AR37">
        <v>54776.6</v>
      </c>
      <c r="AS37">
        <v>633.5</v>
      </c>
      <c r="AU37">
        <v>2749.3</v>
      </c>
      <c r="AV37">
        <v>57.4</v>
      </c>
      <c r="AX37">
        <v>5199.2</v>
      </c>
      <c r="AY37">
        <v>199.6</v>
      </c>
      <c r="BA37">
        <v>583.5</v>
      </c>
      <c r="BB37">
        <v>63.9</v>
      </c>
      <c r="BD37">
        <v>232.3</v>
      </c>
      <c r="BE37">
        <v>35.6</v>
      </c>
      <c r="BG37">
        <v>542.9</v>
      </c>
      <c r="BH37">
        <v>106.4</v>
      </c>
      <c r="BJ37">
        <v>284.39999999999998</v>
      </c>
      <c r="BK37">
        <v>27.8</v>
      </c>
      <c r="BM37">
        <v>239.6</v>
      </c>
      <c r="BN37">
        <v>11</v>
      </c>
      <c r="BP37">
        <v>3938.2</v>
      </c>
      <c r="BQ37">
        <v>76.900000000000006</v>
      </c>
      <c r="BS37">
        <v>657028.4</v>
      </c>
      <c r="BT37">
        <v>6400.8</v>
      </c>
      <c r="BV37">
        <v>3689</v>
      </c>
      <c r="BW37">
        <v>238.1</v>
      </c>
      <c r="BY37">
        <v>12294.2</v>
      </c>
      <c r="BZ37">
        <v>313.10000000000002</v>
      </c>
      <c r="CB37">
        <v>251355.5</v>
      </c>
      <c r="CC37">
        <v>2702.8</v>
      </c>
      <c r="CE37">
        <v>212511.5</v>
      </c>
      <c r="CF37">
        <v>2929.8</v>
      </c>
      <c r="CH37">
        <v>518363.9</v>
      </c>
      <c r="CI37">
        <v>9176</v>
      </c>
      <c r="CK37">
        <v>34289.4</v>
      </c>
      <c r="CL37">
        <v>889</v>
      </c>
      <c r="CN37">
        <v>1544836.4</v>
      </c>
      <c r="CO37">
        <v>19341.2</v>
      </c>
      <c r="CQ37">
        <v>939146.7</v>
      </c>
      <c r="CR37">
        <v>13452.2</v>
      </c>
      <c r="CT37">
        <v>788076.1</v>
      </c>
      <c r="CU37">
        <v>5020.3999999999996</v>
      </c>
      <c r="CW37">
        <v>972963.7</v>
      </c>
      <c r="CX37">
        <v>8025.3</v>
      </c>
      <c r="CZ37">
        <v>14364.8</v>
      </c>
      <c r="DA37">
        <v>278.60000000000002</v>
      </c>
      <c r="DC37">
        <v>196160.6</v>
      </c>
      <c r="DD37">
        <v>1295</v>
      </c>
      <c r="DF37">
        <v>34372.800000000003</v>
      </c>
      <c r="DG37">
        <v>380.5</v>
      </c>
      <c r="DI37">
        <v>276.89999999999998</v>
      </c>
      <c r="DJ37">
        <v>17.899999999999999</v>
      </c>
      <c r="DL37">
        <v>1079.4000000000001</v>
      </c>
      <c r="DM37">
        <v>89.5</v>
      </c>
      <c r="DO37">
        <v>244452.8</v>
      </c>
      <c r="DP37">
        <v>1274</v>
      </c>
      <c r="DR37">
        <v>71159.5</v>
      </c>
      <c r="DS37">
        <v>801.9</v>
      </c>
      <c r="DU37">
        <v>766291.3</v>
      </c>
      <c r="DV37">
        <v>17789.599999999999</v>
      </c>
      <c r="DX37">
        <v>1593.7</v>
      </c>
      <c r="DY37">
        <v>128</v>
      </c>
      <c r="EA37">
        <v>18756.5</v>
      </c>
      <c r="EB37">
        <v>209</v>
      </c>
      <c r="ED37">
        <v>40536.9</v>
      </c>
      <c r="EE37">
        <v>761</v>
      </c>
      <c r="EG37">
        <v>132239.79999999999</v>
      </c>
      <c r="EH37">
        <v>1008.2</v>
      </c>
      <c r="EJ37">
        <v>263342.59999999998</v>
      </c>
      <c r="EK37">
        <v>3567</v>
      </c>
      <c r="EM37">
        <v>106145.7</v>
      </c>
      <c r="EN37">
        <v>1032.8</v>
      </c>
      <c r="EP37">
        <v>58853.599999999999</v>
      </c>
      <c r="EQ37">
        <v>504.3</v>
      </c>
      <c r="ES37">
        <v>1150133.8999999999</v>
      </c>
      <c r="ET37">
        <v>8404.5</v>
      </c>
      <c r="EV37">
        <v>5.7</v>
      </c>
      <c r="EW37">
        <v>4</v>
      </c>
      <c r="EY37">
        <v>9392</v>
      </c>
      <c r="EZ37">
        <v>279.3</v>
      </c>
      <c r="FB37">
        <v>110</v>
      </c>
      <c r="FC37">
        <v>13.2</v>
      </c>
      <c r="FE37">
        <v>1544.5</v>
      </c>
      <c r="FF37">
        <v>59.9</v>
      </c>
      <c r="FH37">
        <v>951</v>
      </c>
      <c r="FI37">
        <v>20.2</v>
      </c>
      <c r="FK37">
        <v>79566.2</v>
      </c>
      <c r="FL37">
        <v>579.29999999999995</v>
      </c>
      <c r="FN37">
        <v>28788.2</v>
      </c>
      <c r="FO37">
        <v>203.5</v>
      </c>
      <c r="FQ37">
        <v>17176.5</v>
      </c>
      <c r="FR37">
        <v>258.60000000000002</v>
      </c>
    </row>
    <row r="38" spans="1:174" x14ac:dyDescent="0.2">
      <c r="A38" t="s">
        <v>104</v>
      </c>
      <c r="B38">
        <v>11230.7</v>
      </c>
      <c r="C38">
        <v>469</v>
      </c>
      <c r="E38">
        <v>825.4</v>
      </c>
      <c r="F38">
        <v>66.8</v>
      </c>
      <c r="H38">
        <v>30893.200000000001</v>
      </c>
      <c r="I38">
        <v>320.8</v>
      </c>
      <c r="K38">
        <v>83625.5</v>
      </c>
      <c r="L38">
        <v>180.8</v>
      </c>
      <c r="N38">
        <v>2448</v>
      </c>
      <c r="O38">
        <v>141.1</v>
      </c>
      <c r="Q38">
        <v>10550.8</v>
      </c>
      <c r="R38">
        <v>333.1</v>
      </c>
      <c r="T38">
        <v>1599.1</v>
      </c>
      <c r="U38">
        <v>162.1</v>
      </c>
      <c r="W38">
        <v>1837.9</v>
      </c>
      <c r="X38">
        <v>86.4</v>
      </c>
      <c r="Z38">
        <v>88974.1</v>
      </c>
      <c r="AA38">
        <v>1305.5</v>
      </c>
      <c r="AC38">
        <v>702.3</v>
      </c>
      <c r="AD38">
        <v>36.299999999999997</v>
      </c>
      <c r="AF38" s="27">
        <v>2949133.7</v>
      </c>
      <c r="AG38">
        <v>4330.3</v>
      </c>
      <c r="AI38" s="28">
        <v>49070.6</v>
      </c>
      <c r="AJ38">
        <v>245.8</v>
      </c>
      <c r="AL38">
        <v>143128.79999999999</v>
      </c>
      <c r="AM38">
        <v>169.8</v>
      </c>
      <c r="AO38">
        <v>10069.700000000001</v>
      </c>
      <c r="AP38">
        <v>271</v>
      </c>
      <c r="AR38">
        <v>29616</v>
      </c>
      <c r="AS38">
        <v>524.79999999999995</v>
      </c>
      <c r="AU38">
        <v>2551.1999999999998</v>
      </c>
      <c r="AV38">
        <v>174.1</v>
      </c>
      <c r="AX38">
        <v>5161.7</v>
      </c>
      <c r="AY38">
        <v>43.8</v>
      </c>
      <c r="BA38">
        <v>597.1</v>
      </c>
      <c r="BB38">
        <v>95.1</v>
      </c>
      <c r="BD38">
        <v>252.1</v>
      </c>
      <c r="BE38">
        <v>23.5</v>
      </c>
      <c r="BG38">
        <v>532.4</v>
      </c>
      <c r="BH38">
        <v>7.9</v>
      </c>
      <c r="BJ38">
        <v>272.89999999999998</v>
      </c>
      <c r="BK38">
        <v>11.8</v>
      </c>
      <c r="BM38">
        <v>232.3</v>
      </c>
      <c r="BN38">
        <v>72.400000000000006</v>
      </c>
      <c r="BP38">
        <v>3984.1</v>
      </c>
      <c r="BQ38">
        <v>53.2</v>
      </c>
      <c r="BS38">
        <v>659901.30000000005</v>
      </c>
      <c r="BT38">
        <v>2909.8</v>
      </c>
      <c r="BV38">
        <v>3852.7</v>
      </c>
      <c r="BW38">
        <v>206.5</v>
      </c>
      <c r="BY38">
        <v>697.1</v>
      </c>
      <c r="BZ38">
        <v>27.8</v>
      </c>
      <c r="CB38">
        <v>41578.300000000003</v>
      </c>
      <c r="CC38">
        <v>275</v>
      </c>
      <c r="CE38">
        <v>34999.599999999999</v>
      </c>
      <c r="CF38">
        <v>407</v>
      </c>
      <c r="CH38">
        <v>87171.1</v>
      </c>
      <c r="CI38">
        <v>1892.4</v>
      </c>
      <c r="CK38">
        <v>7027.8</v>
      </c>
      <c r="CL38">
        <v>203.8</v>
      </c>
      <c r="CN38">
        <v>1034475</v>
      </c>
      <c r="CO38">
        <v>5829.5</v>
      </c>
      <c r="CQ38">
        <v>55641.9</v>
      </c>
      <c r="CR38">
        <v>410.7</v>
      </c>
      <c r="CT38">
        <v>337525.6</v>
      </c>
      <c r="CU38">
        <v>2990.7</v>
      </c>
      <c r="CW38">
        <v>684549.9</v>
      </c>
      <c r="CX38">
        <v>7295.7</v>
      </c>
      <c r="CZ38">
        <v>11190.9</v>
      </c>
      <c r="DA38">
        <v>365</v>
      </c>
      <c r="DC38">
        <v>49631.6</v>
      </c>
      <c r="DD38">
        <v>483.1</v>
      </c>
      <c r="DF38">
        <v>26407.1</v>
      </c>
      <c r="DG38">
        <v>1282.5999999999999</v>
      </c>
      <c r="DI38">
        <v>172.2</v>
      </c>
      <c r="DJ38">
        <v>15.5</v>
      </c>
      <c r="DL38">
        <v>1124.8</v>
      </c>
      <c r="DM38">
        <v>88.7</v>
      </c>
      <c r="DO38">
        <v>249373.4</v>
      </c>
      <c r="DP38">
        <v>6990.9</v>
      </c>
      <c r="DR38">
        <v>55558.1</v>
      </c>
      <c r="DS38">
        <v>917</v>
      </c>
      <c r="DU38">
        <v>859451.6</v>
      </c>
      <c r="DV38">
        <v>21719.1</v>
      </c>
      <c r="DX38">
        <v>1591.9</v>
      </c>
      <c r="DY38">
        <v>72.400000000000006</v>
      </c>
      <c r="EA38">
        <v>19932.099999999999</v>
      </c>
      <c r="EB38">
        <v>355.4</v>
      </c>
      <c r="ED38">
        <v>38278.300000000003</v>
      </c>
      <c r="EE38">
        <v>891.5</v>
      </c>
      <c r="EG38">
        <v>42906.7</v>
      </c>
      <c r="EH38">
        <v>154.9</v>
      </c>
      <c r="EJ38">
        <v>259398.5</v>
      </c>
      <c r="EK38">
        <v>1157.7</v>
      </c>
      <c r="EM38">
        <v>5277.7</v>
      </c>
      <c r="EN38">
        <v>59.1</v>
      </c>
      <c r="EP38">
        <v>58854.1</v>
      </c>
      <c r="EQ38">
        <v>597.9</v>
      </c>
      <c r="ES38">
        <v>185634.9</v>
      </c>
      <c r="ET38">
        <v>898.8</v>
      </c>
      <c r="EV38">
        <v>3.3</v>
      </c>
      <c r="EW38">
        <v>4.4000000000000004</v>
      </c>
      <c r="EY38">
        <v>633</v>
      </c>
      <c r="EZ38">
        <v>103.7</v>
      </c>
      <c r="FB38">
        <v>75.099999999999994</v>
      </c>
      <c r="FC38">
        <v>19.5</v>
      </c>
      <c r="FE38">
        <v>2050.5</v>
      </c>
      <c r="FF38">
        <v>145.5</v>
      </c>
      <c r="FH38">
        <v>960.5</v>
      </c>
      <c r="FI38">
        <v>60.3</v>
      </c>
      <c r="FK38">
        <v>75656.3</v>
      </c>
      <c r="FL38">
        <v>1435.7</v>
      </c>
      <c r="FN38">
        <v>1458.9</v>
      </c>
      <c r="FO38">
        <v>41.9</v>
      </c>
      <c r="FQ38">
        <v>16726.599999999999</v>
      </c>
      <c r="FR38">
        <v>121.3</v>
      </c>
    </row>
    <row r="39" spans="1:174" x14ac:dyDescent="0.2">
      <c r="A39" t="s">
        <v>105</v>
      </c>
      <c r="B39">
        <v>21051.7</v>
      </c>
      <c r="C39">
        <v>242.2</v>
      </c>
      <c r="E39">
        <v>812.5</v>
      </c>
      <c r="F39">
        <v>53</v>
      </c>
      <c r="H39">
        <v>915988.1</v>
      </c>
      <c r="I39">
        <v>5901.5</v>
      </c>
      <c r="K39">
        <v>118810.9</v>
      </c>
      <c r="L39">
        <v>312.10000000000002</v>
      </c>
      <c r="N39">
        <v>4470.2</v>
      </c>
      <c r="O39">
        <v>38.5</v>
      </c>
      <c r="Q39">
        <v>56495.8</v>
      </c>
      <c r="R39">
        <v>412.1</v>
      </c>
      <c r="T39">
        <v>2289.4</v>
      </c>
      <c r="U39">
        <v>68.599999999999994</v>
      </c>
      <c r="W39">
        <v>2063.1</v>
      </c>
      <c r="X39">
        <v>79.8</v>
      </c>
      <c r="Z39">
        <v>32938.800000000003</v>
      </c>
      <c r="AA39">
        <v>183.6</v>
      </c>
      <c r="AC39">
        <v>23331.599999999999</v>
      </c>
      <c r="AD39">
        <v>296.39999999999998</v>
      </c>
      <c r="AF39" s="27">
        <v>6320473.2999999998</v>
      </c>
      <c r="AG39">
        <v>49737.9</v>
      </c>
      <c r="AI39" s="28">
        <v>5589736</v>
      </c>
      <c r="AJ39">
        <v>55951.9</v>
      </c>
      <c r="AL39">
        <v>21351703.199999999</v>
      </c>
      <c r="AM39">
        <v>239589.1</v>
      </c>
      <c r="AO39">
        <v>65833.600000000006</v>
      </c>
      <c r="AP39">
        <v>1287.8</v>
      </c>
      <c r="AR39">
        <v>184663.7</v>
      </c>
      <c r="AS39">
        <v>929.6</v>
      </c>
      <c r="AU39">
        <v>14607.6</v>
      </c>
      <c r="AV39">
        <v>162.1</v>
      </c>
      <c r="AX39">
        <v>11164.1</v>
      </c>
      <c r="AY39">
        <v>347.1</v>
      </c>
      <c r="BA39">
        <v>1259.0999999999999</v>
      </c>
      <c r="BB39">
        <v>127.8</v>
      </c>
      <c r="BD39">
        <v>396.9</v>
      </c>
      <c r="BE39">
        <v>39.9</v>
      </c>
      <c r="BG39">
        <v>695.1</v>
      </c>
      <c r="BH39">
        <v>32.1</v>
      </c>
      <c r="BJ39">
        <v>419.9</v>
      </c>
      <c r="BK39">
        <v>93</v>
      </c>
      <c r="BM39">
        <v>445.9</v>
      </c>
      <c r="BN39">
        <v>43.4</v>
      </c>
      <c r="BP39">
        <v>11581.5</v>
      </c>
      <c r="BQ39">
        <v>294.3</v>
      </c>
      <c r="BS39">
        <v>673547.5</v>
      </c>
      <c r="BT39">
        <v>6432.1</v>
      </c>
      <c r="BV39">
        <v>3828.8</v>
      </c>
      <c r="BW39">
        <v>180.4</v>
      </c>
      <c r="BY39">
        <v>31317.4</v>
      </c>
      <c r="BZ39">
        <v>784.4</v>
      </c>
      <c r="CB39">
        <v>1917986</v>
      </c>
      <c r="CC39">
        <v>17106.8</v>
      </c>
      <c r="CE39">
        <v>1608849.7</v>
      </c>
      <c r="CF39">
        <v>42201</v>
      </c>
      <c r="CH39">
        <v>3689435.5</v>
      </c>
      <c r="CI39">
        <v>37748.5</v>
      </c>
      <c r="CK39">
        <v>1884195.3</v>
      </c>
      <c r="CL39">
        <v>15817.6</v>
      </c>
      <c r="CN39">
        <v>11445558.699999999</v>
      </c>
      <c r="CO39">
        <v>195384.7</v>
      </c>
      <c r="CQ39">
        <v>70256.399999999994</v>
      </c>
      <c r="CR39">
        <v>714.5</v>
      </c>
      <c r="CT39">
        <v>720018.1</v>
      </c>
      <c r="CU39">
        <v>11286.5</v>
      </c>
      <c r="CW39">
        <v>2647601.7999999998</v>
      </c>
      <c r="CX39">
        <v>17582.3</v>
      </c>
      <c r="CZ39">
        <v>67663.100000000006</v>
      </c>
      <c r="DA39">
        <v>641.20000000000005</v>
      </c>
      <c r="DC39">
        <v>602702.19999999995</v>
      </c>
      <c r="DD39">
        <v>653.1</v>
      </c>
      <c r="DF39">
        <v>36946.1</v>
      </c>
      <c r="DG39">
        <v>412</v>
      </c>
      <c r="DI39">
        <v>338.9</v>
      </c>
      <c r="DJ39">
        <v>46.2</v>
      </c>
      <c r="DL39">
        <v>1826.4</v>
      </c>
      <c r="DM39">
        <v>91.5</v>
      </c>
      <c r="DO39">
        <v>756642.7</v>
      </c>
      <c r="DP39">
        <v>33714.1</v>
      </c>
      <c r="DR39">
        <v>521400.3</v>
      </c>
      <c r="DS39">
        <v>18065.8</v>
      </c>
      <c r="DU39">
        <v>3194352</v>
      </c>
      <c r="DV39">
        <v>106889.2</v>
      </c>
      <c r="DX39">
        <v>20809.2</v>
      </c>
      <c r="DY39">
        <v>978.1</v>
      </c>
      <c r="EA39">
        <v>145537.79999999999</v>
      </c>
      <c r="EB39">
        <v>3064.1</v>
      </c>
      <c r="ED39">
        <v>426408.3</v>
      </c>
      <c r="EE39">
        <v>8809.2999999999993</v>
      </c>
      <c r="EG39">
        <v>3741661</v>
      </c>
      <c r="EH39">
        <v>70611.399999999994</v>
      </c>
      <c r="EJ39">
        <v>634762.9</v>
      </c>
      <c r="EK39">
        <v>1839.5</v>
      </c>
      <c r="EM39">
        <v>606661.6</v>
      </c>
      <c r="EN39">
        <v>5413.7</v>
      </c>
      <c r="EP39">
        <v>60657.599999999999</v>
      </c>
      <c r="EQ39">
        <v>638.5</v>
      </c>
      <c r="ES39">
        <v>5062781.4000000004</v>
      </c>
      <c r="ET39">
        <v>99388.5</v>
      </c>
      <c r="EV39">
        <v>281.2</v>
      </c>
      <c r="EW39">
        <v>6.9</v>
      </c>
      <c r="EY39">
        <v>130359.1</v>
      </c>
      <c r="EZ39">
        <v>546.70000000000005</v>
      </c>
      <c r="FB39">
        <v>593.20000000000005</v>
      </c>
      <c r="FC39">
        <v>32.9</v>
      </c>
      <c r="FE39">
        <v>2719.1</v>
      </c>
      <c r="FF39">
        <v>126</v>
      </c>
      <c r="FH39">
        <v>930.4</v>
      </c>
      <c r="FI39">
        <v>68.7</v>
      </c>
      <c r="FK39">
        <v>181171.6</v>
      </c>
      <c r="FL39">
        <v>2286.4</v>
      </c>
      <c r="FN39">
        <v>160086.70000000001</v>
      </c>
      <c r="FO39">
        <v>1272.5999999999999</v>
      </c>
      <c r="FQ39">
        <v>17135</v>
      </c>
      <c r="FR39">
        <v>502.3</v>
      </c>
    </row>
    <row r="40" spans="1:174" x14ac:dyDescent="0.2">
      <c r="A40" t="s">
        <v>106</v>
      </c>
      <c r="B40">
        <v>14435</v>
      </c>
      <c r="C40">
        <v>91.1</v>
      </c>
      <c r="E40">
        <v>833.8</v>
      </c>
      <c r="F40">
        <v>25.4</v>
      </c>
      <c r="H40">
        <v>719455.6</v>
      </c>
      <c r="I40">
        <v>6688</v>
      </c>
      <c r="K40">
        <v>102980.2</v>
      </c>
      <c r="L40">
        <v>603.79999999999995</v>
      </c>
      <c r="N40">
        <v>1268.5999999999999</v>
      </c>
      <c r="O40">
        <v>15.7</v>
      </c>
      <c r="Q40">
        <v>23077</v>
      </c>
      <c r="R40">
        <v>114.8</v>
      </c>
      <c r="T40">
        <v>1713.8</v>
      </c>
      <c r="U40">
        <v>30.1</v>
      </c>
      <c r="W40">
        <v>1847.2</v>
      </c>
      <c r="X40">
        <v>186.8</v>
      </c>
      <c r="Z40">
        <v>281294</v>
      </c>
      <c r="AA40">
        <v>2650.7</v>
      </c>
      <c r="AC40">
        <v>22954.9</v>
      </c>
      <c r="AD40">
        <v>223.1</v>
      </c>
      <c r="AF40" s="27">
        <v>3361324.3</v>
      </c>
      <c r="AG40">
        <v>23320.7</v>
      </c>
      <c r="AI40" s="28">
        <v>1490675.7</v>
      </c>
      <c r="AJ40">
        <v>8623.2999999999993</v>
      </c>
      <c r="AL40">
        <v>1911353.3</v>
      </c>
      <c r="AM40">
        <v>8593.7000000000007</v>
      </c>
      <c r="AO40">
        <v>46687.1</v>
      </c>
      <c r="AP40">
        <v>192.6</v>
      </c>
      <c r="AR40">
        <v>120874</v>
      </c>
      <c r="AS40">
        <v>1338.1</v>
      </c>
      <c r="AU40">
        <v>2467.8000000000002</v>
      </c>
      <c r="AV40">
        <v>184</v>
      </c>
      <c r="AX40">
        <v>3610.8</v>
      </c>
      <c r="AY40">
        <v>267.89999999999998</v>
      </c>
      <c r="BA40">
        <v>414.7</v>
      </c>
      <c r="BB40">
        <v>35.5</v>
      </c>
      <c r="BD40">
        <v>230.2</v>
      </c>
      <c r="BE40">
        <v>30.8</v>
      </c>
      <c r="BG40">
        <v>491.8</v>
      </c>
      <c r="BH40">
        <v>62.7</v>
      </c>
      <c r="BJ40">
        <v>255.2</v>
      </c>
      <c r="BK40">
        <v>19.100000000000001</v>
      </c>
      <c r="BM40">
        <v>196.9</v>
      </c>
      <c r="BN40">
        <v>30.8</v>
      </c>
      <c r="BP40">
        <v>11700.4</v>
      </c>
      <c r="BQ40">
        <v>339.4</v>
      </c>
      <c r="BS40">
        <v>687782.5</v>
      </c>
      <c r="BT40">
        <v>6451.8</v>
      </c>
      <c r="BV40">
        <v>3659.8</v>
      </c>
      <c r="BW40">
        <v>166.3</v>
      </c>
      <c r="BY40">
        <v>27466.6</v>
      </c>
      <c r="BZ40">
        <v>85.3</v>
      </c>
      <c r="CB40">
        <v>1149495.3</v>
      </c>
      <c r="CC40">
        <v>10985.2</v>
      </c>
      <c r="CE40">
        <v>986342.2</v>
      </c>
      <c r="CF40">
        <v>3241.6</v>
      </c>
      <c r="CH40">
        <v>2531179.2999999998</v>
      </c>
      <c r="CI40">
        <v>29186.6</v>
      </c>
      <c r="CK40">
        <v>524693.4</v>
      </c>
      <c r="CL40">
        <v>7772.4</v>
      </c>
      <c r="CN40">
        <v>5741266.5</v>
      </c>
      <c r="CO40">
        <v>61795.5</v>
      </c>
      <c r="CQ40">
        <v>61257</v>
      </c>
      <c r="CR40">
        <v>1022</v>
      </c>
      <c r="CT40">
        <v>293905.7</v>
      </c>
      <c r="CU40">
        <v>4472.7</v>
      </c>
      <c r="CW40">
        <v>1449096.6</v>
      </c>
      <c r="CX40">
        <v>10398.299999999999</v>
      </c>
      <c r="CZ40">
        <v>36611.800000000003</v>
      </c>
      <c r="DA40">
        <v>1042.5999999999999</v>
      </c>
      <c r="DC40">
        <v>216895.6</v>
      </c>
      <c r="DD40">
        <v>3600.7</v>
      </c>
      <c r="DF40">
        <v>28838.2</v>
      </c>
      <c r="DG40">
        <v>975.9</v>
      </c>
      <c r="DI40">
        <v>155.6</v>
      </c>
      <c r="DJ40">
        <v>48.8</v>
      </c>
      <c r="DL40">
        <v>762.3</v>
      </c>
      <c r="DM40">
        <v>41.3</v>
      </c>
      <c r="DO40">
        <v>191115.6</v>
      </c>
      <c r="DP40">
        <v>6515.9</v>
      </c>
      <c r="DR40">
        <v>96357.3</v>
      </c>
      <c r="DS40">
        <v>2514.1999999999998</v>
      </c>
      <c r="DU40">
        <v>530978.4</v>
      </c>
      <c r="DV40">
        <v>12546.3</v>
      </c>
      <c r="DX40">
        <v>4301.5</v>
      </c>
      <c r="DY40">
        <v>97</v>
      </c>
      <c r="EA40">
        <v>11291</v>
      </c>
      <c r="EB40">
        <v>327.10000000000002</v>
      </c>
      <c r="ED40">
        <v>127032.6</v>
      </c>
      <c r="EE40">
        <v>1954.9</v>
      </c>
      <c r="EG40">
        <v>2524099.6</v>
      </c>
      <c r="EH40">
        <v>42770.9</v>
      </c>
      <c r="EJ40">
        <v>295768.40000000002</v>
      </c>
      <c r="EK40">
        <v>3332.8</v>
      </c>
      <c r="EM40">
        <v>147312.5</v>
      </c>
      <c r="EN40">
        <v>1381.1</v>
      </c>
      <c r="EP40">
        <v>59586.5</v>
      </c>
      <c r="EQ40">
        <v>986.9</v>
      </c>
      <c r="ES40">
        <v>5374975.5999999996</v>
      </c>
      <c r="ET40">
        <v>65741.600000000006</v>
      </c>
      <c r="EV40">
        <v>117.8</v>
      </c>
      <c r="EW40">
        <v>6.3</v>
      </c>
      <c r="EY40">
        <v>4316.5</v>
      </c>
      <c r="EZ40">
        <v>64.3</v>
      </c>
      <c r="FB40">
        <v>65.3</v>
      </c>
      <c r="FC40">
        <v>15.1</v>
      </c>
      <c r="FE40">
        <v>1267.7</v>
      </c>
      <c r="FF40">
        <v>43.6</v>
      </c>
      <c r="FH40">
        <v>951</v>
      </c>
      <c r="FI40">
        <v>25.1</v>
      </c>
      <c r="FK40">
        <v>87115.6</v>
      </c>
      <c r="FL40">
        <v>490.2</v>
      </c>
      <c r="FN40">
        <v>39829.4</v>
      </c>
      <c r="FO40">
        <v>682.4</v>
      </c>
      <c r="FQ40">
        <v>17237.400000000001</v>
      </c>
      <c r="FR40">
        <v>412.9</v>
      </c>
    </row>
    <row r="41" spans="1:174" x14ac:dyDescent="0.2">
      <c r="A41" t="s">
        <v>107</v>
      </c>
      <c r="B41">
        <v>10688</v>
      </c>
      <c r="C41">
        <v>520.29999999999995</v>
      </c>
      <c r="E41">
        <v>760.1</v>
      </c>
      <c r="F41">
        <v>78.5</v>
      </c>
      <c r="H41">
        <v>115367.4</v>
      </c>
      <c r="I41">
        <v>688.7</v>
      </c>
      <c r="K41">
        <v>84993.600000000006</v>
      </c>
      <c r="L41">
        <v>693.2</v>
      </c>
      <c r="N41">
        <v>2231.1</v>
      </c>
      <c r="O41">
        <v>165.3</v>
      </c>
      <c r="Q41">
        <v>13159.2</v>
      </c>
      <c r="R41">
        <v>246.4</v>
      </c>
      <c r="T41">
        <v>1557.3</v>
      </c>
      <c r="U41">
        <v>148.6</v>
      </c>
      <c r="W41">
        <v>1803.4</v>
      </c>
      <c r="X41">
        <v>107.2</v>
      </c>
      <c r="Z41">
        <v>48230.5</v>
      </c>
      <c r="AA41">
        <v>144.6</v>
      </c>
      <c r="AC41">
        <v>739.9</v>
      </c>
      <c r="AD41">
        <v>55.3</v>
      </c>
      <c r="AF41" s="27">
        <v>3098120.3</v>
      </c>
      <c r="AG41">
        <v>13769.6</v>
      </c>
      <c r="AI41" s="28">
        <v>120070.39999999999</v>
      </c>
      <c r="AJ41">
        <v>1458.7</v>
      </c>
      <c r="AL41">
        <v>703793.9</v>
      </c>
      <c r="AM41">
        <v>981.8</v>
      </c>
      <c r="AO41">
        <v>11199.7</v>
      </c>
      <c r="AP41">
        <v>208.2</v>
      </c>
      <c r="AR41">
        <v>48843.6</v>
      </c>
      <c r="AS41">
        <v>482.5</v>
      </c>
      <c r="AU41">
        <v>3476.2</v>
      </c>
      <c r="AV41">
        <v>166.3</v>
      </c>
      <c r="AX41">
        <v>5671.7</v>
      </c>
      <c r="AY41">
        <v>173.9</v>
      </c>
      <c r="BA41">
        <v>1103.8</v>
      </c>
      <c r="BB41">
        <v>88.1</v>
      </c>
      <c r="BD41">
        <v>237.5</v>
      </c>
      <c r="BE41">
        <v>29.8</v>
      </c>
      <c r="BG41">
        <v>567.79999999999995</v>
      </c>
      <c r="BH41">
        <v>21.3</v>
      </c>
      <c r="BJ41">
        <v>320.8</v>
      </c>
      <c r="BK41">
        <v>21.3</v>
      </c>
      <c r="BM41">
        <v>309.39999999999998</v>
      </c>
      <c r="BN41">
        <v>8.3000000000000007</v>
      </c>
      <c r="BP41">
        <v>14983.3</v>
      </c>
      <c r="BQ41">
        <v>462.7</v>
      </c>
      <c r="BS41">
        <v>680710.6</v>
      </c>
      <c r="BT41">
        <v>10431.4</v>
      </c>
      <c r="BV41">
        <v>3775.6</v>
      </c>
      <c r="BW41">
        <v>84.2</v>
      </c>
      <c r="BY41">
        <v>2454.1</v>
      </c>
      <c r="BZ41">
        <v>16</v>
      </c>
      <c r="CB41">
        <v>207599.6</v>
      </c>
      <c r="CC41">
        <v>4119.3</v>
      </c>
      <c r="CE41">
        <v>173185</v>
      </c>
      <c r="CF41">
        <v>1341.5</v>
      </c>
      <c r="CH41">
        <v>435689.6</v>
      </c>
      <c r="CI41">
        <v>6635.9</v>
      </c>
      <c r="CK41">
        <v>380161.7</v>
      </c>
      <c r="CL41">
        <v>4942.7</v>
      </c>
      <c r="CN41">
        <v>3494435.6</v>
      </c>
      <c r="CO41">
        <v>63066.9</v>
      </c>
      <c r="CQ41">
        <v>55313.7</v>
      </c>
      <c r="CR41">
        <v>1579</v>
      </c>
      <c r="CT41">
        <v>311115.2</v>
      </c>
      <c r="CU41">
        <v>7291.6</v>
      </c>
      <c r="CW41">
        <v>684221.8</v>
      </c>
      <c r="CX41">
        <v>17968.400000000001</v>
      </c>
      <c r="CZ41">
        <v>13501.3</v>
      </c>
      <c r="DA41">
        <v>409.3</v>
      </c>
      <c r="DC41">
        <v>97007.1</v>
      </c>
      <c r="DD41">
        <v>2346.6</v>
      </c>
      <c r="DF41">
        <v>39953.699999999997</v>
      </c>
      <c r="DG41">
        <v>938.7</v>
      </c>
      <c r="DI41">
        <v>313</v>
      </c>
      <c r="DJ41">
        <v>17.899999999999999</v>
      </c>
      <c r="DL41">
        <v>988.5</v>
      </c>
      <c r="DM41">
        <v>49.8</v>
      </c>
      <c r="DO41">
        <v>177713</v>
      </c>
      <c r="DP41">
        <v>5059.3999999999996</v>
      </c>
      <c r="DR41">
        <v>69295.899999999994</v>
      </c>
      <c r="DS41">
        <v>492</v>
      </c>
      <c r="DU41">
        <v>550178.69999999995</v>
      </c>
      <c r="DV41">
        <v>7753.8</v>
      </c>
      <c r="DX41">
        <v>1758.7</v>
      </c>
      <c r="DY41">
        <v>136.69999999999999</v>
      </c>
      <c r="EA41">
        <v>18809.400000000001</v>
      </c>
      <c r="EB41">
        <v>662</v>
      </c>
      <c r="ED41">
        <v>157372.6</v>
      </c>
      <c r="EE41">
        <v>3014</v>
      </c>
      <c r="EG41">
        <v>80419.600000000006</v>
      </c>
      <c r="EH41">
        <v>2251.6999999999998</v>
      </c>
      <c r="EJ41">
        <v>276128</v>
      </c>
      <c r="EK41">
        <v>5496.7</v>
      </c>
      <c r="EM41">
        <v>12430</v>
      </c>
      <c r="EN41">
        <v>296.10000000000002</v>
      </c>
      <c r="EP41">
        <v>60242.9</v>
      </c>
      <c r="EQ41">
        <v>1219.4000000000001</v>
      </c>
      <c r="ES41">
        <v>940049</v>
      </c>
      <c r="ET41">
        <v>8305</v>
      </c>
      <c r="EV41">
        <v>5</v>
      </c>
      <c r="EW41">
        <v>7.3</v>
      </c>
      <c r="EY41">
        <v>1151.5</v>
      </c>
      <c r="EZ41">
        <v>52.2</v>
      </c>
      <c r="FB41">
        <v>61.3</v>
      </c>
      <c r="FC41">
        <v>8.1999999999999993</v>
      </c>
      <c r="FE41">
        <v>1936.2</v>
      </c>
      <c r="FF41">
        <v>147.1</v>
      </c>
      <c r="FH41">
        <v>888.1</v>
      </c>
      <c r="FI41">
        <v>125.3</v>
      </c>
      <c r="FK41">
        <v>77574.100000000006</v>
      </c>
      <c r="FL41">
        <v>1755.7</v>
      </c>
      <c r="FN41">
        <v>3441.7</v>
      </c>
      <c r="FO41">
        <v>9.5</v>
      </c>
      <c r="FQ41">
        <v>16966.7</v>
      </c>
      <c r="FR41">
        <v>171.9</v>
      </c>
    </row>
    <row r="42" spans="1:174" x14ac:dyDescent="0.2">
      <c r="A42" t="s">
        <v>108</v>
      </c>
      <c r="B42">
        <v>31634.9</v>
      </c>
      <c r="C42">
        <v>259.2</v>
      </c>
      <c r="E42">
        <v>797</v>
      </c>
      <c r="F42">
        <v>128.4</v>
      </c>
      <c r="H42">
        <v>1777660.3</v>
      </c>
      <c r="I42">
        <v>26642</v>
      </c>
      <c r="K42">
        <v>348069.9</v>
      </c>
      <c r="L42">
        <v>2373.1999999999998</v>
      </c>
      <c r="N42">
        <v>14365.5</v>
      </c>
      <c r="O42">
        <v>239.8</v>
      </c>
      <c r="Q42">
        <v>412145.1</v>
      </c>
      <c r="R42">
        <v>1710.5</v>
      </c>
      <c r="T42">
        <v>12751.3</v>
      </c>
      <c r="U42">
        <v>225.5</v>
      </c>
      <c r="W42">
        <v>6851.5</v>
      </c>
      <c r="X42">
        <v>281.7</v>
      </c>
      <c r="Z42">
        <v>3748517</v>
      </c>
      <c r="AA42">
        <v>34546.5</v>
      </c>
      <c r="AC42">
        <v>79940.2</v>
      </c>
      <c r="AD42">
        <v>533</v>
      </c>
      <c r="AF42" s="27">
        <v>7839532.9000000004</v>
      </c>
      <c r="AG42">
        <v>56477</v>
      </c>
      <c r="AI42" s="28">
        <v>6718222.4000000004</v>
      </c>
      <c r="AJ42">
        <v>52301.7</v>
      </c>
      <c r="AL42">
        <v>27449945.899999999</v>
      </c>
      <c r="AM42">
        <v>207801.5</v>
      </c>
      <c r="AO42">
        <v>117118.2</v>
      </c>
      <c r="AP42">
        <v>1093.3</v>
      </c>
      <c r="AR42">
        <v>1972927.3</v>
      </c>
      <c r="AS42">
        <v>22056.799999999999</v>
      </c>
      <c r="AU42">
        <v>34302.400000000001</v>
      </c>
      <c r="AV42">
        <v>426.6</v>
      </c>
      <c r="AX42">
        <v>42430.8</v>
      </c>
      <c r="AY42">
        <v>635.9</v>
      </c>
      <c r="BA42">
        <v>4495.2</v>
      </c>
      <c r="BB42">
        <v>98.9</v>
      </c>
      <c r="BD42">
        <v>1076.7</v>
      </c>
      <c r="BE42">
        <v>93.6</v>
      </c>
      <c r="BG42">
        <v>1234.0999999999999</v>
      </c>
      <c r="BH42">
        <v>80.400000000000006</v>
      </c>
      <c r="BJ42">
        <v>881.7</v>
      </c>
      <c r="BK42">
        <v>51.2</v>
      </c>
      <c r="BM42">
        <v>1239.3</v>
      </c>
      <c r="BN42">
        <v>29.8</v>
      </c>
      <c r="BP42">
        <v>116499.8</v>
      </c>
      <c r="BQ42">
        <v>1051.2</v>
      </c>
      <c r="BS42">
        <v>683076.8</v>
      </c>
      <c r="BT42">
        <v>930.9</v>
      </c>
      <c r="BV42">
        <v>3265.6</v>
      </c>
      <c r="BW42">
        <v>119.9</v>
      </c>
      <c r="BY42">
        <v>45076.6</v>
      </c>
      <c r="BZ42">
        <v>363.7</v>
      </c>
      <c r="CB42">
        <v>9629872</v>
      </c>
      <c r="CC42">
        <v>140211.20000000001</v>
      </c>
      <c r="CE42">
        <v>7960005.2999999998</v>
      </c>
      <c r="CF42">
        <v>91344.7</v>
      </c>
      <c r="CH42">
        <v>19330891.399999999</v>
      </c>
      <c r="CI42">
        <v>229156</v>
      </c>
      <c r="CK42">
        <v>20881175.800000001</v>
      </c>
      <c r="CL42">
        <v>705981.3</v>
      </c>
      <c r="CN42">
        <v>26793179.699999999</v>
      </c>
      <c r="CO42">
        <v>198056.5</v>
      </c>
      <c r="CQ42">
        <v>241027</v>
      </c>
      <c r="CR42">
        <v>3857.2</v>
      </c>
      <c r="CT42">
        <v>2501922.4</v>
      </c>
      <c r="CU42">
        <v>28605.3</v>
      </c>
      <c r="CW42">
        <v>7673545.2999999998</v>
      </c>
      <c r="CX42">
        <v>46133.1</v>
      </c>
      <c r="CZ42">
        <v>207663.9</v>
      </c>
      <c r="DA42">
        <v>2132.8000000000002</v>
      </c>
      <c r="DC42">
        <v>332516</v>
      </c>
      <c r="DD42">
        <v>2107.3000000000002</v>
      </c>
      <c r="DF42">
        <v>99069.9</v>
      </c>
      <c r="DG42">
        <v>786.7</v>
      </c>
      <c r="DI42">
        <v>2822.9</v>
      </c>
      <c r="DJ42">
        <v>119.2</v>
      </c>
      <c r="DL42">
        <v>15271.2</v>
      </c>
      <c r="DM42">
        <v>235.3</v>
      </c>
      <c r="DO42">
        <v>5806175.0999999996</v>
      </c>
      <c r="DP42">
        <v>52718.1</v>
      </c>
      <c r="DR42">
        <v>5014486.8</v>
      </c>
      <c r="DS42">
        <v>56544.7</v>
      </c>
      <c r="DU42">
        <v>25363923.600000001</v>
      </c>
      <c r="DV42">
        <v>138771.9</v>
      </c>
      <c r="DX42">
        <v>101963.7</v>
      </c>
      <c r="DY42">
        <v>1374.9</v>
      </c>
      <c r="EA42">
        <v>1393035.9</v>
      </c>
      <c r="EB42">
        <v>19170.8</v>
      </c>
      <c r="ED42">
        <v>6576622.7000000002</v>
      </c>
      <c r="EE42">
        <v>104427.2</v>
      </c>
      <c r="EG42">
        <v>8645394.8000000007</v>
      </c>
      <c r="EH42">
        <v>93356.5</v>
      </c>
      <c r="EJ42">
        <v>809521.3</v>
      </c>
      <c r="EK42">
        <v>7441.7</v>
      </c>
      <c r="EM42">
        <v>765643.4</v>
      </c>
      <c r="EN42">
        <v>14764.1</v>
      </c>
      <c r="EP42">
        <v>60059.6</v>
      </c>
      <c r="EQ42">
        <v>830.7</v>
      </c>
      <c r="ES42">
        <v>12896183.9</v>
      </c>
      <c r="ET42">
        <v>145018.70000000001</v>
      </c>
      <c r="EV42">
        <v>127.8</v>
      </c>
      <c r="EW42">
        <v>25.5</v>
      </c>
      <c r="EY42">
        <v>41956.7</v>
      </c>
      <c r="EZ42">
        <v>1165.5</v>
      </c>
      <c r="FB42">
        <v>105.2</v>
      </c>
      <c r="FC42">
        <v>7.8</v>
      </c>
      <c r="FE42">
        <v>1291.7</v>
      </c>
      <c r="FF42">
        <v>120.1</v>
      </c>
      <c r="FH42">
        <v>931</v>
      </c>
      <c r="FI42">
        <v>36.1</v>
      </c>
      <c r="FK42">
        <v>233532.7</v>
      </c>
      <c r="FL42">
        <v>1941.3</v>
      </c>
      <c r="FN42">
        <v>194988</v>
      </c>
      <c r="FO42">
        <v>3907.7</v>
      </c>
      <c r="FQ42">
        <v>17394.5</v>
      </c>
      <c r="FR42">
        <v>284.8</v>
      </c>
    </row>
    <row r="43" spans="1:174" x14ac:dyDescent="0.2">
      <c r="A43" t="s">
        <v>109</v>
      </c>
      <c r="B43">
        <v>12404.7</v>
      </c>
      <c r="C43">
        <v>488.8</v>
      </c>
      <c r="E43">
        <v>817.1</v>
      </c>
      <c r="F43">
        <v>72.400000000000006</v>
      </c>
      <c r="H43">
        <v>305615.8</v>
      </c>
      <c r="I43">
        <v>2033.2</v>
      </c>
      <c r="K43">
        <v>90049.1</v>
      </c>
      <c r="L43">
        <v>1010.2</v>
      </c>
      <c r="N43">
        <v>3660.8</v>
      </c>
      <c r="O43">
        <v>122.8</v>
      </c>
      <c r="Q43">
        <v>15464.4</v>
      </c>
      <c r="R43">
        <v>158.4</v>
      </c>
      <c r="T43">
        <v>1539.6</v>
      </c>
      <c r="U43">
        <v>79.400000000000006</v>
      </c>
      <c r="W43">
        <v>1754.4</v>
      </c>
      <c r="X43">
        <v>116.5</v>
      </c>
      <c r="Z43">
        <v>61858.3</v>
      </c>
      <c r="AA43">
        <v>533.20000000000005</v>
      </c>
      <c r="AC43">
        <v>9436.5</v>
      </c>
      <c r="AD43">
        <v>221.2</v>
      </c>
      <c r="AF43" s="27">
        <v>3096427.7</v>
      </c>
      <c r="AG43">
        <v>20266.7</v>
      </c>
      <c r="AI43" s="28">
        <v>572713.1</v>
      </c>
      <c r="AJ43">
        <v>10476.1</v>
      </c>
      <c r="AL43">
        <v>748004.3</v>
      </c>
      <c r="AM43">
        <v>11392.6</v>
      </c>
      <c r="AO43">
        <v>23476</v>
      </c>
      <c r="AP43">
        <v>526.70000000000005</v>
      </c>
      <c r="AR43">
        <v>65002</v>
      </c>
      <c r="AS43">
        <v>672.3</v>
      </c>
      <c r="AU43">
        <v>4413.8999999999996</v>
      </c>
      <c r="AV43">
        <v>195.5</v>
      </c>
      <c r="AX43">
        <v>9468.7999999999993</v>
      </c>
      <c r="AY43">
        <v>196.8</v>
      </c>
      <c r="BA43">
        <v>1073.5999999999999</v>
      </c>
      <c r="BB43">
        <v>163.5</v>
      </c>
      <c r="BD43">
        <v>334.4</v>
      </c>
      <c r="BE43">
        <v>24.8</v>
      </c>
      <c r="BG43">
        <v>651.29999999999995</v>
      </c>
      <c r="BH43">
        <v>12.6</v>
      </c>
      <c r="BJ43">
        <v>397</v>
      </c>
      <c r="BK43">
        <v>30.2</v>
      </c>
      <c r="BM43">
        <v>398</v>
      </c>
      <c r="BN43">
        <v>38.6</v>
      </c>
      <c r="BP43">
        <v>6581.3</v>
      </c>
      <c r="BQ43">
        <v>224.2</v>
      </c>
      <c r="BS43">
        <v>675289.4</v>
      </c>
      <c r="BT43">
        <v>3832.2</v>
      </c>
      <c r="BV43">
        <v>4025.9</v>
      </c>
      <c r="BW43">
        <v>212.7</v>
      </c>
      <c r="BY43">
        <v>13807.3</v>
      </c>
      <c r="BZ43">
        <v>329.6</v>
      </c>
      <c r="CB43">
        <v>524553.5</v>
      </c>
      <c r="CC43">
        <v>3919</v>
      </c>
      <c r="CE43">
        <v>450354.7</v>
      </c>
      <c r="CF43">
        <v>7402.8</v>
      </c>
      <c r="CH43">
        <v>1143384.5</v>
      </c>
      <c r="CI43">
        <v>9253.9</v>
      </c>
      <c r="CK43">
        <v>411861.4</v>
      </c>
      <c r="CL43">
        <v>4834.8</v>
      </c>
      <c r="CN43">
        <v>4131051.4</v>
      </c>
      <c r="CO43">
        <v>131796.4</v>
      </c>
      <c r="CQ43">
        <v>58977.5</v>
      </c>
      <c r="CR43">
        <v>782.7</v>
      </c>
      <c r="CT43">
        <v>692009.2</v>
      </c>
      <c r="CU43">
        <v>20383.2</v>
      </c>
      <c r="CW43">
        <v>945361.8</v>
      </c>
      <c r="CX43">
        <v>7636.8</v>
      </c>
      <c r="CZ43">
        <v>20912.7</v>
      </c>
      <c r="DA43">
        <v>1069</v>
      </c>
      <c r="DC43">
        <v>106238.6</v>
      </c>
      <c r="DD43">
        <v>2212.6999999999998</v>
      </c>
      <c r="DF43">
        <v>24334.400000000001</v>
      </c>
      <c r="DG43">
        <v>403.8</v>
      </c>
      <c r="DI43">
        <v>113.9</v>
      </c>
      <c r="DJ43">
        <v>7.3</v>
      </c>
      <c r="DL43">
        <v>703</v>
      </c>
      <c r="DM43">
        <v>102.8</v>
      </c>
      <c r="DO43">
        <v>277197.3</v>
      </c>
      <c r="DP43">
        <v>3280.7</v>
      </c>
      <c r="DR43">
        <v>86450.2</v>
      </c>
      <c r="DS43">
        <v>1703.5</v>
      </c>
      <c r="DU43">
        <v>675149.9</v>
      </c>
      <c r="DV43">
        <v>6943.6</v>
      </c>
      <c r="DX43">
        <v>3603.5</v>
      </c>
      <c r="DY43">
        <v>208.4</v>
      </c>
      <c r="EA43">
        <v>37418.699999999997</v>
      </c>
      <c r="EB43">
        <v>305.3</v>
      </c>
      <c r="ED43">
        <v>134702.70000000001</v>
      </c>
      <c r="EE43">
        <v>2000.3</v>
      </c>
      <c r="EG43">
        <v>977683.4</v>
      </c>
      <c r="EH43">
        <v>14524.6</v>
      </c>
      <c r="EJ43">
        <v>264388.3</v>
      </c>
      <c r="EK43">
        <v>2290.6</v>
      </c>
      <c r="EM43">
        <v>60290.6</v>
      </c>
      <c r="EN43">
        <v>1507.6</v>
      </c>
      <c r="EP43">
        <v>57588.1</v>
      </c>
      <c r="EQ43">
        <v>1791.3</v>
      </c>
      <c r="ES43">
        <v>2158313.5</v>
      </c>
      <c r="ET43">
        <v>25728.1</v>
      </c>
      <c r="EV43">
        <v>52.8</v>
      </c>
      <c r="EW43">
        <v>8.1999999999999993</v>
      </c>
      <c r="EY43">
        <v>1531.3</v>
      </c>
      <c r="EZ43">
        <v>88.3</v>
      </c>
      <c r="FB43">
        <v>219.7</v>
      </c>
      <c r="FC43">
        <v>52.7</v>
      </c>
      <c r="FE43">
        <v>4014.6</v>
      </c>
      <c r="FF43">
        <v>479.9</v>
      </c>
      <c r="FH43">
        <v>872.6</v>
      </c>
      <c r="FI43">
        <v>29</v>
      </c>
      <c r="FK43">
        <v>76821.100000000006</v>
      </c>
      <c r="FL43">
        <v>1376.7</v>
      </c>
      <c r="FN43">
        <v>15540</v>
      </c>
      <c r="FO43">
        <v>174.3</v>
      </c>
      <c r="FQ43">
        <v>16784.599999999999</v>
      </c>
      <c r="FR43">
        <v>271.60000000000002</v>
      </c>
    </row>
    <row r="44" spans="1:174" x14ac:dyDescent="0.2">
      <c r="A44" t="s">
        <v>110</v>
      </c>
      <c r="B44">
        <v>33568.199999999997</v>
      </c>
      <c r="C44">
        <v>357.8</v>
      </c>
      <c r="E44">
        <v>742.4</v>
      </c>
      <c r="F44">
        <v>17.8</v>
      </c>
      <c r="H44">
        <v>2855349</v>
      </c>
      <c r="I44">
        <v>21884</v>
      </c>
      <c r="K44">
        <v>149720.6</v>
      </c>
      <c r="L44">
        <v>879.2</v>
      </c>
      <c r="N44">
        <v>3327.1</v>
      </c>
      <c r="O44">
        <v>185.2</v>
      </c>
      <c r="Q44">
        <v>63850</v>
      </c>
      <c r="R44">
        <v>704</v>
      </c>
      <c r="T44">
        <v>2414.6</v>
      </c>
      <c r="U44">
        <v>99.3</v>
      </c>
      <c r="W44">
        <v>2140.3000000000002</v>
      </c>
      <c r="X44">
        <v>104.9</v>
      </c>
      <c r="Z44">
        <v>229700.3</v>
      </c>
      <c r="AA44">
        <v>3432.6</v>
      </c>
      <c r="AC44">
        <v>89020.5</v>
      </c>
      <c r="AD44">
        <v>1565.9</v>
      </c>
      <c r="AF44" s="27">
        <v>8640788.1999999993</v>
      </c>
      <c r="AG44">
        <v>132394</v>
      </c>
      <c r="AI44" s="28">
        <v>9713282</v>
      </c>
      <c r="AJ44">
        <v>146120.5</v>
      </c>
      <c r="AL44">
        <v>37835810.5</v>
      </c>
      <c r="AM44">
        <v>527792.19999999995</v>
      </c>
      <c r="AO44">
        <v>189884</v>
      </c>
      <c r="AP44">
        <v>2212.6999999999998</v>
      </c>
      <c r="AR44">
        <v>294791.09999999998</v>
      </c>
      <c r="AS44">
        <v>3488.8</v>
      </c>
      <c r="AU44">
        <v>19322.2</v>
      </c>
      <c r="AV44">
        <v>71</v>
      </c>
      <c r="AX44">
        <v>9029.6</v>
      </c>
      <c r="AY44">
        <v>303.8</v>
      </c>
      <c r="BA44">
        <v>938</v>
      </c>
      <c r="BB44">
        <v>108.8</v>
      </c>
      <c r="BD44">
        <v>277.10000000000002</v>
      </c>
      <c r="BE44">
        <v>63.9</v>
      </c>
      <c r="BG44">
        <v>589.79999999999995</v>
      </c>
      <c r="BH44">
        <v>20.2</v>
      </c>
      <c r="BJ44">
        <v>354.2</v>
      </c>
      <c r="BK44">
        <v>40.700000000000003</v>
      </c>
      <c r="BM44">
        <v>327.10000000000002</v>
      </c>
      <c r="BN44">
        <v>69.900000000000006</v>
      </c>
      <c r="BP44">
        <v>16609.3</v>
      </c>
      <c r="BQ44">
        <v>804.2</v>
      </c>
      <c r="BS44">
        <v>680739.3</v>
      </c>
      <c r="BT44">
        <v>11043.3</v>
      </c>
      <c r="BV44">
        <v>3622.3</v>
      </c>
      <c r="BW44">
        <v>158</v>
      </c>
      <c r="BY44">
        <v>55650.6</v>
      </c>
      <c r="BZ44">
        <v>886.1</v>
      </c>
      <c r="CB44">
        <v>3708257.8</v>
      </c>
      <c r="CC44">
        <v>18862.599999999999</v>
      </c>
      <c r="CE44">
        <v>3481657.3</v>
      </c>
      <c r="CF44">
        <v>9025.2999999999993</v>
      </c>
      <c r="CH44">
        <v>7424000.2000000002</v>
      </c>
      <c r="CI44">
        <v>77828.600000000006</v>
      </c>
      <c r="CK44">
        <v>1988283.3</v>
      </c>
      <c r="CL44">
        <v>22451.3</v>
      </c>
      <c r="CN44">
        <v>25858451.300000001</v>
      </c>
      <c r="CO44">
        <v>74830.100000000006</v>
      </c>
      <c r="CQ44">
        <v>79802</v>
      </c>
      <c r="CR44">
        <v>837.6</v>
      </c>
      <c r="CT44">
        <v>598282.69999999995</v>
      </c>
      <c r="CU44">
        <v>4646.6000000000004</v>
      </c>
      <c r="CW44">
        <v>7243042</v>
      </c>
      <c r="CX44">
        <v>37959.5</v>
      </c>
      <c r="CZ44">
        <v>236099</v>
      </c>
      <c r="DA44">
        <v>2647.5</v>
      </c>
      <c r="DC44">
        <v>1174906.7</v>
      </c>
      <c r="DD44">
        <v>5991.6</v>
      </c>
      <c r="DF44">
        <v>43120.6</v>
      </c>
      <c r="DG44">
        <v>862.8</v>
      </c>
      <c r="DI44">
        <v>532.5</v>
      </c>
      <c r="DJ44">
        <v>43.1</v>
      </c>
      <c r="DL44">
        <v>2117.5</v>
      </c>
      <c r="DM44">
        <v>108.5</v>
      </c>
      <c r="DO44">
        <v>647015.1</v>
      </c>
      <c r="DP44">
        <v>9310.9</v>
      </c>
      <c r="DR44">
        <v>459778.6</v>
      </c>
      <c r="DS44">
        <v>4276.2</v>
      </c>
      <c r="DU44">
        <v>3266532.7</v>
      </c>
      <c r="DV44">
        <v>29852.6</v>
      </c>
      <c r="DX44">
        <v>27848.799999999999</v>
      </c>
      <c r="DY44">
        <v>151.19999999999999</v>
      </c>
      <c r="EA44">
        <v>139415.6</v>
      </c>
      <c r="EB44">
        <v>1238.4000000000001</v>
      </c>
      <c r="ED44">
        <v>560530.5</v>
      </c>
      <c r="EE44">
        <v>4960.8</v>
      </c>
      <c r="EG44">
        <v>10446397.1</v>
      </c>
      <c r="EH44">
        <v>77860</v>
      </c>
      <c r="EJ44">
        <v>869059.3</v>
      </c>
      <c r="EK44">
        <v>1059.9000000000001</v>
      </c>
      <c r="EM44">
        <v>1100227</v>
      </c>
      <c r="EN44">
        <v>25474.6</v>
      </c>
      <c r="EP44">
        <v>59966.2</v>
      </c>
      <c r="EQ44">
        <v>1555.8</v>
      </c>
      <c r="ES44">
        <v>15997957.800000001</v>
      </c>
      <c r="ET44">
        <v>202617.5</v>
      </c>
      <c r="EV44">
        <v>434.2</v>
      </c>
      <c r="EW44">
        <v>38.4</v>
      </c>
      <c r="EY44">
        <v>177223.5</v>
      </c>
      <c r="EZ44">
        <v>1637.9</v>
      </c>
      <c r="FB44">
        <v>522.5</v>
      </c>
      <c r="FC44">
        <v>8.4</v>
      </c>
      <c r="FE44">
        <v>2195.3000000000002</v>
      </c>
      <c r="FF44">
        <v>153.19999999999999</v>
      </c>
      <c r="FH44">
        <v>981.6</v>
      </c>
      <c r="FI44">
        <v>47.8</v>
      </c>
      <c r="FK44">
        <v>253891.8</v>
      </c>
      <c r="FL44">
        <v>3333.1</v>
      </c>
      <c r="FN44">
        <v>278670.09999999998</v>
      </c>
      <c r="FO44">
        <v>7070</v>
      </c>
      <c r="FQ44">
        <v>17278.400000000001</v>
      </c>
      <c r="FR44">
        <v>186.2</v>
      </c>
    </row>
    <row r="45" spans="1:174" x14ac:dyDescent="0.2">
      <c r="A45" t="s">
        <v>111</v>
      </c>
      <c r="B45">
        <v>13138.3</v>
      </c>
      <c r="C45">
        <v>244.3</v>
      </c>
      <c r="E45">
        <v>728.1</v>
      </c>
      <c r="F45">
        <v>113.2</v>
      </c>
      <c r="H45">
        <v>619021</v>
      </c>
      <c r="I45">
        <v>4368.6000000000004</v>
      </c>
      <c r="K45">
        <v>89410.8</v>
      </c>
      <c r="L45">
        <v>1979.6</v>
      </c>
      <c r="N45">
        <v>1685.6</v>
      </c>
      <c r="O45">
        <v>141.30000000000001</v>
      </c>
      <c r="Q45">
        <v>12370.4</v>
      </c>
      <c r="R45">
        <v>137.9</v>
      </c>
      <c r="T45">
        <v>1452.1</v>
      </c>
      <c r="U45">
        <v>93.9</v>
      </c>
      <c r="W45">
        <v>1592.9</v>
      </c>
      <c r="X45">
        <v>122.2</v>
      </c>
      <c r="Z45">
        <v>48771.3</v>
      </c>
      <c r="AA45">
        <v>160.69999999999999</v>
      </c>
      <c r="AC45">
        <v>16447.5</v>
      </c>
      <c r="AD45">
        <v>273.89999999999998</v>
      </c>
      <c r="AF45" s="27">
        <v>3240062</v>
      </c>
      <c r="AG45">
        <v>20731.8</v>
      </c>
      <c r="AI45" s="28">
        <v>1259882.7</v>
      </c>
      <c r="AJ45">
        <v>3680.5</v>
      </c>
      <c r="AL45">
        <v>1050104.8</v>
      </c>
      <c r="AM45">
        <v>6762.4</v>
      </c>
      <c r="AO45">
        <v>44122.8</v>
      </c>
      <c r="AP45">
        <v>676</v>
      </c>
      <c r="AR45">
        <v>61219.199999999997</v>
      </c>
      <c r="AS45">
        <v>724.1</v>
      </c>
      <c r="AU45">
        <v>2369.6999999999998</v>
      </c>
      <c r="AV45">
        <v>215.6</v>
      </c>
      <c r="AX45">
        <v>3908</v>
      </c>
      <c r="AY45">
        <v>156.5</v>
      </c>
      <c r="BA45">
        <v>433.4</v>
      </c>
      <c r="BB45">
        <v>38.799999999999997</v>
      </c>
      <c r="BD45">
        <v>226.1</v>
      </c>
      <c r="BE45">
        <v>56.4</v>
      </c>
      <c r="BG45">
        <v>401.1</v>
      </c>
      <c r="BH45">
        <v>42</v>
      </c>
      <c r="BJ45">
        <v>260.39999999999998</v>
      </c>
      <c r="BK45">
        <v>64.400000000000006</v>
      </c>
      <c r="BM45">
        <v>187.5</v>
      </c>
      <c r="BN45">
        <v>15.6</v>
      </c>
      <c r="BP45">
        <v>6205.7</v>
      </c>
      <c r="BQ45">
        <v>13</v>
      </c>
      <c r="BS45">
        <v>677699.1</v>
      </c>
      <c r="BT45">
        <v>12076.1</v>
      </c>
      <c r="BV45">
        <v>3715.1</v>
      </c>
      <c r="BW45">
        <v>187</v>
      </c>
      <c r="BY45">
        <v>24671.1</v>
      </c>
      <c r="BZ45">
        <v>418.8</v>
      </c>
      <c r="CB45">
        <v>717850.1</v>
      </c>
      <c r="CC45">
        <v>5286.6</v>
      </c>
      <c r="CE45">
        <v>603478.4</v>
      </c>
      <c r="CF45">
        <v>3876.1</v>
      </c>
      <c r="CH45">
        <v>1543355.2</v>
      </c>
      <c r="CI45">
        <v>25447.9</v>
      </c>
      <c r="CK45">
        <v>765341.7</v>
      </c>
      <c r="CL45">
        <v>11120.4</v>
      </c>
      <c r="CN45">
        <v>3915773</v>
      </c>
      <c r="CO45">
        <v>81718.100000000006</v>
      </c>
      <c r="CQ45">
        <v>47063.3</v>
      </c>
      <c r="CR45">
        <v>1355.2</v>
      </c>
      <c r="CT45">
        <v>275674.3</v>
      </c>
      <c r="CU45">
        <v>12126.3</v>
      </c>
      <c r="CW45">
        <v>985567.3</v>
      </c>
      <c r="CX45">
        <v>18208</v>
      </c>
      <c r="CZ45">
        <v>51082.1</v>
      </c>
      <c r="DA45">
        <v>2154.5</v>
      </c>
      <c r="DC45">
        <v>393154.9</v>
      </c>
      <c r="DD45">
        <v>8015.8</v>
      </c>
      <c r="DF45">
        <v>27652.7</v>
      </c>
      <c r="DG45">
        <v>782</v>
      </c>
      <c r="DI45">
        <v>183.3</v>
      </c>
      <c r="DJ45">
        <v>19.399999999999999</v>
      </c>
      <c r="DL45">
        <v>513.1</v>
      </c>
      <c r="DM45">
        <v>76.7</v>
      </c>
      <c r="DO45">
        <v>223780</v>
      </c>
      <c r="DP45">
        <v>5101.3999999999996</v>
      </c>
      <c r="DR45">
        <v>62381.9</v>
      </c>
      <c r="DS45">
        <v>210.9</v>
      </c>
      <c r="DU45">
        <v>423008.2</v>
      </c>
      <c r="DV45">
        <v>1003.9</v>
      </c>
      <c r="DX45">
        <v>2206.5</v>
      </c>
      <c r="DY45">
        <v>121</v>
      </c>
      <c r="EA45">
        <v>16513.099999999999</v>
      </c>
      <c r="EB45">
        <v>337.5</v>
      </c>
      <c r="ED45">
        <v>88217</v>
      </c>
      <c r="EE45">
        <v>662</v>
      </c>
      <c r="EG45">
        <v>896889.2</v>
      </c>
      <c r="EH45">
        <v>6571.1</v>
      </c>
      <c r="EJ45">
        <v>280474.5</v>
      </c>
      <c r="EK45">
        <v>2123.4</v>
      </c>
      <c r="EM45">
        <v>124436.4</v>
      </c>
      <c r="EN45">
        <v>3230.9</v>
      </c>
      <c r="EP45">
        <v>60498.6</v>
      </c>
      <c r="EQ45">
        <v>800.4</v>
      </c>
      <c r="ES45">
        <v>4133942.1</v>
      </c>
      <c r="ET45">
        <v>67670.3</v>
      </c>
      <c r="EV45">
        <v>63.9</v>
      </c>
      <c r="EW45">
        <v>17.7</v>
      </c>
      <c r="EY45">
        <v>2784</v>
      </c>
      <c r="EZ45">
        <v>132.80000000000001</v>
      </c>
      <c r="FB45">
        <v>78.400000000000006</v>
      </c>
      <c r="FC45">
        <v>8.1999999999999993</v>
      </c>
      <c r="FE45">
        <v>967</v>
      </c>
      <c r="FF45">
        <v>64.8</v>
      </c>
      <c r="FH45">
        <v>978.9</v>
      </c>
      <c r="FI45">
        <v>21.2</v>
      </c>
      <c r="FK45">
        <v>82874.7</v>
      </c>
      <c r="FL45">
        <v>1656.3</v>
      </c>
      <c r="FN45">
        <v>33004.300000000003</v>
      </c>
      <c r="FO45">
        <v>1496.4</v>
      </c>
      <c r="FQ45">
        <v>16650.8</v>
      </c>
      <c r="FR45">
        <v>310.60000000000002</v>
      </c>
    </row>
    <row r="46" spans="1:174" x14ac:dyDescent="0.2">
      <c r="A46" t="s">
        <v>112</v>
      </c>
      <c r="B46">
        <v>155236.1</v>
      </c>
      <c r="C46">
        <v>672</v>
      </c>
      <c r="E46">
        <v>35500.5</v>
      </c>
      <c r="F46">
        <v>204.1</v>
      </c>
      <c r="H46">
        <v>949633.4</v>
      </c>
      <c r="I46">
        <v>9459.6</v>
      </c>
      <c r="K46">
        <v>1267048.8</v>
      </c>
      <c r="L46">
        <v>7347.9</v>
      </c>
      <c r="N46">
        <v>1456944.8</v>
      </c>
      <c r="O46">
        <v>10391</v>
      </c>
      <c r="Q46">
        <v>179802</v>
      </c>
      <c r="R46">
        <v>3827.3</v>
      </c>
      <c r="T46">
        <v>1388540</v>
      </c>
      <c r="U46">
        <v>6101.2</v>
      </c>
      <c r="W46">
        <v>281858.90000000002</v>
      </c>
      <c r="X46">
        <v>1861.3</v>
      </c>
      <c r="Z46">
        <v>556708.30000000005</v>
      </c>
      <c r="AA46">
        <v>5028.8999999999996</v>
      </c>
      <c r="AC46">
        <v>80757.600000000006</v>
      </c>
      <c r="AD46">
        <v>344.3</v>
      </c>
      <c r="AF46" s="27">
        <v>3040185.7</v>
      </c>
      <c r="AG46">
        <v>19649.8</v>
      </c>
      <c r="AI46" s="28">
        <v>317666.8</v>
      </c>
      <c r="AJ46">
        <v>2904.2</v>
      </c>
      <c r="AL46">
        <v>304310.3</v>
      </c>
      <c r="AM46">
        <v>1919.4</v>
      </c>
      <c r="AO46">
        <v>1579456.8</v>
      </c>
      <c r="AP46">
        <v>12615.7</v>
      </c>
      <c r="AR46">
        <v>663094.69999999995</v>
      </c>
      <c r="AS46">
        <v>4291</v>
      </c>
      <c r="AU46">
        <v>1761009.8</v>
      </c>
      <c r="AV46">
        <v>20418.599999999999</v>
      </c>
      <c r="AX46">
        <v>1617927.8</v>
      </c>
      <c r="AY46">
        <v>38512.699999999997</v>
      </c>
      <c r="BA46">
        <v>334019.90000000002</v>
      </c>
      <c r="BB46">
        <v>4582.3</v>
      </c>
      <c r="BD46">
        <v>285790.7</v>
      </c>
      <c r="BE46">
        <v>3181.3</v>
      </c>
      <c r="BG46">
        <v>271783.5</v>
      </c>
      <c r="BH46">
        <v>3675.7</v>
      </c>
      <c r="BJ46">
        <v>1922364.7</v>
      </c>
      <c r="BK46">
        <v>12371.8</v>
      </c>
      <c r="BM46">
        <v>511867.2</v>
      </c>
      <c r="BN46">
        <v>4754.3</v>
      </c>
      <c r="BP46">
        <v>386848.5</v>
      </c>
      <c r="BQ46">
        <v>1946.7</v>
      </c>
      <c r="BS46">
        <v>683141.5</v>
      </c>
      <c r="BT46">
        <v>6179.5</v>
      </c>
      <c r="BV46">
        <v>308274.59999999998</v>
      </c>
      <c r="BW46">
        <v>3719.4</v>
      </c>
      <c r="BY46">
        <v>1267123.8</v>
      </c>
      <c r="BZ46">
        <v>17995</v>
      </c>
      <c r="CB46">
        <v>418094.5</v>
      </c>
      <c r="CC46">
        <v>6319.5</v>
      </c>
      <c r="CE46">
        <v>361371</v>
      </c>
      <c r="CF46">
        <v>2001.2</v>
      </c>
      <c r="CH46">
        <v>897798.7</v>
      </c>
      <c r="CI46">
        <v>9556.7999999999993</v>
      </c>
      <c r="CK46">
        <v>1376128.5</v>
      </c>
      <c r="CL46">
        <v>9692.5</v>
      </c>
      <c r="CN46">
        <v>412945.9</v>
      </c>
      <c r="CO46">
        <v>4816.3</v>
      </c>
      <c r="CQ46">
        <v>255234.6</v>
      </c>
      <c r="CR46">
        <v>7992.6</v>
      </c>
      <c r="CT46">
        <v>197263.3</v>
      </c>
      <c r="CU46">
        <v>7983.5</v>
      </c>
      <c r="CW46">
        <v>738289</v>
      </c>
      <c r="CX46">
        <v>10051.9</v>
      </c>
      <c r="CZ46">
        <v>3591.4</v>
      </c>
      <c r="DA46">
        <v>167.2</v>
      </c>
      <c r="DC46">
        <v>111015.8</v>
      </c>
      <c r="DD46">
        <v>1235.0999999999999</v>
      </c>
      <c r="DF46">
        <v>23214.3</v>
      </c>
      <c r="DG46">
        <v>351.5</v>
      </c>
      <c r="DI46">
        <v>5511.4</v>
      </c>
      <c r="DJ46">
        <v>148.6</v>
      </c>
      <c r="DL46">
        <v>79142.899999999994</v>
      </c>
      <c r="DM46">
        <v>1178.9000000000001</v>
      </c>
      <c r="DO46">
        <v>70345.2</v>
      </c>
      <c r="DP46">
        <v>1149.5</v>
      </c>
      <c r="DR46">
        <v>90522.7</v>
      </c>
      <c r="DS46">
        <v>2096.6999999999998</v>
      </c>
      <c r="DU46">
        <v>287049.5</v>
      </c>
      <c r="DV46">
        <v>5999.5</v>
      </c>
      <c r="DX46">
        <v>81385.5</v>
      </c>
      <c r="DY46">
        <v>902</v>
      </c>
      <c r="EA46">
        <v>18894.599999999999</v>
      </c>
      <c r="EB46">
        <v>642.9</v>
      </c>
      <c r="ED46">
        <v>39352.699999999997</v>
      </c>
      <c r="EE46">
        <v>641</v>
      </c>
      <c r="EG46">
        <v>18493.900000000001</v>
      </c>
      <c r="EH46">
        <v>1369.2</v>
      </c>
      <c r="EJ46">
        <v>257850.8</v>
      </c>
      <c r="EK46">
        <v>2076.4</v>
      </c>
      <c r="EM46">
        <v>32336.5</v>
      </c>
      <c r="EN46">
        <v>850.7</v>
      </c>
      <c r="EP46">
        <v>58412.5</v>
      </c>
      <c r="EQ46">
        <v>1702.7</v>
      </c>
      <c r="ES46">
        <v>197463.5</v>
      </c>
      <c r="ET46">
        <v>254.9</v>
      </c>
      <c r="EV46">
        <v>3316.3</v>
      </c>
      <c r="EW46">
        <v>75.5</v>
      </c>
      <c r="EY46">
        <v>3051.9</v>
      </c>
      <c r="EZ46">
        <v>76.400000000000006</v>
      </c>
      <c r="FB46">
        <v>325.5</v>
      </c>
      <c r="FC46">
        <v>35.299999999999997</v>
      </c>
      <c r="FE46">
        <v>3041</v>
      </c>
      <c r="FF46">
        <v>23.3</v>
      </c>
      <c r="FH46">
        <v>930.4</v>
      </c>
      <c r="FI46">
        <v>22.2</v>
      </c>
      <c r="FK46">
        <v>73211.8</v>
      </c>
      <c r="FL46">
        <v>1183.9000000000001</v>
      </c>
      <c r="FN46">
        <v>8630.9</v>
      </c>
      <c r="FO46">
        <v>126</v>
      </c>
      <c r="FQ46">
        <v>16082.1</v>
      </c>
      <c r="FR46">
        <v>215.6</v>
      </c>
    </row>
    <row r="47" spans="1:174" x14ac:dyDescent="0.2">
      <c r="A47" t="s">
        <v>113</v>
      </c>
      <c r="B47">
        <v>10331.6</v>
      </c>
      <c r="C47">
        <v>530.4</v>
      </c>
      <c r="E47">
        <v>771.3</v>
      </c>
      <c r="F47">
        <v>68.7</v>
      </c>
      <c r="H47">
        <v>9706.7000000000007</v>
      </c>
      <c r="I47">
        <v>245.2</v>
      </c>
      <c r="K47">
        <v>43397.2</v>
      </c>
      <c r="L47">
        <v>1234.4000000000001</v>
      </c>
      <c r="N47">
        <v>192.7</v>
      </c>
      <c r="O47">
        <v>56.7</v>
      </c>
      <c r="Q47">
        <v>579.29999999999995</v>
      </c>
      <c r="R47">
        <v>66.8</v>
      </c>
      <c r="T47">
        <v>1652.2</v>
      </c>
      <c r="U47">
        <v>123.7</v>
      </c>
      <c r="W47">
        <v>1616.8</v>
      </c>
      <c r="X47">
        <v>212.5</v>
      </c>
      <c r="Z47">
        <v>1493.8</v>
      </c>
      <c r="AA47">
        <v>24.4</v>
      </c>
      <c r="AC47">
        <v>54.2</v>
      </c>
      <c r="AD47">
        <v>17.2</v>
      </c>
      <c r="AF47" s="27">
        <v>2907780.3</v>
      </c>
      <c r="AG47">
        <v>25689.9</v>
      </c>
      <c r="AI47" s="28">
        <v>1515.6</v>
      </c>
      <c r="AJ47">
        <v>98.8</v>
      </c>
      <c r="AL47">
        <v>2432.3000000000002</v>
      </c>
      <c r="AM47">
        <v>200.4</v>
      </c>
      <c r="AO47">
        <v>2758.7</v>
      </c>
      <c r="AP47">
        <v>96.3</v>
      </c>
      <c r="AR47">
        <v>7921.7</v>
      </c>
      <c r="AS47">
        <v>245.8</v>
      </c>
      <c r="AU47">
        <v>324</v>
      </c>
      <c r="AV47">
        <v>16</v>
      </c>
      <c r="AX47">
        <v>200</v>
      </c>
      <c r="AY47">
        <v>49.6</v>
      </c>
      <c r="BA47">
        <v>108.3</v>
      </c>
      <c r="BB47">
        <v>26.9</v>
      </c>
      <c r="BD47">
        <v>158.30000000000001</v>
      </c>
      <c r="BE47">
        <v>1.8</v>
      </c>
      <c r="BG47">
        <v>329.2</v>
      </c>
      <c r="BH47">
        <v>25.2</v>
      </c>
      <c r="BJ47">
        <v>338.6</v>
      </c>
      <c r="BK47">
        <v>43.8</v>
      </c>
      <c r="BM47">
        <v>155.19999999999999</v>
      </c>
      <c r="BN47">
        <v>20.8</v>
      </c>
      <c r="BP47">
        <v>2091.3000000000002</v>
      </c>
      <c r="BQ47">
        <v>109.9</v>
      </c>
      <c r="BS47">
        <v>663887.1</v>
      </c>
      <c r="BT47">
        <v>1889.1</v>
      </c>
      <c r="BV47">
        <v>4421.1000000000004</v>
      </c>
      <c r="BW47">
        <v>231.8</v>
      </c>
      <c r="BY47">
        <v>392.8</v>
      </c>
      <c r="BZ47">
        <v>50.1</v>
      </c>
      <c r="CB47">
        <v>433.4</v>
      </c>
      <c r="CC47">
        <v>45.6</v>
      </c>
      <c r="CE47">
        <v>532.4</v>
      </c>
      <c r="CF47">
        <v>48.6</v>
      </c>
      <c r="CH47">
        <v>1440.6</v>
      </c>
      <c r="CI47">
        <v>15.5</v>
      </c>
      <c r="CK47">
        <v>1067.3</v>
      </c>
      <c r="CL47">
        <v>183.7</v>
      </c>
      <c r="CN47">
        <v>46824.5</v>
      </c>
      <c r="CO47">
        <v>607.6</v>
      </c>
      <c r="CQ47">
        <v>10784.7</v>
      </c>
      <c r="CR47">
        <v>464</v>
      </c>
      <c r="CT47">
        <v>14464.1</v>
      </c>
      <c r="CU47">
        <v>186.6</v>
      </c>
      <c r="CW47">
        <v>517738.1</v>
      </c>
      <c r="CX47">
        <v>5630.9</v>
      </c>
      <c r="CZ47">
        <v>491.7</v>
      </c>
      <c r="DA47">
        <v>78.8</v>
      </c>
      <c r="DC47">
        <v>26283.9</v>
      </c>
      <c r="DD47">
        <v>71.8</v>
      </c>
      <c r="DF47">
        <v>8225.2999999999993</v>
      </c>
      <c r="DG47">
        <v>53.6</v>
      </c>
      <c r="DI47">
        <v>18.5</v>
      </c>
      <c r="DJ47">
        <v>9.8000000000000007</v>
      </c>
      <c r="DL47">
        <v>188</v>
      </c>
      <c r="DM47">
        <v>39.5</v>
      </c>
      <c r="DO47">
        <v>830</v>
      </c>
      <c r="DP47">
        <v>89</v>
      </c>
      <c r="DR47">
        <v>184.3</v>
      </c>
      <c r="DS47">
        <v>5.8</v>
      </c>
      <c r="DU47">
        <v>2744.1</v>
      </c>
      <c r="DV47">
        <v>42</v>
      </c>
      <c r="DX47">
        <v>57.4</v>
      </c>
      <c r="DY47">
        <v>14.3</v>
      </c>
      <c r="EA47">
        <v>180.6</v>
      </c>
      <c r="EB47">
        <v>41.5</v>
      </c>
      <c r="ED47">
        <v>319.5</v>
      </c>
      <c r="EE47">
        <v>2.8</v>
      </c>
      <c r="EG47">
        <v>295.39999999999998</v>
      </c>
      <c r="EH47">
        <v>42.4</v>
      </c>
      <c r="EJ47">
        <v>255853.9</v>
      </c>
      <c r="EK47">
        <v>2731.2</v>
      </c>
      <c r="EM47">
        <v>142.6</v>
      </c>
      <c r="EN47">
        <v>28.3</v>
      </c>
      <c r="EP47">
        <v>58548</v>
      </c>
      <c r="EQ47">
        <v>245.3</v>
      </c>
      <c r="ES47">
        <v>24008</v>
      </c>
      <c r="ET47">
        <v>370</v>
      </c>
      <c r="EV47">
        <v>0.6</v>
      </c>
      <c r="EW47">
        <v>1</v>
      </c>
      <c r="EY47">
        <v>51.3</v>
      </c>
      <c r="EZ47">
        <v>23.4</v>
      </c>
      <c r="FB47">
        <v>103.7</v>
      </c>
      <c r="FC47">
        <v>4.3</v>
      </c>
      <c r="FE47">
        <v>2299.4</v>
      </c>
      <c r="FF47">
        <v>126.9</v>
      </c>
      <c r="FH47">
        <v>883.7</v>
      </c>
      <c r="FI47">
        <v>27.1</v>
      </c>
      <c r="FK47">
        <v>74164.800000000003</v>
      </c>
      <c r="FL47">
        <v>2072</v>
      </c>
      <c r="FN47">
        <v>37.200000000000003</v>
      </c>
      <c r="FO47">
        <v>2.5</v>
      </c>
      <c r="FQ47">
        <v>16274.6</v>
      </c>
      <c r="FR47">
        <v>447.8</v>
      </c>
    </row>
    <row r="48" spans="1:174" x14ac:dyDescent="0.2">
      <c r="A48" t="s">
        <v>114</v>
      </c>
      <c r="B48">
        <v>11108.7</v>
      </c>
      <c r="C48">
        <v>582.6</v>
      </c>
      <c r="E48">
        <v>754.6</v>
      </c>
      <c r="F48">
        <v>27.3</v>
      </c>
      <c r="H48">
        <v>79137.2</v>
      </c>
      <c r="I48">
        <v>546.1</v>
      </c>
      <c r="K48">
        <v>83258.3</v>
      </c>
      <c r="L48">
        <v>336.9</v>
      </c>
      <c r="N48">
        <v>2468.8000000000002</v>
      </c>
      <c r="O48">
        <v>134.80000000000001</v>
      </c>
      <c r="Q48">
        <v>13840.6</v>
      </c>
      <c r="R48">
        <v>581.70000000000005</v>
      </c>
      <c r="T48">
        <v>1708.6</v>
      </c>
      <c r="U48">
        <v>35.1</v>
      </c>
      <c r="W48">
        <v>1743</v>
      </c>
      <c r="X48">
        <v>102.3</v>
      </c>
      <c r="Z48">
        <v>65248.6</v>
      </c>
      <c r="AA48">
        <v>130.19999999999999</v>
      </c>
      <c r="AC48">
        <v>2169.4</v>
      </c>
      <c r="AD48">
        <v>81.900000000000006</v>
      </c>
      <c r="AF48" s="27">
        <v>2969259</v>
      </c>
      <c r="AG48">
        <v>51627.6</v>
      </c>
      <c r="AI48" s="28">
        <v>501671</v>
      </c>
      <c r="AJ48">
        <v>8189</v>
      </c>
      <c r="AL48">
        <v>227225.9</v>
      </c>
      <c r="AM48">
        <v>5846.7</v>
      </c>
      <c r="AO48">
        <v>10635.2</v>
      </c>
      <c r="AP48">
        <v>357.8</v>
      </c>
      <c r="AR48">
        <v>56312.1</v>
      </c>
      <c r="AS48">
        <v>607.20000000000005</v>
      </c>
      <c r="AU48">
        <v>3771.4</v>
      </c>
      <c r="AV48">
        <v>131.69999999999999</v>
      </c>
      <c r="AX48">
        <v>7152.9</v>
      </c>
      <c r="AY48">
        <v>70.400000000000006</v>
      </c>
      <c r="BA48">
        <v>805.6</v>
      </c>
      <c r="BB48">
        <v>33.200000000000003</v>
      </c>
      <c r="BD48">
        <v>269.8</v>
      </c>
      <c r="BE48">
        <v>45.3</v>
      </c>
      <c r="BG48">
        <v>551.20000000000005</v>
      </c>
      <c r="BH48">
        <v>12.7</v>
      </c>
      <c r="BJ48">
        <v>375</v>
      </c>
      <c r="BK48">
        <v>32.700000000000003</v>
      </c>
      <c r="BM48">
        <v>301.10000000000002</v>
      </c>
      <c r="BN48">
        <v>87.6</v>
      </c>
      <c r="BP48">
        <v>4289.8</v>
      </c>
      <c r="BQ48">
        <v>98.6</v>
      </c>
      <c r="BS48">
        <v>675961.8</v>
      </c>
      <c r="BT48">
        <v>5190.2</v>
      </c>
      <c r="BV48">
        <v>4009.2</v>
      </c>
      <c r="BW48">
        <v>143.1</v>
      </c>
      <c r="BY48">
        <v>6675.2</v>
      </c>
      <c r="BZ48">
        <v>16.100000000000001</v>
      </c>
      <c r="CB48">
        <v>258810</v>
      </c>
      <c r="CC48">
        <v>4940.3</v>
      </c>
      <c r="CE48">
        <v>216284</v>
      </c>
      <c r="CF48">
        <v>4127.8999999999996</v>
      </c>
      <c r="CH48">
        <v>540097.5</v>
      </c>
      <c r="CI48">
        <v>5873.9</v>
      </c>
      <c r="CK48">
        <v>278371.09999999998</v>
      </c>
      <c r="CL48">
        <v>2714</v>
      </c>
      <c r="CN48">
        <v>1589823.4</v>
      </c>
      <c r="CO48">
        <v>10920.6</v>
      </c>
      <c r="CQ48">
        <v>50609.8</v>
      </c>
      <c r="CR48">
        <v>511.7</v>
      </c>
      <c r="CT48">
        <v>580557.30000000005</v>
      </c>
      <c r="CU48">
        <v>10881.1</v>
      </c>
      <c r="CW48">
        <v>805333.9</v>
      </c>
      <c r="CX48">
        <v>11814.4</v>
      </c>
      <c r="CZ48">
        <v>11866.1</v>
      </c>
      <c r="DA48">
        <v>301</v>
      </c>
      <c r="DC48">
        <v>106140.4</v>
      </c>
      <c r="DD48">
        <v>877.9</v>
      </c>
      <c r="DF48">
        <v>24422.799999999999</v>
      </c>
      <c r="DG48">
        <v>853.4</v>
      </c>
      <c r="DI48">
        <v>294.39999999999998</v>
      </c>
      <c r="DJ48">
        <v>34.1</v>
      </c>
      <c r="DL48">
        <v>781.8</v>
      </c>
      <c r="DM48">
        <v>82.6</v>
      </c>
      <c r="DO48">
        <v>260149.2</v>
      </c>
      <c r="DP48">
        <v>6877.3</v>
      </c>
      <c r="DR48">
        <v>94209.4</v>
      </c>
      <c r="DS48">
        <v>1962.8</v>
      </c>
      <c r="DU48">
        <v>759025.8</v>
      </c>
      <c r="DV48">
        <v>22201.9</v>
      </c>
      <c r="DX48">
        <v>2331.6</v>
      </c>
      <c r="DY48">
        <v>117.3</v>
      </c>
      <c r="EA48">
        <v>29660.2</v>
      </c>
      <c r="EB48">
        <v>306.7</v>
      </c>
      <c r="ED48">
        <v>121763.2</v>
      </c>
      <c r="EE48">
        <v>1889.8</v>
      </c>
      <c r="EG48">
        <v>56593.4</v>
      </c>
      <c r="EH48">
        <v>1280.4000000000001</v>
      </c>
      <c r="EJ48">
        <v>257166.9</v>
      </c>
      <c r="EK48">
        <v>5398.6</v>
      </c>
      <c r="EM48">
        <v>50948.7</v>
      </c>
      <c r="EN48">
        <v>766.3</v>
      </c>
      <c r="EP48">
        <v>58299.8</v>
      </c>
      <c r="EQ48">
        <v>2285.4</v>
      </c>
      <c r="ES48">
        <v>527318.30000000005</v>
      </c>
      <c r="ET48">
        <v>6123.9</v>
      </c>
      <c r="EV48">
        <v>2.2999999999999998</v>
      </c>
      <c r="EW48">
        <v>1.2</v>
      </c>
      <c r="EY48">
        <v>3486.9</v>
      </c>
      <c r="EZ48">
        <v>69.7</v>
      </c>
      <c r="FB48">
        <v>91.9</v>
      </c>
      <c r="FC48">
        <v>16.899999999999999</v>
      </c>
      <c r="FE48">
        <v>1385.9</v>
      </c>
      <c r="FF48">
        <v>55</v>
      </c>
      <c r="FH48">
        <v>889.2</v>
      </c>
      <c r="FI48">
        <v>40.799999999999997</v>
      </c>
      <c r="FK48">
        <v>76176.600000000006</v>
      </c>
      <c r="FL48">
        <v>3067</v>
      </c>
      <c r="FN48">
        <v>13256.7</v>
      </c>
      <c r="FO48">
        <v>795.6</v>
      </c>
      <c r="FQ48">
        <v>16419.599999999999</v>
      </c>
      <c r="FR48">
        <v>429.3</v>
      </c>
    </row>
    <row r="49" spans="1:174" x14ac:dyDescent="0.2">
      <c r="A49" t="s">
        <v>115</v>
      </c>
      <c r="B49">
        <v>10539</v>
      </c>
      <c r="C49">
        <v>449.7</v>
      </c>
      <c r="E49">
        <v>701.3</v>
      </c>
      <c r="F49">
        <v>104.1</v>
      </c>
      <c r="H49">
        <v>21786</v>
      </c>
      <c r="I49">
        <v>404.3</v>
      </c>
      <c r="K49">
        <v>73610</v>
      </c>
      <c r="L49">
        <v>1197.4000000000001</v>
      </c>
      <c r="N49">
        <v>2564.8000000000002</v>
      </c>
      <c r="O49">
        <v>112.8</v>
      </c>
      <c r="Q49">
        <v>12157.5</v>
      </c>
      <c r="R49">
        <v>257.89999999999998</v>
      </c>
      <c r="T49">
        <v>1504.2</v>
      </c>
      <c r="U49">
        <v>52.6</v>
      </c>
      <c r="W49">
        <v>1620</v>
      </c>
      <c r="X49">
        <v>98.3</v>
      </c>
      <c r="Z49">
        <v>23679.5</v>
      </c>
      <c r="AA49">
        <v>450.5</v>
      </c>
      <c r="AC49">
        <v>403.2</v>
      </c>
      <c r="AD49">
        <v>25.6</v>
      </c>
      <c r="AF49" s="27">
        <v>3000380.3</v>
      </c>
      <c r="AG49">
        <v>53978.5</v>
      </c>
      <c r="AI49" s="28">
        <v>21906.799999999999</v>
      </c>
      <c r="AJ49">
        <v>304</v>
      </c>
      <c r="AL49">
        <v>108453</v>
      </c>
      <c r="AM49">
        <v>969.6</v>
      </c>
      <c r="AO49">
        <v>4307.3999999999996</v>
      </c>
      <c r="AP49">
        <v>233.9</v>
      </c>
      <c r="AR49">
        <v>83902.2</v>
      </c>
      <c r="AS49">
        <v>500.2</v>
      </c>
      <c r="AU49">
        <v>25129.8</v>
      </c>
      <c r="AV49">
        <v>534.5</v>
      </c>
      <c r="AX49">
        <v>38043.800000000003</v>
      </c>
      <c r="AY49">
        <v>594</v>
      </c>
      <c r="BA49">
        <v>2777.5</v>
      </c>
      <c r="BB49">
        <v>279.39999999999998</v>
      </c>
      <c r="BD49">
        <v>233.4</v>
      </c>
      <c r="BE49">
        <v>42.6</v>
      </c>
      <c r="BG49">
        <v>733.7</v>
      </c>
      <c r="BH49">
        <v>60.8</v>
      </c>
      <c r="BJ49">
        <v>361.5</v>
      </c>
      <c r="BK49">
        <v>53.3</v>
      </c>
      <c r="BM49">
        <v>271.89999999999998</v>
      </c>
      <c r="BN49">
        <v>51.6</v>
      </c>
      <c r="BP49">
        <v>4008.1</v>
      </c>
      <c r="BQ49">
        <v>98.6</v>
      </c>
      <c r="BS49">
        <v>664509</v>
      </c>
      <c r="BT49">
        <v>9942.1</v>
      </c>
      <c r="BV49">
        <v>3764.1</v>
      </c>
      <c r="BW49">
        <v>79.5</v>
      </c>
      <c r="BY49">
        <v>544.9</v>
      </c>
      <c r="BZ49">
        <v>39.9</v>
      </c>
      <c r="CB49">
        <v>118592.1</v>
      </c>
      <c r="CC49">
        <v>132.30000000000001</v>
      </c>
      <c r="CE49">
        <v>97590.6</v>
      </c>
      <c r="CF49">
        <v>444.8</v>
      </c>
      <c r="CH49">
        <v>241931.7</v>
      </c>
      <c r="CI49">
        <v>3249</v>
      </c>
      <c r="CK49">
        <v>285944</v>
      </c>
      <c r="CL49">
        <v>4506.3999999999996</v>
      </c>
      <c r="CN49">
        <v>800520.4</v>
      </c>
      <c r="CO49">
        <v>10580.1</v>
      </c>
      <c r="CQ49">
        <v>51819.199999999997</v>
      </c>
      <c r="CR49">
        <v>276.2</v>
      </c>
      <c r="CT49">
        <v>363609</v>
      </c>
      <c r="CU49">
        <v>2418.8000000000002</v>
      </c>
      <c r="CW49">
        <v>642976.69999999995</v>
      </c>
      <c r="CX49">
        <v>9389.7000000000007</v>
      </c>
      <c r="CZ49">
        <v>10405.5</v>
      </c>
      <c r="DA49">
        <v>301.10000000000002</v>
      </c>
      <c r="DC49">
        <v>41479.5</v>
      </c>
      <c r="DD49">
        <v>402.7</v>
      </c>
      <c r="DF49">
        <v>23129</v>
      </c>
      <c r="DG49">
        <v>548</v>
      </c>
      <c r="DI49">
        <v>188</v>
      </c>
      <c r="DJ49">
        <v>43.9</v>
      </c>
      <c r="DL49">
        <v>757.7</v>
      </c>
      <c r="DM49">
        <v>37.700000000000003</v>
      </c>
      <c r="DO49">
        <v>289667</v>
      </c>
      <c r="DP49">
        <v>10912.7</v>
      </c>
      <c r="DR49">
        <v>59946.7</v>
      </c>
      <c r="DS49">
        <v>1431.2</v>
      </c>
      <c r="DU49">
        <v>660680.4</v>
      </c>
      <c r="DV49">
        <v>21940.7</v>
      </c>
      <c r="DX49">
        <v>1901.5</v>
      </c>
      <c r="DY49">
        <v>64</v>
      </c>
      <c r="EA49">
        <v>24753.7</v>
      </c>
      <c r="EB49">
        <v>467.7</v>
      </c>
      <c r="ED49">
        <v>90045.1</v>
      </c>
      <c r="EE49">
        <v>948</v>
      </c>
      <c r="EG49">
        <v>22556.1</v>
      </c>
      <c r="EH49">
        <v>175.5</v>
      </c>
      <c r="EJ49">
        <v>260670.3</v>
      </c>
      <c r="EK49">
        <v>6079.7</v>
      </c>
      <c r="EM49">
        <v>2399.3000000000002</v>
      </c>
      <c r="EN49">
        <v>118.2</v>
      </c>
      <c r="EP49">
        <v>58723.5</v>
      </c>
      <c r="EQ49">
        <v>607.79999999999995</v>
      </c>
      <c r="ES49">
        <v>122134.39999999999</v>
      </c>
      <c r="ET49">
        <v>1269.8</v>
      </c>
      <c r="EV49">
        <v>2.2000000000000002</v>
      </c>
      <c r="EW49">
        <v>3.8</v>
      </c>
      <c r="EY49">
        <v>273.60000000000002</v>
      </c>
      <c r="EZ49">
        <v>27</v>
      </c>
      <c r="FB49">
        <v>57.3</v>
      </c>
      <c r="FC49">
        <v>21.1</v>
      </c>
      <c r="FE49">
        <v>1485.4</v>
      </c>
      <c r="FF49">
        <v>115</v>
      </c>
      <c r="FH49">
        <v>983.8</v>
      </c>
      <c r="FI49">
        <v>69.900000000000006</v>
      </c>
      <c r="FK49">
        <v>73123.399999999994</v>
      </c>
      <c r="FL49">
        <v>2561.5</v>
      </c>
      <c r="FN49">
        <v>605.9</v>
      </c>
      <c r="FO49">
        <v>63.3</v>
      </c>
      <c r="FQ49">
        <v>16637.400000000001</v>
      </c>
      <c r="FR49">
        <v>433.6</v>
      </c>
    </row>
    <row r="50" spans="1:174" x14ac:dyDescent="0.2">
      <c r="A50" t="s">
        <v>116</v>
      </c>
      <c r="B50">
        <v>11026.5</v>
      </c>
      <c r="C50">
        <v>167.3</v>
      </c>
      <c r="E50">
        <v>739.3</v>
      </c>
      <c r="F50">
        <v>67.900000000000006</v>
      </c>
      <c r="H50">
        <v>126265.4</v>
      </c>
      <c r="I50">
        <v>1410.6</v>
      </c>
      <c r="K50">
        <v>1085416.7</v>
      </c>
      <c r="L50">
        <v>10596.9</v>
      </c>
      <c r="N50">
        <v>1910.8</v>
      </c>
      <c r="O50">
        <v>47.2</v>
      </c>
      <c r="Q50">
        <v>11997.8</v>
      </c>
      <c r="R50">
        <v>409.8</v>
      </c>
      <c r="T50">
        <v>1452.1</v>
      </c>
      <c r="U50">
        <v>119.2</v>
      </c>
      <c r="W50">
        <v>1665.8</v>
      </c>
      <c r="X50">
        <v>100.9</v>
      </c>
      <c r="Z50">
        <v>5117.8999999999996</v>
      </c>
      <c r="AA50">
        <v>184.9</v>
      </c>
      <c r="AC50">
        <v>3766.2</v>
      </c>
      <c r="AD50">
        <v>102.9</v>
      </c>
      <c r="AF50" s="27">
        <v>3518962</v>
      </c>
      <c r="AG50">
        <v>58767.6</v>
      </c>
      <c r="AI50" s="28">
        <v>1393918.3</v>
      </c>
      <c r="AJ50">
        <v>11102.3</v>
      </c>
      <c r="AL50">
        <v>3574216.5</v>
      </c>
      <c r="AM50">
        <v>19806.7</v>
      </c>
      <c r="AO50">
        <v>12147.1</v>
      </c>
      <c r="AP50">
        <v>276.89999999999998</v>
      </c>
      <c r="AR50">
        <v>55783</v>
      </c>
      <c r="AS50">
        <v>124.8</v>
      </c>
      <c r="AU50">
        <v>75925.600000000006</v>
      </c>
      <c r="AV50">
        <v>893.6</v>
      </c>
      <c r="AX50">
        <v>150048</v>
      </c>
      <c r="AY50">
        <v>1430.6</v>
      </c>
      <c r="BA50">
        <v>9862.1</v>
      </c>
      <c r="BB50">
        <v>76.8</v>
      </c>
      <c r="BD50">
        <v>210.4</v>
      </c>
      <c r="BE50">
        <v>20.8</v>
      </c>
      <c r="BG50">
        <v>988.1</v>
      </c>
      <c r="BH50">
        <v>30.8</v>
      </c>
      <c r="BJ50">
        <v>419.8</v>
      </c>
      <c r="BK50">
        <v>49.1</v>
      </c>
      <c r="BM50">
        <v>254.2</v>
      </c>
      <c r="BN50">
        <v>18.899999999999999</v>
      </c>
      <c r="BP50">
        <v>15068.9</v>
      </c>
      <c r="BQ50">
        <v>319.39999999999998</v>
      </c>
      <c r="BS50">
        <v>660868.19999999995</v>
      </c>
      <c r="BT50">
        <v>3228.8</v>
      </c>
      <c r="BV50">
        <v>3363.6</v>
      </c>
      <c r="BW50">
        <v>55.1</v>
      </c>
      <c r="BY50">
        <v>8898.1</v>
      </c>
      <c r="BZ50">
        <v>123.2</v>
      </c>
      <c r="CB50">
        <v>243969.9</v>
      </c>
      <c r="CC50">
        <v>2307.5</v>
      </c>
      <c r="CE50">
        <v>204721</v>
      </c>
      <c r="CF50">
        <v>2302.1999999999998</v>
      </c>
      <c r="CH50">
        <v>510460.8</v>
      </c>
      <c r="CI50">
        <v>3261.9</v>
      </c>
      <c r="CK50">
        <v>237294.9</v>
      </c>
      <c r="CL50">
        <v>2297.4</v>
      </c>
      <c r="CN50">
        <v>1524143.4</v>
      </c>
      <c r="CO50">
        <v>12089.3</v>
      </c>
      <c r="CQ50">
        <v>123070.6</v>
      </c>
      <c r="CR50">
        <v>1111.5999999999999</v>
      </c>
      <c r="CT50">
        <v>240861.6</v>
      </c>
      <c r="CU50">
        <v>909.3</v>
      </c>
      <c r="CW50">
        <v>971068.4</v>
      </c>
      <c r="CX50">
        <v>5215.3</v>
      </c>
      <c r="CZ50">
        <v>21026.799999999999</v>
      </c>
      <c r="DA50">
        <v>96.4</v>
      </c>
      <c r="DC50">
        <v>319719.90000000002</v>
      </c>
      <c r="DD50">
        <v>3734.6</v>
      </c>
      <c r="DF50">
        <v>159883.9</v>
      </c>
      <c r="DG50">
        <v>2589.6</v>
      </c>
      <c r="DI50">
        <v>489.9</v>
      </c>
      <c r="DJ50">
        <v>36.299999999999997</v>
      </c>
      <c r="DL50">
        <v>706.7</v>
      </c>
      <c r="DM50">
        <v>88.6</v>
      </c>
      <c r="DO50">
        <v>138867.1</v>
      </c>
      <c r="DP50">
        <v>2068.4</v>
      </c>
      <c r="DR50">
        <v>96548.9</v>
      </c>
      <c r="DS50">
        <v>1557.7</v>
      </c>
      <c r="DU50">
        <v>1003302.5</v>
      </c>
      <c r="DV50">
        <v>35693.199999999997</v>
      </c>
      <c r="DX50">
        <v>4204.2</v>
      </c>
      <c r="DY50">
        <v>29</v>
      </c>
      <c r="EA50">
        <v>36515.300000000003</v>
      </c>
      <c r="EB50">
        <v>580.79999999999995</v>
      </c>
      <c r="ED50">
        <v>52620.4</v>
      </c>
      <c r="EE50">
        <v>873.7</v>
      </c>
      <c r="EG50">
        <v>528630.5</v>
      </c>
      <c r="EH50">
        <v>6205.7</v>
      </c>
      <c r="EJ50">
        <v>300604.79999999999</v>
      </c>
      <c r="EK50">
        <v>4024.7</v>
      </c>
      <c r="EM50">
        <v>138045</v>
      </c>
      <c r="EN50">
        <v>855.5</v>
      </c>
      <c r="EP50">
        <v>57449.5</v>
      </c>
      <c r="EQ50">
        <v>757.5</v>
      </c>
      <c r="ES50">
        <v>724179</v>
      </c>
      <c r="ET50">
        <v>7183.6</v>
      </c>
      <c r="EV50">
        <v>43.9</v>
      </c>
      <c r="EW50">
        <v>6.3</v>
      </c>
      <c r="EY50">
        <v>52954.400000000001</v>
      </c>
      <c r="EZ50">
        <v>1426.1</v>
      </c>
      <c r="FB50">
        <v>114.3</v>
      </c>
      <c r="FC50">
        <v>9.1999999999999993</v>
      </c>
      <c r="FE50">
        <v>1721.7</v>
      </c>
      <c r="FF50">
        <v>51.5</v>
      </c>
      <c r="FH50">
        <v>838.1</v>
      </c>
      <c r="FI50">
        <v>39.799999999999997</v>
      </c>
      <c r="FK50">
        <v>86314</v>
      </c>
      <c r="FL50">
        <v>497.5</v>
      </c>
      <c r="FN50">
        <v>35168.800000000003</v>
      </c>
      <c r="FO50">
        <v>304.89999999999998</v>
      </c>
      <c r="FQ50">
        <v>16490.400000000001</v>
      </c>
      <c r="FR50">
        <v>276.5</v>
      </c>
    </row>
    <row r="51" spans="1:174" x14ac:dyDescent="0.2">
      <c r="A51" t="s">
        <v>117</v>
      </c>
      <c r="B51">
        <v>12789.8</v>
      </c>
      <c r="C51">
        <v>353.9</v>
      </c>
      <c r="E51">
        <v>754.5</v>
      </c>
      <c r="F51">
        <v>129.4</v>
      </c>
      <c r="H51">
        <v>282135.8</v>
      </c>
      <c r="I51">
        <v>2460</v>
      </c>
      <c r="K51">
        <v>109673</v>
      </c>
      <c r="L51">
        <v>947.8</v>
      </c>
      <c r="N51">
        <v>1713.8</v>
      </c>
      <c r="O51">
        <v>104.5</v>
      </c>
      <c r="Q51">
        <v>9528.2000000000007</v>
      </c>
      <c r="R51">
        <v>141.9</v>
      </c>
      <c r="T51">
        <v>1567.8</v>
      </c>
      <c r="U51">
        <v>60.8</v>
      </c>
      <c r="W51">
        <v>1584.5</v>
      </c>
      <c r="X51">
        <v>153.6</v>
      </c>
      <c r="Z51">
        <v>12386</v>
      </c>
      <c r="AA51">
        <v>199.6</v>
      </c>
      <c r="AC51">
        <v>7041.3</v>
      </c>
      <c r="AD51">
        <v>296.5</v>
      </c>
      <c r="AF51" s="27">
        <v>3667805.9</v>
      </c>
      <c r="AG51">
        <v>35128.5</v>
      </c>
      <c r="AI51" s="28">
        <v>3981885.5</v>
      </c>
      <c r="AJ51">
        <v>36096.1</v>
      </c>
      <c r="AL51">
        <v>7599188.5</v>
      </c>
      <c r="AM51">
        <v>38597.4</v>
      </c>
      <c r="AO51">
        <v>22643.7</v>
      </c>
      <c r="AP51">
        <v>283.2</v>
      </c>
      <c r="AR51">
        <v>77328.3</v>
      </c>
      <c r="AS51">
        <v>1004.8</v>
      </c>
      <c r="AU51">
        <v>7469</v>
      </c>
      <c r="AV51">
        <v>176.6</v>
      </c>
      <c r="AX51">
        <v>6398.8</v>
      </c>
      <c r="AY51">
        <v>222.2</v>
      </c>
      <c r="BA51">
        <v>685.6</v>
      </c>
      <c r="BB51">
        <v>36.5</v>
      </c>
      <c r="BD51">
        <v>188.5</v>
      </c>
      <c r="BE51">
        <v>63.3</v>
      </c>
      <c r="BG51">
        <v>392.8</v>
      </c>
      <c r="BH51">
        <v>9.5</v>
      </c>
      <c r="BJ51">
        <v>279.2</v>
      </c>
      <c r="BK51">
        <v>69.599999999999994</v>
      </c>
      <c r="BM51">
        <v>195.8</v>
      </c>
      <c r="BN51">
        <v>36.1</v>
      </c>
      <c r="BP51">
        <v>2747.3</v>
      </c>
      <c r="BQ51">
        <v>84.7</v>
      </c>
      <c r="BS51">
        <v>663707.80000000005</v>
      </c>
      <c r="BT51">
        <v>5846.1</v>
      </c>
      <c r="BV51">
        <v>3428.3</v>
      </c>
      <c r="BW51">
        <v>187.4</v>
      </c>
      <c r="BY51">
        <v>15458.1</v>
      </c>
      <c r="BZ51">
        <v>261.5</v>
      </c>
      <c r="CB51">
        <v>480368.7</v>
      </c>
      <c r="CC51">
        <v>5436.7</v>
      </c>
      <c r="CE51">
        <v>405633.9</v>
      </c>
      <c r="CF51">
        <v>3377.2</v>
      </c>
      <c r="CH51">
        <v>1028939.3</v>
      </c>
      <c r="CI51">
        <v>18207.7</v>
      </c>
      <c r="CK51">
        <v>295784</v>
      </c>
      <c r="CL51">
        <v>1893.5</v>
      </c>
      <c r="CN51">
        <v>4443777.0999999996</v>
      </c>
      <c r="CO51">
        <v>62508.1</v>
      </c>
      <c r="CQ51">
        <v>103472.4</v>
      </c>
      <c r="CR51">
        <v>2123.1</v>
      </c>
      <c r="CT51">
        <v>239527.8</v>
      </c>
      <c r="CU51">
        <v>9370.7000000000007</v>
      </c>
      <c r="CW51">
        <v>1211027.6000000001</v>
      </c>
      <c r="CX51">
        <v>9364.7999999999993</v>
      </c>
      <c r="CZ51">
        <v>196684.7</v>
      </c>
      <c r="DA51">
        <v>3628.9</v>
      </c>
      <c r="DC51">
        <v>275296.7</v>
      </c>
      <c r="DD51">
        <v>5368.6</v>
      </c>
      <c r="DF51">
        <v>63249.599999999999</v>
      </c>
      <c r="DG51">
        <v>1816.5</v>
      </c>
      <c r="DI51">
        <v>791.1</v>
      </c>
      <c r="DJ51">
        <v>7</v>
      </c>
      <c r="DL51">
        <v>490</v>
      </c>
      <c r="DM51">
        <v>75.099999999999994</v>
      </c>
      <c r="DO51">
        <v>69032.600000000006</v>
      </c>
      <c r="DP51">
        <v>898.3</v>
      </c>
      <c r="DR51">
        <v>71631.199999999997</v>
      </c>
      <c r="DS51">
        <v>359.9</v>
      </c>
      <c r="DU51">
        <v>594918.19999999995</v>
      </c>
      <c r="DV51">
        <v>5174.3999999999996</v>
      </c>
      <c r="DX51">
        <v>4326.5</v>
      </c>
      <c r="DY51">
        <v>204.9</v>
      </c>
      <c r="EA51">
        <v>31041.5</v>
      </c>
      <c r="EB51">
        <v>439.2</v>
      </c>
      <c r="ED51">
        <v>77828.7</v>
      </c>
      <c r="EE51">
        <v>436.1</v>
      </c>
      <c r="EG51">
        <v>1023423.1</v>
      </c>
      <c r="EH51">
        <v>4839.8999999999996</v>
      </c>
      <c r="EJ51">
        <v>349315.3</v>
      </c>
      <c r="EK51">
        <v>452.9</v>
      </c>
      <c r="EM51">
        <v>427497.7</v>
      </c>
      <c r="EN51">
        <v>2553.8000000000002</v>
      </c>
      <c r="EP51">
        <v>58982.6</v>
      </c>
      <c r="EQ51">
        <v>941.9</v>
      </c>
      <c r="ES51">
        <v>2062539.3</v>
      </c>
      <c r="ET51">
        <v>8905.2999999999993</v>
      </c>
      <c r="EV51">
        <v>60</v>
      </c>
      <c r="EW51">
        <v>10.4</v>
      </c>
      <c r="EY51">
        <v>153923.20000000001</v>
      </c>
      <c r="EZ51">
        <v>784</v>
      </c>
      <c r="FB51">
        <v>175.8</v>
      </c>
      <c r="FC51">
        <v>16.600000000000001</v>
      </c>
      <c r="FE51">
        <v>2107.6</v>
      </c>
      <c r="FF51">
        <v>125.1</v>
      </c>
      <c r="FH51">
        <v>872</v>
      </c>
      <c r="FI51">
        <v>38.1</v>
      </c>
      <c r="FK51">
        <v>102246.9</v>
      </c>
      <c r="FL51">
        <v>1831.6</v>
      </c>
      <c r="FN51">
        <v>111208.4</v>
      </c>
      <c r="FO51">
        <v>1974.3</v>
      </c>
      <c r="FQ51">
        <v>16155.4</v>
      </c>
      <c r="FR51">
        <v>217</v>
      </c>
    </row>
    <row r="52" spans="1:174" x14ac:dyDescent="0.2">
      <c r="A52" t="s">
        <v>118</v>
      </c>
      <c r="B52">
        <v>17137.7</v>
      </c>
      <c r="C52">
        <v>300</v>
      </c>
      <c r="E52">
        <v>743.4</v>
      </c>
      <c r="F52">
        <v>96.1</v>
      </c>
      <c r="H52">
        <v>688550.8</v>
      </c>
      <c r="I52">
        <v>1688.2</v>
      </c>
      <c r="K52">
        <v>172520.5</v>
      </c>
      <c r="L52">
        <v>2261.4</v>
      </c>
      <c r="N52">
        <v>10670.7</v>
      </c>
      <c r="O52">
        <v>443.3</v>
      </c>
      <c r="Q52">
        <v>12568.6</v>
      </c>
      <c r="R52">
        <v>152</v>
      </c>
      <c r="T52">
        <v>1757.6</v>
      </c>
      <c r="U52">
        <v>168.5</v>
      </c>
      <c r="W52">
        <v>1802.4</v>
      </c>
      <c r="X52">
        <v>131.69999999999999</v>
      </c>
      <c r="Z52">
        <v>27802.1</v>
      </c>
      <c r="AA52">
        <v>64.2</v>
      </c>
      <c r="AC52">
        <v>18037.2</v>
      </c>
      <c r="AD52">
        <v>302.5</v>
      </c>
      <c r="AF52" s="27">
        <v>5087043.2</v>
      </c>
      <c r="AG52">
        <v>9123.1</v>
      </c>
      <c r="AI52" s="28">
        <v>4306639.9000000004</v>
      </c>
      <c r="AJ52">
        <v>28879.3</v>
      </c>
      <c r="AL52">
        <v>19094210.600000001</v>
      </c>
      <c r="AM52">
        <v>119399.1</v>
      </c>
      <c r="AO52">
        <v>52026.400000000001</v>
      </c>
      <c r="AP52">
        <v>858</v>
      </c>
      <c r="AR52">
        <v>153372.1</v>
      </c>
      <c r="AS52">
        <v>2619.9</v>
      </c>
      <c r="AU52">
        <v>13245.9</v>
      </c>
      <c r="AV52">
        <v>213.3</v>
      </c>
      <c r="AX52">
        <v>8316.1</v>
      </c>
      <c r="AY52">
        <v>206.6</v>
      </c>
      <c r="BA52">
        <v>779.5</v>
      </c>
      <c r="BB52">
        <v>45.8</v>
      </c>
      <c r="BD52">
        <v>282.3</v>
      </c>
      <c r="BE52">
        <v>50.8</v>
      </c>
      <c r="BG52">
        <v>483.4</v>
      </c>
      <c r="BH52">
        <v>11.8</v>
      </c>
      <c r="BJ52">
        <v>334.4</v>
      </c>
      <c r="BK52">
        <v>20.5</v>
      </c>
      <c r="BM52">
        <v>310.39999999999998</v>
      </c>
      <c r="BN52">
        <v>52.4</v>
      </c>
      <c r="BP52">
        <v>9293.5</v>
      </c>
      <c r="BQ52">
        <v>431.3</v>
      </c>
      <c r="BS52">
        <v>673017.6</v>
      </c>
      <c r="BT52">
        <v>3882</v>
      </c>
      <c r="BV52">
        <v>3235.3</v>
      </c>
      <c r="BW52">
        <v>138.5</v>
      </c>
      <c r="BY52">
        <v>27317.4</v>
      </c>
      <c r="BZ52">
        <v>183.3</v>
      </c>
      <c r="CB52">
        <v>1250164.2</v>
      </c>
      <c r="CC52">
        <v>13358</v>
      </c>
      <c r="CE52">
        <v>1041526.2</v>
      </c>
      <c r="CF52">
        <v>13874.9</v>
      </c>
      <c r="CH52">
        <v>2710164</v>
      </c>
      <c r="CI52">
        <v>5044.8</v>
      </c>
      <c r="CK52">
        <v>805880.8</v>
      </c>
      <c r="CL52">
        <v>3172</v>
      </c>
      <c r="CN52">
        <v>7749526.7999999998</v>
      </c>
      <c r="CO52">
        <v>145374.39999999999</v>
      </c>
      <c r="CQ52">
        <v>176619</v>
      </c>
      <c r="CR52">
        <v>5573</v>
      </c>
      <c r="CT52">
        <v>358228</v>
      </c>
      <c r="CU52">
        <v>14511</v>
      </c>
      <c r="CW52">
        <v>2159585.2000000002</v>
      </c>
      <c r="CX52">
        <v>45309.3</v>
      </c>
      <c r="CZ52">
        <v>91459.4</v>
      </c>
      <c r="DA52">
        <v>3588.5</v>
      </c>
      <c r="DC52">
        <v>616727</v>
      </c>
      <c r="DD52">
        <v>13047.7</v>
      </c>
      <c r="DF52">
        <v>96843.9</v>
      </c>
      <c r="DG52">
        <v>1718.1</v>
      </c>
      <c r="DI52">
        <v>1466.7</v>
      </c>
      <c r="DJ52">
        <v>161.19999999999999</v>
      </c>
      <c r="DL52">
        <v>641.9</v>
      </c>
      <c r="DM52">
        <v>68.400000000000006</v>
      </c>
      <c r="DO52">
        <v>38627.300000000003</v>
      </c>
      <c r="DP52">
        <v>868.6</v>
      </c>
      <c r="DR52">
        <v>122047.9</v>
      </c>
      <c r="DS52">
        <v>1449.8</v>
      </c>
      <c r="DU52">
        <v>564747</v>
      </c>
      <c r="DV52">
        <v>14886</v>
      </c>
      <c r="DX52">
        <v>9037.7000000000007</v>
      </c>
      <c r="DY52">
        <v>501.9</v>
      </c>
      <c r="EA52">
        <v>19631.400000000001</v>
      </c>
      <c r="EB52">
        <v>558</v>
      </c>
      <c r="ED52">
        <v>187560.3</v>
      </c>
      <c r="EE52">
        <v>2028.5</v>
      </c>
      <c r="EG52">
        <v>3005178.1</v>
      </c>
      <c r="EH52">
        <v>73132.800000000003</v>
      </c>
      <c r="EJ52">
        <v>486431.6</v>
      </c>
      <c r="EK52">
        <v>5455</v>
      </c>
      <c r="EM52">
        <v>474393.5</v>
      </c>
      <c r="EN52">
        <v>16065.1</v>
      </c>
      <c r="EP52">
        <v>56558.5</v>
      </c>
      <c r="EQ52">
        <v>783.3</v>
      </c>
      <c r="ES52">
        <v>4090447.2</v>
      </c>
      <c r="ET52">
        <v>33546.1</v>
      </c>
      <c r="EV52">
        <v>136.1</v>
      </c>
      <c r="EW52">
        <v>21.2</v>
      </c>
      <c r="EY52">
        <v>576551.9</v>
      </c>
      <c r="EZ52">
        <v>8336.9</v>
      </c>
      <c r="FB52">
        <v>416.9</v>
      </c>
      <c r="FC52">
        <v>33.4</v>
      </c>
      <c r="FE52">
        <v>3704.5</v>
      </c>
      <c r="FF52">
        <v>223.4</v>
      </c>
      <c r="FH52">
        <v>819.1</v>
      </c>
      <c r="FI52">
        <v>22.1</v>
      </c>
      <c r="FK52">
        <v>135115.9</v>
      </c>
      <c r="FL52">
        <v>1163.5</v>
      </c>
      <c r="FN52">
        <v>119531.1</v>
      </c>
      <c r="FO52">
        <v>1643.5</v>
      </c>
      <c r="FQ52">
        <v>15659.1</v>
      </c>
      <c r="FR52">
        <v>166.6</v>
      </c>
    </row>
    <row r="53" spans="1:174" x14ac:dyDescent="0.2">
      <c r="A53" t="s">
        <v>119</v>
      </c>
      <c r="B53">
        <v>13196.8</v>
      </c>
      <c r="C53">
        <v>133.1</v>
      </c>
      <c r="E53">
        <v>832.6</v>
      </c>
      <c r="F53">
        <v>59.1</v>
      </c>
      <c r="H53">
        <v>608665.9</v>
      </c>
      <c r="I53">
        <v>2669.1</v>
      </c>
      <c r="K53">
        <v>83557.3</v>
      </c>
      <c r="L53">
        <v>215.2</v>
      </c>
      <c r="N53">
        <v>1530.2</v>
      </c>
      <c r="O53">
        <v>144.6</v>
      </c>
      <c r="Q53">
        <v>12322.3</v>
      </c>
      <c r="R53">
        <v>147.19999999999999</v>
      </c>
      <c r="T53">
        <v>1612.6</v>
      </c>
      <c r="U53">
        <v>75.099999999999994</v>
      </c>
      <c r="W53">
        <v>1663.8</v>
      </c>
      <c r="X53">
        <v>33.1</v>
      </c>
      <c r="Z53">
        <v>48227.3</v>
      </c>
      <c r="AA53">
        <v>598.20000000000005</v>
      </c>
      <c r="AC53">
        <v>16310.8</v>
      </c>
      <c r="AD53">
        <v>54.3</v>
      </c>
      <c r="AF53" s="27">
        <v>3188120.7</v>
      </c>
      <c r="AG53">
        <v>34827.4</v>
      </c>
      <c r="AI53" s="28">
        <v>1239067.2</v>
      </c>
      <c r="AJ53">
        <v>5111.3</v>
      </c>
      <c r="AL53">
        <v>1046002.2</v>
      </c>
      <c r="AM53">
        <v>4072.4</v>
      </c>
      <c r="AO53">
        <v>43749.7</v>
      </c>
      <c r="AP53">
        <v>582.5</v>
      </c>
      <c r="AR53">
        <v>60849.2</v>
      </c>
      <c r="AS53">
        <v>530.6</v>
      </c>
      <c r="AU53">
        <v>2524.1</v>
      </c>
      <c r="AV53">
        <v>324.7</v>
      </c>
      <c r="AX53">
        <v>3880.9</v>
      </c>
      <c r="AY53">
        <v>107.2</v>
      </c>
      <c r="BA53">
        <v>503.2</v>
      </c>
      <c r="BB53">
        <v>61.5</v>
      </c>
      <c r="BD53">
        <v>335.5</v>
      </c>
      <c r="BE53">
        <v>61.2</v>
      </c>
      <c r="BG53">
        <v>378.2</v>
      </c>
      <c r="BH53">
        <v>21.9</v>
      </c>
      <c r="BJ53">
        <v>249</v>
      </c>
      <c r="BK53">
        <v>6.5</v>
      </c>
      <c r="BM53">
        <v>176.1</v>
      </c>
      <c r="BN53">
        <v>44.9</v>
      </c>
      <c r="BP53">
        <v>6253.7</v>
      </c>
      <c r="BQ53">
        <v>118.9</v>
      </c>
      <c r="BS53">
        <v>677668.8</v>
      </c>
      <c r="BT53">
        <v>9355</v>
      </c>
      <c r="BV53">
        <v>3451.2</v>
      </c>
      <c r="BW53">
        <v>74.5</v>
      </c>
      <c r="BY53">
        <v>24470.7</v>
      </c>
      <c r="BZ53">
        <v>715.2</v>
      </c>
      <c r="CB53">
        <v>708293.5</v>
      </c>
      <c r="CC53">
        <v>17644.7</v>
      </c>
      <c r="CE53">
        <v>595976.19999999995</v>
      </c>
      <c r="CF53">
        <v>7637.2</v>
      </c>
      <c r="CH53">
        <v>1490574.3</v>
      </c>
      <c r="CI53">
        <v>10392.799999999999</v>
      </c>
      <c r="CK53">
        <v>745195.2</v>
      </c>
      <c r="CL53">
        <v>9508.7000000000007</v>
      </c>
      <c r="CN53">
        <v>3975439.4</v>
      </c>
      <c r="CO53">
        <v>73634.3</v>
      </c>
      <c r="CQ53">
        <v>47290.6</v>
      </c>
      <c r="CR53">
        <v>146.6</v>
      </c>
      <c r="CT53">
        <v>278134.59999999998</v>
      </c>
      <c r="CU53">
        <v>2381.1</v>
      </c>
      <c r="CW53">
        <v>977483.9</v>
      </c>
      <c r="CX53">
        <v>6391.8</v>
      </c>
      <c r="CZ53">
        <v>51602.8</v>
      </c>
      <c r="DA53">
        <v>636.29999999999995</v>
      </c>
      <c r="DC53">
        <v>397003.7</v>
      </c>
      <c r="DD53">
        <v>1782.8</v>
      </c>
      <c r="DF53">
        <v>28367.5</v>
      </c>
      <c r="DG53">
        <v>142.80000000000001</v>
      </c>
      <c r="DI53">
        <v>160.19999999999999</v>
      </c>
      <c r="DJ53">
        <v>8.5</v>
      </c>
      <c r="DL53">
        <v>519.5</v>
      </c>
      <c r="DM53">
        <v>39.200000000000003</v>
      </c>
      <c r="DO53">
        <v>223892.6</v>
      </c>
      <c r="DP53">
        <v>2354.8000000000002</v>
      </c>
      <c r="DR53">
        <v>62058.6</v>
      </c>
      <c r="DS53">
        <v>923</v>
      </c>
      <c r="DU53">
        <v>421177.9</v>
      </c>
      <c r="DV53">
        <v>7679.5</v>
      </c>
      <c r="DX53">
        <v>2096.1999999999998</v>
      </c>
      <c r="DY53">
        <v>96.3</v>
      </c>
      <c r="EA53">
        <v>16734</v>
      </c>
      <c r="EB53">
        <v>555.6</v>
      </c>
      <c r="ED53">
        <v>88582.6</v>
      </c>
      <c r="EE53">
        <v>2250.5</v>
      </c>
      <c r="EG53">
        <v>894049.6</v>
      </c>
      <c r="EH53">
        <v>23573.200000000001</v>
      </c>
      <c r="EJ53">
        <v>288693.59999999998</v>
      </c>
      <c r="EK53">
        <v>7031.4</v>
      </c>
      <c r="EM53">
        <v>123313.7</v>
      </c>
      <c r="EN53">
        <v>1211.5999999999999</v>
      </c>
      <c r="EP53">
        <v>61190.2</v>
      </c>
      <c r="EQ53">
        <v>703.8</v>
      </c>
      <c r="ES53">
        <v>4042599.5</v>
      </c>
      <c r="ET53">
        <v>57606.9</v>
      </c>
      <c r="EV53">
        <v>81.7</v>
      </c>
      <c r="EW53">
        <v>31.7</v>
      </c>
      <c r="EY53">
        <v>2874.9</v>
      </c>
      <c r="EZ53">
        <v>212.5</v>
      </c>
      <c r="FB53">
        <v>113.7</v>
      </c>
      <c r="FC53">
        <v>24.1</v>
      </c>
      <c r="FE53">
        <v>1749.7</v>
      </c>
      <c r="FF53">
        <v>17.8</v>
      </c>
      <c r="FH53">
        <v>912.1</v>
      </c>
      <c r="FI53">
        <v>50.4</v>
      </c>
      <c r="FK53">
        <v>79820.7</v>
      </c>
      <c r="FL53">
        <v>950.6</v>
      </c>
      <c r="FN53">
        <v>31425.1</v>
      </c>
      <c r="FO53">
        <v>650.4</v>
      </c>
      <c r="FQ53">
        <v>16506.3</v>
      </c>
      <c r="FR53">
        <v>583</v>
      </c>
    </row>
    <row r="54" spans="1:174" x14ac:dyDescent="0.2">
      <c r="A54" t="s">
        <v>120</v>
      </c>
      <c r="B54">
        <v>24195.3</v>
      </c>
      <c r="C54">
        <v>434.6</v>
      </c>
      <c r="E54">
        <v>692</v>
      </c>
      <c r="F54">
        <v>104.5</v>
      </c>
      <c r="H54">
        <v>1223983.7</v>
      </c>
      <c r="I54">
        <v>8012</v>
      </c>
      <c r="K54">
        <v>184729.8</v>
      </c>
      <c r="L54">
        <v>460.6</v>
      </c>
      <c r="N54">
        <v>1781.5</v>
      </c>
      <c r="O54">
        <v>73.400000000000006</v>
      </c>
      <c r="Q54">
        <v>14298.7</v>
      </c>
      <c r="R54">
        <v>31.7</v>
      </c>
      <c r="T54">
        <v>1871.3</v>
      </c>
      <c r="U54">
        <v>64.3</v>
      </c>
      <c r="W54">
        <v>1652.3</v>
      </c>
      <c r="X54">
        <v>107.2</v>
      </c>
      <c r="Z54">
        <v>90337.1</v>
      </c>
      <c r="AA54">
        <v>206.2</v>
      </c>
      <c r="AC54">
        <v>32829</v>
      </c>
      <c r="AD54">
        <v>455.6</v>
      </c>
      <c r="AF54" s="27">
        <v>7187984.4000000004</v>
      </c>
      <c r="AG54">
        <v>35026.699999999997</v>
      </c>
      <c r="AI54" s="28">
        <v>8184271.2000000002</v>
      </c>
      <c r="AJ54">
        <v>46921.3</v>
      </c>
      <c r="AL54">
        <v>37219710.899999999</v>
      </c>
      <c r="AM54">
        <v>185490</v>
      </c>
      <c r="AO54">
        <v>87210.4</v>
      </c>
      <c r="AP54">
        <v>657.7</v>
      </c>
      <c r="AR54">
        <v>203129.8</v>
      </c>
      <c r="AS54">
        <v>2922.7</v>
      </c>
      <c r="AU54">
        <v>19500.599999999999</v>
      </c>
      <c r="AV54">
        <v>352.4</v>
      </c>
      <c r="AX54">
        <v>5154.3999999999996</v>
      </c>
      <c r="AY54">
        <v>278.3</v>
      </c>
      <c r="BA54">
        <v>478.2</v>
      </c>
      <c r="BB54">
        <v>87.2</v>
      </c>
      <c r="BD54">
        <v>277.10000000000002</v>
      </c>
      <c r="BE54">
        <v>29.5</v>
      </c>
      <c r="BG54">
        <v>402.1</v>
      </c>
      <c r="BH54">
        <v>29</v>
      </c>
      <c r="BJ54">
        <v>258.3</v>
      </c>
      <c r="BK54">
        <v>62.5</v>
      </c>
      <c r="BM54">
        <v>277.10000000000002</v>
      </c>
      <c r="BN54">
        <v>42.2</v>
      </c>
      <c r="BP54">
        <v>4362.7</v>
      </c>
      <c r="BQ54">
        <v>165.3</v>
      </c>
      <c r="BS54">
        <v>673298.7</v>
      </c>
      <c r="BT54">
        <v>5740.8</v>
      </c>
      <c r="BV54">
        <v>2832.7</v>
      </c>
      <c r="BW54">
        <v>73.5</v>
      </c>
      <c r="BY54">
        <v>47455.9</v>
      </c>
      <c r="BZ54">
        <v>386.7</v>
      </c>
      <c r="CB54">
        <v>2178617.2999999998</v>
      </c>
      <c r="CC54">
        <v>33454.1</v>
      </c>
      <c r="CE54">
        <v>1840648.7</v>
      </c>
      <c r="CF54">
        <v>12531.4</v>
      </c>
      <c r="CH54">
        <v>4099561.1</v>
      </c>
      <c r="CI54">
        <v>24010.2</v>
      </c>
      <c r="CK54">
        <v>1177301.5</v>
      </c>
      <c r="CL54">
        <v>10787.6</v>
      </c>
      <c r="CN54">
        <v>13957800.800000001</v>
      </c>
      <c r="CO54">
        <v>51388.3</v>
      </c>
      <c r="CQ54">
        <v>104691.5</v>
      </c>
      <c r="CR54">
        <v>159.69999999999999</v>
      </c>
      <c r="CT54">
        <v>186667.1</v>
      </c>
      <c r="CU54">
        <v>4150.8</v>
      </c>
      <c r="CW54">
        <v>2934471.7</v>
      </c>
      <c r="CX54">
        <v>36602</v>
      </c>
      <c r="CZ54">
        <v>181522</v>
      </c>
      <c r="DA54">
        <v>2611.5</v>
      </c>
      <c r="DC54">
        <v>1116425.5</v>
      </c>
      <c r="DD54">
        <v>1504.9</v>
      </c>
      <c r="DF54">
        <v>50069.599999999999</v>
      </c>
      <c r="DG54">
        <v>550.9</v>
      </c>
      <c r="DI54">
        <v>833.7</v>
      </c>
      <c r="DJ54">
        <v>36.4</v>
      </c>
      <c r="DL54">
        <v>494.5</v>
      </c>
      <c r="DM54">
        <v>34.700000000000003</v>
      </c>
      <c r="DO54">
        <v>14427</v>
      </c>
      <c r="DP54">
        <v>211.5</v>
      </c>
      <c r="DR54">
        <v>58855.6</v>
      </c>
      <c r="DS54">
        <v>1433</v>
      </c>
      <c r="DU54">
        <v>787606.4</v>
      </c>
      <c r="DV54">
        <v>23435.5</v>
      </c>
      <c r="DX54">
        <v>15132</v>
      </c>
      <c r="DY54">
        <v>590.4</v>
      </c>
      <c r="EA54">
        <v>10799.6</v>
      </c>
      <c r="EB54">
        <v>316.3</v>
      </c>
      <c r="ED54">
        <v>227594.7</v>
      </c>
      <c r="EE54">
        <v>9144.7999999999993</v>
      </c>
      <c r="EG54">
        <v>5314199.8</v>
      </c>
      <c r="EH54">
        <v>205012.5</v>
      </c>
      <c r="EJ54">
        <v>746391.3</v>
      </c>
      <c r="EK54">
        <v>4649.2</v>
      </c>
      <c r="EM54">
        <v>926427</v>
      </c>
      <c r="EN54">
        <v>46479.9</v>
      </c>
      <c r="EP54">
        <v>61311.9</v>
      </c>
      <c r="EQ54">
        <v>2379</v>
      </c>
      <c r="ES54">
        <v>7025881.4000000004</v>
      </c>
      <c r="ET54">
        <v>49107.199999999997</v>
      </c>
      <c r="EV54">
        <v>282.3</v>
      </c>
      <c r="EW54">
        <v>37.5</v>
      </c>
      <c r="EY54">
        <v>806814</v>
      </c>
      <c r="EZ54">
        <v>10037.1</v>
      </c>
      <c r="FB54">
        <v>565.4</v>
      </c>
      <c r="FC54">
        <v>49.4</v>
      </c>
      <c r="FE54">
        <v>2787.8</v>
      </c>
      <c r="FF54">
        <v>91.7</v>
      </c>
      <c r="FH54">
        <v>843</v>
      </c>
      <c r="FI54">
        <v>27.9</v>
      </c>
      <c r="FK54">
        <v>200992.9</v>
      </c>
      <c r="FL54">
        <v>1899.8</v>
      </c>
      <c r="FN54">
        <v>227231.4</v>
      </c>
      <c r="FO54">
        <v>3688.3</v>
      </c>
      <c r="FQ54">
        <v>16555.7</v>
      </c>
      <c r="FR54">
        <v>299.7</v>
      </c>
    </row>
    <row r="55" spans="1:174" x14ac:dyDescent="0.2">
      <c r="A55" t="s">
        <v>121</v>
      </c>
      <c r="B55">
        <v>33238.5</v>
      </c>
      <c r="C55">
        <v>597</v>
      </c>
      <c r="E55">
        <v>775.4</v>
      </c>
      <c r="F55">
        <v>22.1</v>
      </c>
      <c r="H55">
        <v>1844288.3</v>
      </c>
      <c r="I55">
        <v>7053.5</v>
      </c>
      <c r="K55">
        <v>110493.3</v>
      </c>
      <c r="L55">
        <v>922.1</v>
      </c>
      <c r="N55">
        <v>1451</v>
      </c>
      <c r="O55">
        <v>79</v>
      </c>
      <c r="Q55">
        <v>18050.599999999999</v>
      </c>
      <c r="R55">
        <v>481</v>
      </c>
      <c r="T55">
        <v>1948.4</v>
      </c>
      <c r="U55">
        <v>61</v>
      </c>
      <c r="W55">
        <v>1627.3</v>
      </c>
      <c r="X55">
        <v>128.9</v>
      </c>
      <c r="Z55">
        <v>48731</v>
      </c>
      <c r="AA55">
        <v>717.8</v>
      </c>
      <c r="AC55">
        <v>50280.1</v>
      </c>
      <c r="AD55">
        <v>252.5</v>
      </c>
      <c r="AF55" s="27">
        <v>10082550.699999999</v>
      </c>
      <c r="AG55">
        <v>86916.7</v>
      </c>
      <c r="AI55" s="28">
        <v>12123557.4</v>
      </c>
      <c r="AJ55">
        <v>29182.2</v>
      </c>
      <c r="AL55">
        <v>57340308.200000003</v>
      </c>
      <c r="AM55">
        <v>102956.3</v>
      </c>
      <c r="AO55">
        <v>127074.3</v>
      </c>
      <c r="AP55">
        <v>641.20000000000005</v>
      </c>
      <c r="AR55">
        <v>221846.3</v>
      </c>
      <c r="AS55">
        <v>1630.4</v>
      </c>
      <c r="AU55">
        <v>26280.799999999999</v>
      </c>
      <c r="AV55">
        <v>260.60000000000002</v>
      </c>
      <c r="AX55">
        <v>2522</v>
      </c>
      <c r="AY55">
        <v>35.1</v>
      </c>
      <c r="BA55">
        <v>342.7</v>
      </c>
      <c r="BB55">
        <v>62.9</v>
      </c>
      <c r="BD55">
        <v>359.5</v>
      </c>
      <c r="BE55">
        <v>65</v>
      </c>
      <c r="BG55">
        <v>353.2</v>
      </c>
      <c r="BH55">
        <v>28.7</v>
      </c>
      <c r="BJ55">
        <v>217.7</v>
      </c>
      <c r="BK55">
        <v>14.8</v>
      </c>
      <c r="BM55">
        <v>303.10000000000002</v>
      </c>
      <c r="BN55">
        <v>21.7</v>
      </c>
      <c r="BP55">
        <v>27336</v>
      </c>
      <c r="BQ55">
        <v>361.5</v>
      </c>
      <c r="BS55">
        <v>665859.4</v>
      </c>
      <c r="BT55">
        <v>10463.6</v>
      </c>
      <c r="BV55">
        <v>2825.5</v>
      </c>
      <c r="BW55">
        <v>120.3</v>
      </c>
      <c r="BY55">
        <v>49597.4</v>
      </c>
      <c r="BZ55">
        <v>415.1</v>
      </c>
      <c r="CB55">
        <v>3395778.7</v>
      </c>
      <c r="CC55">
        <v>69966.2</v>
      </c>
      <c r="CE55">
        <v>2875776.3</v>
      </c>
      <c r="CF55">
        <v>83153.899999999994</v>
      </c>
      <c r="CH55">
        <v>6198659</v>
      </c>
      <c r="CI55">
        <v>106948.6</v>
      </c>
      <c r="CK55">
        <v>1749821</v>
      </c>
      <c r="CL55">
        <v>25970.1</v>
      </c>
      <c r="CN55">
        <v>20062077.800000001</v>
      </c>
      <c r="CO55">
        <v>139374.70000000001</v>
      </c>
      <c r="CQ55">
        <v>73089.8</v>
      </c>
      <c r="CR55">
        <v>538.4</v>
      </c>
      <c r="CT55">
        <v>100934</v>
      </c>
      <c r="CU55">
        <v>1539.4</v>
      </c>
      <c r="CW55">
        <v>4283906.5999999996</v>
      </c>
      <c r="CX55">
        <v>29829.4</v>
      </c>
      <c r="CZ55">
        <v>174698.9</v>
      </c>
      <c r="DA55">
        <v>713.1</v>
      </c>
      <c r="DC55">
        <v>1626743.4</v>
      </c>
      <c r="DD55">
        <v>5029.8999999999996</v>
      </c>
      <c r="DF55">
        <v>48461.4</v>
      </c>
      <c r="DG55">
        <v>493.7</v>
      </c>
      <c r="DI55">
        <v>398.2</v>
      </c>
      <c r="DJ55">
        <v>9.8000000000000007</v>
      </c>
      <c r="DL55">
        <v>393.6</v>
      </c>
      <c r="DM55">
        <v>12.6</v>
      </c>
      <c r="DO55">
        <v>9624.6</v>
      </c>
      <c r="DP55">
        <v>41.3</v>
      </c>
      <c r="DR55">
        <v>90047.5</v>
      </c>
      <c r="DS55">
        <v>1024.5</v>
      </c>
      <c r="DU55">
        <v>807242.2</v>
      </c>
      <c r="DV55">
        <v>10017.5</v>
      </c>
      <c r="DX55">
        <v>23954.1</v>
      </c>
      <c r="DY55">
        <v>337.3</v>
      </c>
      <c r="EA55">
        <v>31737.9</v>
      </c>
      <c r="EB55">
        <v>111</v>
      </c>
      <c r="ED55">
        <v>295682.7</v>
      </c>
      <c r="EE55">
        <v>3109</v>
      </c>
      <c r="EG55">
        <v>8292388.0999999996</v>
      </c>
      <c r="EH55">
        <v>90188.1</v>
      </c>
      <c r="EJ55">
        <v>1025393.5</v>
      </c>
      <c r="EK55">
        <v>9899.1</v>
      </c>
      <c r="EM55">
        <v>1387233.5</v>
      </c>
      <c r="EN55">
        <v>19616.900000000001</v>
      </c>
      <c r="EP55">
        <v>58819.3</v>
      </c>
      <c r="EQ55">
        <v>629.5</v>
      </c>
      <c r="ES55">
        <v>10402733.300000001</v>
      </c>
      <c r="ET55">
        <v>133898.70000000001</v>
      </c>
      <c r="EV55">
        <v>484.7</v>
      </c>
      <c r="EW55">
        <v>70.5</v>
      </c>
      <c r="EY55">
        <v>794882.5</v>
      </c>
      <c r="EZ55">
        <v>9463.9</v>
      </c>
      <c r="FB55">
        <v>737.9</v>
      </c>
      <c r="FC55">
        <v>66.400000000000006</v>
      </c>
      <c r="FE55">
        <v>2953.3</v>
      </c>
      <c r="FF55">
        <v>122.2</v>
      </c>
      <c r="FH55">
        <v>871.4</v>
      </c>
      <c r="FI55">
        <v>73.900000000000006</v>
      </c>
      <c r="FK55">
        <v>283409.40000000002</v>
      </c>
      <c r="FL55">
        <v>6927.3</v>
      </c>
      <c r="FN55">
        <v>336740.2</v>
      </c>
      <c r="FO55">
        <v>3325.2</v>
      </c>
      <c r="FQ55">
        <v>16200.3</v>
      </c>
      <c r="FR55">
        <v>135.69999999999999</v>
      </c>
    </row>
    <row r="56" spans="1:174" x14ac:dyDescent="0.2">
      <c r="A56" t="s">
        <v>122</v>
      </c>
      <c r="B56">
        <v>43462.3</v>
      </c>
      <c r="C56">
        <v>598.70000000000005</v>
      </c>
      <c r="E56">
        <v>772.6</v>
      </c>
      <c r="F56">
        <v>133.5</v>
      </c>
      <c r="H56">
        <v>2797919.7</v>
      </c>
      <c r="I56">
        <v>36969.800000000003</v>
      </c>
      <c r="K56">
        <v>121531.5</v>
      </c>
      <c r="L56">
        <v>1453</v>
      </c>
      <c r="N56">
        <v>1396.8</v>
      </c>
      <c r="O56">
        <v>87.7</v>
      </c>
      <c r="Q56">
        <v>27629.7</v>
      </c>
      <c r="R56">
        <v>505.5</v>
      </c>
      <c r="T56">
        <v>2237.3000000000002</v>
      </c>
      <c r="U56">
        <v>76.400000000000006</v>
      </c>
      <c r="W56">
        <v>1697.1</v>
      </c>
      <c r="X56">
        <v>95.9</v>
      </c>
      <c r="Z56">
        <v>58957.3</v>
      </c>
      <c r="AA56">
        <v>1618.4</v>
      </c>
      <c r="AC56">
        <v>67241.5</v>
      </c>
      <c r="AD56">
        <v>162</v>
      </c>
      <c r="AF56" s="27">
        <v>12988172.699999999</v>
      </c>
      <c r="AG56">
        <v>149245.1</v>
      </c>
      <c r="AI56" s="28">
        <v>16892543.800000001</v>
      </c>
      <c r="AJ56">
        <v>63430.6</v>
      </c>
      <c r="AL56">
        <v>76809939.599999994</v>
      </c>
      <c r="AM56">
        <v>266347.3</v>
      </c>
      <c r="AO56">
        <v>186035.6</v>
      </c>
      <c r="AP56">
        <v>1371.5</v>
      </c>
      <c r="AR56">
        <v>273097.7</v>
      </c>
      <c r="AS56">
        <v>3417.8</v>
      </c>
      <c r="AU56">
        <v>35131.1</v>
      </c>
      <c r="AV56">
        <v>494.4</v>
      </c>
      <c r="AX56">
        <v>4116.6000000000004</v>
      </c>
      <c r="AY56">
        <v>222.2</v>
      </c>
      <c r="BA56">
        <v>426.1</v>
      </c>
      <c r="BB56">
        <v>83.3</v>
      </c>
      <c r="BD56">
        <v>338.6</v>
      </c>
      <c r="BE56">
        <v>25.1</v>
      </c>
      <c r="BG56">
        <v>387.6</v>
      </c>
      <c r="BH56">
        <v>60.9</v>
      </c>
      <c r="BJ56">
        <v>264.60000000000002</v>
      </c>
      <c r="BK56">
        <v>9.5</v>
      </c>
      <c r="BM56">
        <v>274</v>
      </c>
      <c r="BN56">
        <v>55.1</v>
      </c>
      <c r="BP56">
        <v>4854</v>
      </c>
      <c r="BQ56">
        <v>224.2</v>
      </c>
      <c r="BS56">
        <v>671545.8</v>
      </c>
      <c r="BT56">
        <v>2659.2</v>
      </c>
      <c r="BV56">
        <v>2802.5</v>
      </c>
      <c r="BW56">
        <v>66.7</v>
      </c>
      <c r="BY56">
        <v>100742.2</v>
      </c>
      <c r="BZ56">
        <v>2128.4</v>
      </c>
      <c r="CB56">
        <v>4120352.8</v>
      </c>
      <c r="CC56">
        <v>34442.6</v>
      </c>
      <c r="CE56">
        <v>3737218</v>
      </c>
      <c r="CF56">
        <v>34952.5</v>
      </c>
      <c r="CH56">
        <v>8286186.4000000004</v>
      </c>
      <c r="CI56">
        <v>80217.2</v>
      </c>
      <c r="CK56">
        <v>2646205.2999999998</v>
      </c>
      <c r="CL56">
        <v>2871.7</v>
      </c>
      <c r="CN56">
        <v>30639486.699999999</v>
      </c>
      <c r="CO56">
        <v>412562</v>
      </c>
      <c r="CQ56">
        <v>57671.6</v>
      </c>
      <c r="CR56">
        <v>503.3</v>
      </c>
      <c r="CT56">
        <v>146996.5</v>
      </c>
      <c r="CU56">
        <v>4153</v>
      </c>
      <c r="CW56">
        <v>5205715.4000000004</v>
      </c>
      <c r="CX56">
        <v>69654.399999999994</v>
      </c>
      <c r="CZ56">
        <v>324024.8</v>
      </c>
      <c r="DA56">
        <v>3384.4</v>
      </c>
      <c r="DC56">
        <v>2417742.7999999998</v>
      </c>
      <c r="DD56">
        <v>22319.599999999999</v>
      </c>
      <c r="DF56">
        <v>55260.2</v>
      </c>
      <c r="DG56">
        <v>434.2</v>
      </c>
      <c r="DI56">
        <v>390.8</v>
      </c>
      <c r="DJ56">
        <v>40.5</v>
      </c>
      <c r="DL56">
        <v>590</v>
      </c>
      <c r="DM56">
        <v>45.2</v>
      </c>
      <c r="DO56">
        <v>19941.3</v>
      </c>
      <c r="DP56">
        <v>226.6</v>
      </c>
      <c r="DR56">
        <v>79101.3</v>
      </c>
      <c r="DS56">
        <v>1756.1</v>
      </c>
      <c r="DU56">
        <v>657869.80000000005</v>
      </c>
      <c r="DV56">
        <v>5012.5</v>
      </c>
      <c r="DX56">
        <v>28543.3</v>
      </c>
      <c r="DY56">
        <v>414.8</v>
      </c>
      <c r="EA56">
        <v>6878.1</v>
      </c>
      <c r="EB56">
        <v>73.900000000000006</v>
      </c>
      <c r="ED56">
        <v>446805</v>
      </c>
      <c r="EE56">
        <v>6817.7</v>
      </c>
      <c r="EG56">
        <v>10102720.199999999</v>
      </c>
      <c r="EH56">
        <v>170316</v>
      </c>
      <c r="EJ56">
        <v>1335217.5</v>
      </c>
      <c r="EK56">
        <v>12240.9</v>
      </c>
      <c r="EM56">
        <v>1986163</v>
      </c>
      <c r="EN56">
        <v>55698</v>
      </c>
      <c r="EP56">
        <v>59444</v>
      </c>
      <c r="EQ56">
        <v>2263.8000000000002</v>
      </c>
      <c r="ES56">
        <v>15921682.300000001</v>
      </c>
      <c r="ET56">
        <v>37762.300000000003</v>
      </c>
      <c r="EV56">
        <v>619.9</v>
      </c>
      <c r="EW56">
        <v>9.1999999999999993</v>
      </c>
      <c r="EY56">
        <v>534027.69999999995</v>
      </c>
      <c r="EZ56">
        <v>3889.9</v>
      </c>
      <c r="FB56">
        <v>968.3</v>
      </c>
      <c r="FC56">
        <v>35.700000000000003</v>
      </c>
      <c r="FE56">
        <v>4308.8</v>
      </c>
      <c r="FF56">
        <v>220.3</v>
      </c>
      <c r="FH56">
        <v>800.8</v>
      </c>
      <c r="FI56">
        <v>19.7</v>
      </c>
      <c r="FK56">
        <v>356855.6</v>
      </c>
      <c r="FL56">
        <v>5100.8999999999996</v>
      </c>
      <c r="FN56">
        <v>483106.1</v>
      </c>
      <c r="FO56">
        <v>1974.6</v>
      </c>
      <c r="FQ56">
        <v>16076.7</v>
      </c>
      <c r="FR56">
        <v>261.2</v>
      </c>
    </row>
    <row r="57" spans="1:174" x14ac:dyDescent="0.2">
      <c r="A57" t="s">
        <v>123</v>
      </c>
      <c r="B57">
        <v>36001.800000000003</v>
      </c>
      <c r="C57">
        <v>177.2</v>
      </c>
      <c r="E57">
        <v>772.6</v>
      </c>
      <c r="F57">
        <v>48.7</v>
      </c>
      <c r="H57">
        <v>2251945.7000000002</v>
      </c>
      <c r="I57">
        <v>3664.3</v>
      </c>
      <c r="K57">
        <v>101875.6</v>
      </c>
      <c r="L57">
        <v>446.6</v>
      </c>
      <c r="N57">
        <v>8106.4</v>
      </c>
      <c r="O57">
        <v>265.60000000000002</v>
      </c>
      <c r="Q57">
        <v>21310.7</v>
      </c>
      <c r="R57">
        <v>167.5</v>
      </c>
      <c r="T57">
        <v>2316.6</v>
      </c>
      <c r="U57">
        <v>26</v>
      </c>
      <c r="W57">
        <v>1911.9</v>
      </c>
      <c r="X57">
        <v>73.099999999999994</v>
      </c>
      <c r="Z57">
        <v>70040.399999999994</v>
      </c>
      <c r="AA57">
        <v>541.29999999999995</v>
      </c>
      <c r="AC57">
        <v>57460.800000000003</v>
      </c>
      <c r="AD57">
        <v>673</v>
      </c>
      <c r="AF57" s="27">
        <v>11492661.800000001</v>
      </c>
      <c r="AG57">
        <v>86625.9</v>
      </c>
      <c r="AI57" s="28">
        <v>19659391.600000001</v>
      </c>
      <c r="AJ57">
        <v>300943.2</v>
      </c>
      <c r="AL57">
        <v>82028853.299999997</v>
      </c>
      <c r="AM57">
        <v>1527006.6</v>
      </c>
      <c r="AO57">
        <v>152013.1</v>
      </c>
      <c r="AP57">
        <v>1488.9</v>
      </c>
      <c r="AR57">
        <v>222150.39999999999</v>
      </c>
      <c r="AS57">
        <v>945.7</v>
      </c>
      <c r="AU57">
        <v>35056.5</v>
      </c>
      <c r="AV57">
        <v>432.7</v>
      </c>
      <c r="AX57">
        <v>3047.6</v>
      </c>
      <c r="AY57">
        <v>98.1</v>
      </c>
      <c r="BA57">
        <v>265.60000000000002</v>
      </c>
      <c r="BB57">
        <v>56.5</v>
      </c>
      <c r="BD57">
        <v>364.6</v>
      </c>
      <c r="BE57">
        <v>37.299999999999997</v>
      </c>
      <c r="BG57">
        <v>384.4</v>
      </c>
      <c r="BH57">
        <v>60.3</v>
      </c>
      <c r="BJ57">
        <v>235.4</v>
      </c>
      <c r="BK57">
        <v>3.6</v>
      </c>
      <c r="BM57">
        <v>265.60000000000002</v>
      </c>
      <c r="BN57">
        <v>14.3</v>
      </c>
      <c r="BP57">
        <v>5118.8999999999996</v>
      </c>
      <c r="BQ57">
        <v>182.9</v>
      </c>
      <c r="BS57">
        <v>676844.8</v>
      </c>
      <c r="BT57">
        <v>9817</v>
      </c>
      <c r="BV57">
        <v>2857.8</v>
      </c>
      <c r="BW57">
        <v>173.9</v>
      </c>
      <c r="BY57">
        <v>65803.3</v>
      </c>
      <c r="BZ57">
        <v>499.8</v>
      </c>
      <c r="CB57">
        <v>3682677.1</v>
      </c>
      <c r="CC57">
        <v>100167.8</v>
      </c>
      <c r="CE57">
        <v>3260021</v>
      </c>
      <c r="CF57">
        <v>35428.400000000001</v>
      </c>
      <c r="CH57">
        <v>7078800.4000000004</v>
      </c>
      <c r="CI57">
        <v>43755.4</v>
      </c>
      <c r="CK57">
        <v>2670940</v>
      </c>
      <c r="CL57">
        <v>22095</v>
      </c>
      <c r="CN57">
        <v>29018362.100000001</v>
      </c>
      <c r="CO57">
        <v>272216.8</v>
      </c>
      <c r="CQ57">
        <v>61276.4</v>
      </c>
      <c r="CR57">
        <v>2480.8000000000002</v>
      </c>
      <c r="CT57">
        <v>156971.70000000001</v>
      </c>
      <c r="CU57">
        <v>1016.2</v>
      </c>
      <c r="CW57">
        <v>4654220.9000000004</v>
      </c>
      <c r="CX57">
        <v>13995.8</v>
      </c>
      <c r="CZ57">
        <v>726225.2</v>
      </c>
      <c r="DA57">
        <v>4097.3999999999996</v>
      </c>
      <c r="DC57">
        <v>1892823.7</v>
      </c>
      <c r="DD57">
        <v>5799</v>
      </c>
      <c r="DF57">
        <v>38570.300000000003</v>
      </c>
      <c r="DG57">
        <v>804.4</v>
      </c>
      <c r="DI57">
        <v>405.6</v>
      </c>
      <c r="DJ57">
        <v>16.7</v>
      </c>
      <c r="DL57">
        <v>514</v>
      </c>
      <c r="DM57">
        <v>44.7</v>
      </c>
      <c r="DO57">
        <v>13107</v>
      </c>
      <c r="DP57">
        <v>126.2</v>
      </c>
      <c r="DR57">
        <v>49559.1</v>
      </c>
      <c r="DS57">
        <v>350.8</v>
      </c>
      <c r="DU57">
        <v>422609.1</v>
      </c>
      <c r="DV57">
        <v>4487.8999999999996</v>
      </c>
      <c r="DX57">
        <v>27788.5</v>
      </c>
      <c r="DY57">
        <v>190.6</v>
      </c>
      <c r="EA57">
        <v>4916.3</v>
      </c>
      <c r="EB57">
        <v>178.6</v>
      </c>
      <c r="ED57">
        <v>375713.6</v>
      </c>
      <c r="EE57">
        <v>6560.2</v>
      </c>
      <c r="EG57">
        <v>7788729.4000000004</v>
      </c>
      <c r="EH57">
        <v>77574.7</v>
      </c>
      <c r="EJ57">
        <v>1203907.6000000001</v>
      </c>
      <c r="EK57">
        <v>11967.1</v>
      </c>
      <c r="EM57">
        <v>2364983.1</v>
      </c>
      <c r="EN57">
        <v>17492</v>
      </c>
      <c r="EP57">
        <v>60377.5</v>
      </c>
      <c r="EQ57">
        <v>1099</v>
      </c>
      <c r="ES57">
        <v>15376564.6</v>
      </c>
      <c r="ET57">
        <v>221103.6</v>
      </c>
      <c r="EV57">
        <v>389.6</v>
      </c>
      <c r="EW57">
        <v>46.4</v>
      </c>
      <c r="EY57">
        <v>267501.8</v>
      </c>
      <c r="EZ57">
        <v>5339.6</v>
      </c>
      <c r="FB57">
        <v>780.2</v>
      </c>
      <c r="FC57">
        <v>66.400000000000006</v>
      </c>
      <c r="FE57">
        <v>3222.7</v>
      </c>
      <c r="FF57">
        <v>109</v>
      </c>
      <c r="FH57">
        <v>868.1</v>
      </c>
      <c r="FI57">
        <v>58.1</v>
      </c>
      <c r="FK57">
        <v>325901.59999999998</v>
      </c>
      <c r="FL57">
        <v>1735.3</v>
      </c>
      <c r="FN57">
        <v>578342.19999999995</v>
      </c>
      <c r="FO57">
        <v>28979</v>
      </c>
      <c r="FQ57">
        <v>15817.3</v>
      </c>
      <c r="FR57">
        <v>912.5</v>
      </c>
    </row>
    <row r="58" spans="1:174" x14ac:dyDescent="0.2">
      <c r="A58" t="s">
        <v>124</v>
      </c>
      <c r="B58">
        <v>39558.800000000003</v>
      </c>
      <c r="C58">
        <v>181.8</v>
      </c>
      <c r="E58">
        <v>805.5</v>
      </c>
      <c r="F58">
        <v>74.5</v>
      </c>
      <c r="H58">
        <v>2273223</v>
      </c>
      <c r="I58">
        <v>11925.8</v>
      </c>
      <c r="K58">
        <v>128164.8</v>
      </c>
      <c r="L58">
        <v>1876.7</v>
      </c>
      <c r="N58">
        <v>1330.1</v>
      </c>
      <c r="O58">
        <v>158.4</v>
      </c>
      <c r="Q58">
        <v>21080.9</v>
      </c>
      <c r="R58">
        <v>407.3</v>
      </c>
      <c r="T58">
        <v>2017.2</v>
      </c>
      <c r="U58">
        <v>18.899999999999999</v>
      </c>
      <c r="W58">
        <v>1764.9</v>
      </c>
      <c r="X58">
        <v>176.6</v>
      </c>
      <c r="Z58">
        <v>56348.5</v>
      </c>
      <c r="AA58">
        <v>680.3</v>
      </c>
      <c r="AC58">
        <v>72619.199999999997</v>
      </c>
      <c r="AD58">
        <v>1059.4000000000001</v>
      </c>
      <c r="AF58" s="27">
        <v>13444022.5</v>
      </c>
      <c r="AG58">
        <v>75915.7</v>
      </c>
      <c r="AI58" s="28">
        <v>17316691.699999999</v>
      </c>
      <c r="AJ58">
        <v>115912.1</v>
      </c>
      <c r="AL58">
        <v>87153192.5</v>
      </c>
      <c r="AM58">
        <v>382471.2</v>
      </c>
      <c r="AO58">
        <v>151594.6</v>
      </c>
      <c r="AP58">
        <v>1880.3</v>
      </c>
      <c r="AR58">
        <v>264314.59999999998</v>
      </c>
      <c r="AS58">
        <v>1050.8</v>
      </c>
      <c r="AU58">
        <v>39597.599999999999</v>
      </c>
      <c r="AV58">
        <v>158.19999999999999</v>
      </c>
      <c r="AX58">
        <v>6919.2</v>
      </c>
      <c r="AY58">
        <v>386.8</v>
      </c>
      <c r="BA58">
        <v>686.7</v>
      </c>
      <c r="BB58">
        <v>36.1</v>
      </c>
      <c r="BD58">
        <v>418.9</v>
      </c>
      <c r="BE58">
        <v>80.400000000000006</v>
      </c>
      <c r="BG58">
        <v>360.5</v>
      </c>
      <c r="BH58">
        <v>47.9</v>
      </c>
      <c r="BJ58">
        <v>230.2</v>
      </c>
      <c r="BK58">
        <v>37.799999999999997</v>
      </c>
      <c r="BM58">
        <v>327.10000000000002</v>
      </c>
      <c r="BN58">
        <v>38.6</v>
      </c>
      <c r="BP58">
        <v>7259.4</v>
      </c>
      <c r="BQ58">
        <v>295.10000000000002</v>
      </c>
      <c r="BS58">
        <v>677987.4</v>
      </c>
      <c r="BT58">
        <v>14129.7</v>
      </c>
      <c r="BV58">
        <v>2720.1</v>
      </c>
      <c r="BW58">
        <v>201.2</v>
      </c>
      <c r="BY58">
        <v>76165.899999999994</v>
      </c>
      <c r="BZ58">
        <v>1412.4</v>
      </c>
      <c r="CB58">
        <v>3973630.1</v>
      </c>
      <c r="CC58">
        <v>59701</v>
      </c>
      <c r="CE58">
        <v>3693388.7</v>
      </c>
      <c r="CF58">
        <v>88010.3</v>
      </c>
      <c r="CH58">
        <v>8165567.0999999996</v>
      </c>
      <c r="CI58">
        <v>69356.100000000006</v>
      </c>
      <c r="CK58">
        <v>2859879</v>
      </c>
      <c r="CL58">
        <v>23019.1</v>
      </c>
      <c r="CN58">
        <v>27409470.899999999</v>
      </c>
      <c r="CO58">
        <v>229551.3</v>
      </c>
      <c r="CQ58">
        <v>106837.1</v>
      </c>
      <c r="CR58">
        <v>1592.8</v>
      </c>
      <c r="CT58">
        <v>244231.8</v>
      </c>
      <c r="CU58">
        <v>5371.2</v>
      </c>
      <c r="CW58">
        <v>6508147</v>
      </c>
      <c r="CX58">
        <v>85785.7</v>
      </c>
      <c r="CZ58">
        <v>206293.3</v>
      </c>
      <c r="DA58">
        <v>3326.6</v>
      </c>
      <c r="DC58">
        <v>1703765.9</v>
      </c>
      <c r="DD58">
        <v>31677.4</v>
      </c>
      <c r="DF58">
        <v>79316</v>
      </c>
      <c r="DG58">
        <v>1360.7</v>
      </c>
      <c r="DI58">
        <v>509.3</v>
      </c>
      <c r="DJ58">
        <v>18.5</v>
      </c>
      <c r="DL58">
        <v>536.20000000000005</v>
      </c>
      <c r="DM58">
        <v>77.400000000000006</v>
      </c>
      <c r="DO58">
        <v>14643.1</v>
      </c>
      <c r="DP58">
        <v>317.2</v>
      </c>
      <c r="DR58">
        <v>161445.1</v>
      </c>
      <c r="DS58">
        <v>464.6</v>
      </c>
      <c r="DU58">
        <v>1013120.7</v>
      </c>
      <c r="DV58">
        <v>7449</v>
      </c>
      <c r="DX58">
        <v>40231.300000000003</v>
      </c>
      <c r="DY58">
        <v>164.2</v>
      </c>
      <c r="EA58">
        <v>5924</v>
      </c>
      <c r="EB58">
        <v>188</v>
      </c>
      <c r="ED58">
        <v>318367.59999999998</v>
      </c>
      <c r="EE58">
        <v>1652.7</v>
      </c>
      <c r="EG58">
        <v>9474939.5</v>
      </c>
      <c r="EH58">
        <v>54758.8</v>
      </c>
      <c r="EJ58">
        <v>1460812.4</v>
      </c>
      <c r="EK58">
        <v>15023.8</v>
      </c>
      <c r="EM58">
        <v>2071196.4</v>
      </c>
      <c r="EN58">
        <v>25757.9</v>
      </c>
      <c r="EP58">
        <v>61007.1</v>
      </c>
      <c r="EQ58">
        <v>454</v>
      </c>
      <c r="ES58">
        <v>13717908.4</v>
      </c>
      <c r="ET58">
        <v>184764.6</v>
      </c>
      <c r="EV58">
        <v>315.10000000000002</v>
      </c>
      <c r="EW58">
        <v>12</v>
      </c>
      <c r="EY58">
        <v>296528.8</v>
      </c>
      <c r="EZ58">
        <v>4788</v>
      </c>
      <c r="FB58">
        <v>877.6</v>
      </c>
      <c r="FC58">
        <v>32</v>
      </c>
      <c r="FE58">
        <v>3265.1</v>
      </c>
      <c r="FF58">
        <v>192.6</v>
      </c>
      <c r="FH58">
        <v>849.2</v>
      </c>
      <c r="FI58">
        <v>48.7</v>
      </c>
      <c r="FK58">
        <v>394945.5</v>
      </c>
      <c r="FL58">
        <v>5121.2</v>
      </c>
      <c r="FN58">
        <v>497998.5</v>
      </c>
      <c r="FO58">
        <v>17858.599999999999</v>
      </c>
      <c r="FQ58">
        <v>16428.099999999999</v>
      </c>
      <c r="FR58">
        <v>341.2</v>
      </c>
    </row>
    <row r="59" spans="1:174" x14ac:dyDescent="0.2">
      <c r="A59" t="s">
        <v>125</v>
      </c>
      <c r="B59">
        <v>157754.4</v>
      </c>
      <c r="C59">
        <v>983.9</v>
      </c>
      <c r="E59">
        <v>35721.199999999997</v>
      </c>
      <c r="F59">
        <v>227.7</v>
      </c>
      <c r="H59">
        <v>947082.2</v>
      </c>
      <c r="I59">
        <v>7469.2</v>
      </c>
      <c r="K59">
        <v>1263021.7</v>
      </c>
      <c r="L59">
        <v>5766.7</v>
      </c>
      <c r="N59">
        <v>1470038.2</v>
      </c>
      <c r="O59">
        <v>2749.7</v>
      </c>
      <c r="Q59">
        <v>179318.6</v>
      </c>
      <c r="R59">
        <v>1295.4000000000001</v>
      </c>
      <c r="T59">
        <v>1369064.8</v>
      </c>
      <c r="U59">
        <v>27677.5</v>
      </c>
      <c r="W59">
        <v>280942.5</v>
      </c>
      <c r="X59">
        <v>4236</v>
      </c>
      <c r="Z59">
        <v>559554</v>
      </c>
      <c r="AA59">
        <v>12749.5</v>
      </c>
      <c r="AC59">
        <v>80591.399999999994</v>
      </c>
      <c r="AD59">
        <v>1065.8</v>
      </c>
      <c r="AF59" s="27">
        <v>3049255</v>
      </c>
      <c r="AG59">
        <v>28347.7</v>
      </c>
      <c r="AI59" s="28">
        <v>323228</v>
      </c>
      <c r="AJ59">
        <v>3647.4</v>
      </c>
      <c r="AL59">
        <v>319893</v>
      </c>
      <c r="AM59">
        <v>4949.2</v>
      </c>
      <c r="AO59">
        <v>1574262.7</v>
      </c>
      <c r="AP59">
        <v>13772.7</v>
      </c>
      <c r="AR59">
        <v>651537.19999999995</v>
      </c>
      <c r="AS59">
        <v>2547.1</v>
      </c>
      <c r="AU59">
        <v>1747209.5</v>
      </c>
      <c r="AV59">
        <v>17503.8</v>
      </c>
      <c r="AX59">
        <v>1597748.7</v>
      </c>
      <c r="AY59">
        <v>11252.4</v>
      </c>
      <c r="BA59">
        <v>331228.5</v>
      </c>
      <c r="BB59">
        <v>1181</v>
      </c>
      <c r="BD59">
        <v>285365.7</v>
      </c>
      <c r="BE59">
        <v>4869.7</v>
      </c>
      <c r="BG59">
        <v>274668.7</v>
      </c>
      <c r="BH59">
        <v>2058.9</v>
      </c>
      <c r="BJ59">
        <v>1929415.3</v>
      </c>
      <c r="BK59">
        <v>15137.6</v>
      </c>
      <c r="BM59">
        <v>514187.3</v>
      </c>
      <c r="BN59">
        <v>5394.2</v>
      </c>
      <c r="BP59">
        <v>388444.3</v>
      </c>
      <c r="BQ59">
        <v>836.7</v>
      </c>
      <c r="BS59">
        <v>684323.3</v>
      </c>
      <c r="BT59">
        <v>4109.8999999999996</v>
      </c>
      <c r="BV59">
        <v>307297.09999999998</v>
      </c>
      <c r="BW59">
        <v>2182.6</v>
      </c>
      <c r="BY59">
        <v>1264135.3</v>
      </c>
      <c r="BZ59">
        <v>10914.8</v>
      </c>
      <c r="CB59">
        <v>426955.7</v>
      </c>
      <c r="CC59">
        <v>7046.5</v>
      </c>
      <c r="CE59">
        <v>360242</v>
      </c>
      <c r="CF59">
        <v>3799.8</v>
      </c>
      <c r="CH59">
        <v>897657.8</v>
      </c>
      <c r="CI59">
        <v>13353.8</v>
      </c>
      <c r="CK59">
        <v>1363125</v>
      </c>
      <c r="CL59">
        <v>12630.7</v>
      </c>
      <c r="CN59">
        <v>433815.6</v>
      </c>
      <c r="CO59">
        <v>7815.9</v>
      </c>
      <c r="CQ59">
        <v>255636.6</v>
      </c>
      <c r="CR59">
        <v>2678.5</v>
      </c>
      <c r="CT59">
        <v>198851.6</v>
      </c>
      <c r="CU59">
        <v>5076.8</v>
      </c>
      <c r="CW59">
        <v>744524.1</v>
      </c>
      <c r="CX59">
        <v>8282.4</v>
      </c>
      <c r="CZ59">
        <v>3741.6</v>
      </c>
      <c r="DA59">
        <v>140.30000000000001</v>
      </c>
      <c r="DC59">
        <v>112265.9</v>
      </c>
      <c r="DD59">
        <v>585.20000000000005</v>
      </c>
      <c r="DF59">
        <v>23352.7</v>
      </c>
      <c r="DG59">
        <v>530.29999999999995</v>
      </c>
      <c r="DI59">
        <v>5611.5</v>
      </c>
      <c r="DJ59">
        <v>376.2</v>
      </c>
      <c r="DL59">
        <v>78263.899999999994</v>
      </c>
      <c r="DM59">
        <v>2650.3</v>
      </c>
      <c r="DO59">
        <v>70280.600000000006</v>
      </c>
      <c r="DP59">
        <v>3418.3</v>
      </c>
      <c r="DR59">
        <v>90548.800000000003</v>
      </c>
      <c r="DS59">
        <v>441.3</v>
      </c>
      <c r="DU59">
        <v>287365.3</v>
      </c>
      <c r="DV59">
        <v>7660.9</v>
      </c>
      <c r="DX59">
        <v>83901.3</v>
      </c>
      <c r="DY59">
        <v>1757.1</v>
      </c>
      <c r="EA59">
        <v>18880.7</v>
      </c>
      <c r="EB59">
        <v>1101.7</v>
      </c>
      <c r="ED59">
        <v>39939.800000000003</v>
      </c>
      <c r="EE59">
        <v>490.1</v>
      </c>
      <c r="EG59">
        <v>22623.1</v>
      </c>
      <c r="EH59">
        <v>1502.5</v>
      </c>
      <c r="EJ59">
        <v>268764.3</v>
      </c>
      <c r="EK59">
        <v>5668.1</v>
      </c>
      <c r="EM59">
        <v>34311.4</v>
      </c>
      <c r="EN59">
        <v>920.6</v>
      </c>
      <c r="EP59">
        <v>61393.2</v>
      </c>
      <c r="EQ59">
        <v>1069.0999999999999</v>
      </c>
      <c r="ES59">
        <v>203996.6</v>
      </c>
      <c r="ET59">
        <v>866.6</v>
      </c>
      <c r="EV59">
        <v>3257.2</v>
      </c>
      <c r="EW59">
        <v>128.4</v>
      </c>
      <c r="EY59">
        <v>3104.9</v>
      </c>
      <c r="EZ59">
        <v>70</v>
      </c>
      <c r="FB59">
        <v>389.1</v>
      </c>
      <c r="FC59">
        <v>56.1</v>
      </c>
      <c r="FE59">
        <v>3131.8</v>
      </c>
      <c r="FF59">
        <v>270</v>
      </c>
      <c r="FH59">
        <v>928.8</v>
      </c>
      <c r="FI59">
        <v>24.3</v>
      </c>
      <c r="FK59">
        <v>72642.7</v>
      </c>
      <c r="FL59">
        <v>1292</v>
      </c>
      <c r="FN59">
        <v>8761.7999999999993</v>
      </c>
      <c r="FO59">
        <v>282.2</v>
      </c>
      <c r="FQ59">
        <v>15901.8</v>
      </c>
      <c r="FR59">
        <v>112.2</v>
      </c>
    </row>
    <row r="60" spans="1:174" x14ac:dyDescent="0.2">
      <c r="A60" t="s">
        <v>126</v>
      </c>
      <c r="B60">
        <v>10353.700000000001</v>
      </c>
      <c r="C60">
        <v>396.6</v>
      </c>
      <c r="E60">
        <v>783.8</v>
      </c>
      <c r="F60">
        <v>88.8</v>
      </c>
      <c r="H60">
        <v>10384.799999999999</v>
      </c>
      <c r="I60">
        <v>186.5</v>
      </c>
      <c r="K60">
        <v>37361.599999999999</v>
      </c>
      <c r="L60">
        <v>466.2</v>
      </c>
      <c r="N60">
        <v>233.3</v>
      </c>
      <c r="O60">
        <v>57.8</v>
      </c>
      <c r="Q60">
        <v>636.70000000000005</v>
      </c>
      <c r="R60">
        <v>70</v>
      </c>
      <c r="T60">
        <v>1683.5</v>
      </c>
      <c r="U60">
        <v>153</v>
      </c>
      <c r="W60">
        <v>1409.2</v>
      </c>
      <c r="X60">
        <v>178.6</v>
      </c>
      <c r="Z60">
        <v>1476</v>
      </c>
      <c r="AA60">
        <v>52.3</v>
      </c>
      <c r="AC60">
        <v>56.3</v>
      </c>
      <c r="AD60">
        <v>23.6</v>
      </c>
      <c r="AF60" s="27">
        <v>2989613.7</v>
      </c>
      <c r="AG60">
        <v>61184.2</v>
      </c>
      <c r="AI60" s="28">
        <v>3748.5</v>
      </c>
      <c r="AJ60">
        <v>118.4</v>
      </c>
      <c r="AL60">
        <v>6559.4</v>
      </c>
      <c r="AM60">
        <v>269</v>
      </c>
      <c r="AO60">
        <v>2650.3</v>
      </c>
      <c r="AP60">
        <v>81.8</v>
      </c>
      <c r="AR60">
        <v>6870.3</v>
      </c>
      <c r="AS60">
        <v>166.9</v>
      </c>
      <c r="AU60">
        <v>350</v>
      </c>
      <c r="AV60">
        <v>22.5</v>
      </c>
      <c r="AX60">
        <v>253.2</v>
      </c>
      <c r="AY60">
        <v>3.1</v>
      </c>
      <c r="BA60">
        <v>141.69999999999999</v>
      </c>
      <c r="BB60">
        <v>23.9</v>
      </c>
      <c r="BD60">
        <v>387.6</v>
      </c>
      <c r="BE60">
        <v>60.9</v>
      </c>
      <c r="BG60">
        <v>346.9</v>
      </c>
      <c r="BH60">
        <v>20.5</v>
      </c>
      <c r="BJ60">
        <v>354.2</v>
      </c>
      <c r="BK60">
        <v>16</v>
      </c>
      <c r="BM60">
        <v>155.19999999999999</v>
      </c>
      <c r="BN60">
        <v>33.4</v>
      </c>
      <c r="BP60">
        <v>1813.9</v>
      </c>
      <c r="BQ60">
        <v>92.1</v>
      </c>
      <c r="BS60">
        <v>658168.30000000005</v>
      </c>
      <c r="BT60">
        <v>20625.2</v>
      </c>
      <c r="BV60">
        <v>3269.7</v>
      </c>
      <c r="BW60">
        <v>203.8</v>
      </c>
      <c r="BY60">
        <v>453.2</v>
      </c>
      <c r="BZ60">
        <v>72.099999999999994</v>
      </c>
      <c r="CB60">
        <v>567.9</v>
      </c>
      <c r="CC60">
        <v>49.5</v>
      </c>
      <c r="CE60">
        <v>605.4</v>
      </c>
      <c r="CF60">
        <v>59.2</v>
      </c>
      <c r="CH60">
        <v>1427</v>
      </c>
      <c r="CI60">
        <v>36.299999999999997</v>
      </c>
      <c r="CK60">
        <v>1148.5999999999999</v>
      </c>
      <c r="CL60">
        <v>86.3</v>
      </c>
      <c r="CN60">
        <v>46449.9</v>
      </c>
      <c r="CO60">
        <v>878.1</v>
      </c>
      <c r="CQ60">
        <v>10421.200000000001</v>
      </c>
      <c r="CR60">
        <v>322.8</v>
      </c>
      <c r="CT60">
        <v>13742.5</v>
      </c>
      <c r="CU60">
        <v>154.69999999999999</v>
      </c>
      <c r="CW60">
        <v>506233.3</v>
      </c>
      <c r="CX60">
        <v>9966.2999999999993</v>
      </c>
      <c r="CZ60">
        <v>570.5</v>
      </c>
      <c r="DA60">
        <v>37.1</v>
      </c>
      <c r="DC60">
        <v>26061.1</v>
      </c>
      <c r="DD60">
        <v>723.1</v>
      </c>
      <c r="DF60">
        <v>8142</v>
      </c>
      <c r="DG60">
        <v>118.1</v>
      </c>
      <c r="DI60">
        <v>25</v>
      </c>
      <c r="DJ60">
        <v>14.7</v>
      </c>
      <c r="DL60">
        <v>185.2</v>
      </c>
      <c r="DM60">
        <v>11.2</v>
      </c>
      <c r="DO60">
        <v>712.3</v>
      </c>
      <c r="DP60">
        <v>35.799999999999997</v>
      </c>
      <c r="DR60">
        <v>147.19999999999999</v>
      </c>
      <c r="DS60">
        <v>38.6</v>
      </c>
      <c r="DU60">
        <v>2634.8</v>
      </c>
      <c r="DV60">
        <v>109.4</v>
      </c>
      <c r="DX60">
        <v>51.9</v>
      </c>
      <c r="DY60">
        <v>11.6</v>
      </c>
      <c r="EA60">
        <v>152.80000000000001</v>
      </c>
      <c r="EB60">
        <v>22.2</v>
      </c>
      <c r="ED60">
        <v>342.6</v>
      </c>
      <c r="EE60">
        <v>51.3</v>
      </c>
      <c r="EG60">
        <v>739.2</v>
      </c>
      <c r="EH60">
        <v>126</v>
      </c>
      <c r="EJ60">
        <v>265915.40000000002</v>
      </c>
      <c r="EK60">
        <v>2308.9</v>
      </c>
      <c r="EM60">
        <v>427.3</v>
      </c>
      <c r="EN60">
        <v>35.299999999999997</v>
      </c>
      <c r="EP60">
        <v>60525.7</v>
      </c>
      <c r="EQ60">
        <v>397.7</v>
      </c>
      <c r="ES60">
        <v>26773.5</v>
      </c>
      <c r="ET60">
        <v>650.4</v>
      </c>
      <c r="EV60">
        <v>0.6</v>
      </c>
      <c r="EW60">
        <v>1</v>
      </c>
      <c r="EY60">
        <v>58.6</v>
      </c>
      <c r="EZ60">
        <v>4.8</v>
      </c>
      <c r="FB60">
        <v>45.9</v>
      </c>
      <c r="FC60">
        <v>17.600000000000001</v>
      </c>
      <c r="FE60">
        <v>1299.9000000000001</v>
      </c>
      <c r="FF60">
        <v>78.099999999999994</v>
      </c>
      <c r="FH60">
        <v>934.3</v>
      </c>
      <c r="FI60">
        <v>27.5</v>
      </c>
      <c r="FK60">
        <v>72773.2</v>
      </c>
      <c r="FL60">
        <v>372</v>
      </c>
      <c r="FN60">
        <v>85.6</v>
      </c>
      <c r="FO60">
        <v>2.5</v>
      </c>
      <c r="FQ60">
        <v>15736.7</v>
      </c>
      <c r="FR60">
        <v>80.900000000000006</v>
      </c>
    </row>
    <row r="61" spans="1:174" x14ac:dyDescent="0.2">
      <c r="A61" t="s">
        <v>127</v>
      </c>
      <c r="B61">
        <v>29386.2</v>
      </c>
      <c r="C61">
        <v>473.6</v>
      </c>
      <c r="E61">
        <v>704.5</v>
      </c>
      <c r="F61">
        <v>14.4</v>
      </c>
      <c r="H61">
        <v>1510528</v>
      </c>
      <c r="I61">
        <v>4624.8</v>
      </c>
      <c r="K61">
        <v>101242.5</v>
      </c>
      <c r="L61">
        <v>823.1</v>
      </c>
      <c r="N61">
        <v>1180.9000000000001</v>
      </c>
      <c r="O61">
        <v>73.8</v>
      </c>
      <c r="Q61">
        <v>13876.1</v>
      </c>
      <c r="R61">
        <v>493.1</v>
      </c>
      <c r="T61">
        <v>1851.4</v>
      </c>
      <c r="U61">
        <v>48.6</v>
      </c>
      <c r="W61">
        <v>1562.6</v>
      </c>
      <c r="X61">
        <v>97</v>
      </c>
      <c r="Z61">
        <v>34562.199999999997</v>
      </c>
      <c r="AA61">
        <v>221.5</v>
      </c>
      <c r="AC61">
        <v>48001.2</v>
      </c>
      <c r="AD61">
        <v>464.9</v>
      </c>
      <c r="AF61" s="27">
        <v>11075761.9</v>
      </c>
      <c r="AG61">
        <v>19465.900000000001</v>
      </c>
      <c r="AI61" s="28">
        <v>11888473.1</v>
      </c>
      <c r="AJ61">
        <v>93634.8</v>
      </c>
      <c r="AL61">
        <v>49882151.200000003</v>
      </c>
      <c r="AM61">
        <v>376669.8</v>
      </c>
      <c r="AO61">
        <v>101859.3</v>
      </c>
      <c r="AP61">
        <v>583.6</v>
      </c>
      <c r="AR61">
        <v>149633.79999999999</v>
      </c>
      <c r="AS61">
        <v>1110.7</v>
      </c>
      <c r="AU61">
        <v>22088.400000000001</v>
      </c>
      <c r="AV61">
        <v>311.89999999999998</v>
      </c>
      <c r="AX61">
        <v>3379.3</v>
      </c>
      <c r="AY61">
        <v>90</v>
      </c>
      <c r="BA61">
        <v>523</v>
      </c>
      <c r="BB61">
        <v>87.7</v>
      </c>
      <c r="BD61">
        <v>326.10000000000002</v>
      </c>
      <c r="BE61">
        <v>11</v>
      </c>
      <c r="BG61">
        <v>437.6</v>
      </c>
      <c r="BH61">
        <v>59.4</v>
      </c>
      <c r="BJ61">
        <v>382.4</v>
      </c>
      <c r="BK61">
        <v>80.7</v>
      </c>
      <c r="BM61">
        <v>326.10000000000002</v>
      </c>
      <c r="BN61">
        <v>20.8</v>
      </c>
      <c r="BP61">
        <v>5285.8</v>
      </c>
      <c r="BQ61">
        <v>104.2</v>
      </c>
      <c r="BS61">
        <v>678773.3</v>
      </c>
      <c r="BT61">
        <v>5036.6000000000004</v>
      </c>
      <c r="BV61">
        <v>2517.8000000000002</v>
      </c>
      <c r="BW61">
        <v>195.4</v>
      </c>
      <c r="BY61">
        <v>71012.600000000006</v>
      </c>
      <c r="BZ61">
        <v>613.29999999999995</v>
      </c>
      <c r="CB61">
        <v>3047201</v>
      </c>
      <c r="CC61">
        <v>25635.4</v>
      </c>
      <c r="CE61">
        <v>2570110</v>
      </c>
      <c r="CF61">
        <v>21657.4</v>
      </c>
      <c r="CH61">
        <v>5662259.2000000002</v>
      </c>
      <c r="CI61">
        <v>70153.3</v>
      </c>
      <c r="CK61">
        <v>1745022.3</v>
      </c>
      <c r="CL61">
        <v>6850</v>
      </c>
      <c r="CN61">
        <v>19264845.899999999</v>
      </c>
      <c r="CO61">
        <v>242160.4</v>
      </c>
      <c r="CQ61">
        <v>44959.4</v>
      </c>
      <c r="CR61">
        <v>935.1</v>
      </c>
      <c r="CT61">
        <v>162987.20000000001</v>
      </c>
      <c r="CU61">
        <v>1752.8</v>
      </c>
      <c r="CW61">
        <v>5317016</v>
      </c>
      <c r="CX61">
        <v>40050.9</v>
      </c>
      <c r="CZ61">
        <v>140015.20000000001</v>
      </c>
      <c r="DA61">
        <v>3519.1</v>
      </c>
      <c r="DC61">
        <v>1083425.8</v>
      </c>
      <c r="DD61">
        <v>19190.900000000001</v>
      </c>
      <c r="DF61">
        <v>45593.599999999999</v>
      </c>
      <c r="DG61">
        <v>683.1</v>
      </c>
      <c r="DI61">
        <v>277.8</v>
      </c>
      <c r="DJ61">
        <v>36.299999999999997</v>
      </c>
      <c r="DL61">
        <v>406.5</v>
      </c>
      <c r="DM61">
        <v>37</v>
      </c>
      <c r="DO61">
        <v>10820</v>
      </c>
      <c r="DP61">
        <v>198.4</v>
      </c>
      <c r="DR61">
        <v>43378.400000000001</v>
      </c>
      <c r="DS61">
        <v>312.60000000000002</v>
      </c>
      <c r="DU61">
        <v>339383.5</v>
      </c>
      <c r="DV61">
        <v>2484</v>
      </c>
      <c r="DX61">
        <v>33532.6</v>
      </c>
      <c r="DY61">
        <v>125.5</v>
      </c>
      <c r="EA61">
        <v>8242.9</v>
      </c>
      <c r="EB61">
        <v>90</v>
      </c>
      <c r="ED61">
        <v>201546.8</v>
      </c>
      <c r="EE61">
        <v>752.6</v>
      </c>
      <c r="EG61">
        <v>6739715.7000000002</v>
      </c>
      <c r="EH61">
        <v>39871.699999999997</v>
      </c>
      <c r="EJ61">
        <v>1119853.2</v>
      </c>
      <c r="EK61">
        <v>9390.1</v>
      </c>
      <c r="EM61">
        <v>1335208.6000000001</v>
      </c>
      <c r="EN61">
        <v>26375.7</v>
      </c>
      <c r="EP61">
        <v>60876.1</v>
      </c>
      <c r="EQ61">
        <v>1182.5999999999999</v>
      </c>
      <c r="ES61">
        <v>9483292.3000000007</v>
      </c>
      <c r="ET61">
        <v>55150.5</v>
      </c>
      <c r="EV61">
        <v>207.3</v>
      </c>
      <c r="EW61">
        <v>38.4</v>
      </c>
      <c r="EY61">
        <v>176290.5</v>
      </c>
      <c r="EZ61">
        <v>2077.6</v>
      </c>
      <c r="FB61">
        <v>577.6</v>
      </c>
      <c r="FC61">
        <v>48.6</v>
      </c>
      <c r="FE61">
        <v>3224.2</v>
      </c>
      <c r="FF61">
        <v>195.3</v>
      </c>
      <c r="FH61">
        <v>789.1</v>
      </c>
      <c r="FI61">
        <v>43.4</v>
      </c>
      <c r="FK61">
        <v>303433.59999999998</v>
      </c>
      <c r="FL61">
        <v>3602.6</v>
      </c>
      <c r="FN61">
        <v>327040.90000000002</v>
      </c>
      <c r="FO61">
        <v>1153.8</v>
      </c>
      <c r="FQ61">
        <v>16125</v>
      </c>
      <c r="FR61">
        <v>180.2</v>
      </c>
    </row>
    <row r="62" spans="1:174" x14ac:dyDescent="0.2">
      <c r="A62" t="s">
        <v>128</v>
      </c>
      <c r="B62">
        <v>13141.1</v>
      </c>
      <c r="C62">
        <v>134.80000000000001</v>
      </c>
      <c r="E62">
        <v>737.9</v>
      </c>
      <c r="F62">
        <v>68.7</v>
      </c>
      <c r="H62">
        <v>431494.7</v>
      </c>
      <c r="I62">
        <v>2921.5</v>
      </c>
      <c r="K62">
        <v>61347.1</v>
      </c>
      <c r="L62">
        <v>724.4</v>
      </c>
      <c r="N62">
        <v>1161.0999999999999</v>
      </c>
      <c r="O62">
        <v>73.8</v>
      </c>
      <c r="Q62">
        <v>4074.9</v>
      </c>
      <c r="R62">
        <v>123.8</v>
      </c>
      <c r="T62">
        <v>1346.8</v>
      </c>
      <c r="U62">
        <v>103.5</v>
      </c>
      <c r="W62">
        <v>1335.3</v>
      </c>
      <c r="X62">
        <v>32.700000000000003</v>
      </c>
      <c r="Z62">
        <v>14861.1</v>
      </c>
      <c r="AA62">
        <v>230.9</v>
      </c>
      <c r="AC62">
        <v>12563.4</v>
      </c>
      <c r="AD62">
        <v>84.1</v>
      </c>
      <c r="AF62" s="27">
        <v>4889181.0999999996</v>
      </c>
      <c r="AG62">
        <v>22804.6</v>
      </c>
      <c r="AI62" s="28">
        <v>3833343.1</v>
      </c>
      <c r="AJ62">
        <v>78320.399999999994</v>
      </c>
      <c r="AL62">
        <v>12864791.5</v>
      </c>
      <c r="AM62">
        <v>166196.70000000001</v>
      </c>
      <c r="AO62">
        <v>31769.8</v>
      </c>
      <c r="AP62">
        <v>254</v>
      </c>
      <c r="AR62">
        <v>45508.1</v>
      </c>
      <c r="AS62">
        <v>389.6</v>
      </c>
      <c r="AU62">
        <v>6626.1</v>
      </c>
      <c r="AV62">
        <v>73.599999999999994</v>
      </c>
      <c r="AX62">
        <v>2418.6999999999998</v>
      </c>
      <c r="AY62">
        <v>126.4</v>
      </c>
      <c r="BA62">
        <v>306.3</v>
      </c>
      <c r="BB62">
        <v>29.8</v>
      </c>
      <c r="BD62">
        <v>369.9</v>
      </c>
      <c r="BE62">
        <v>65.900000000000006</v>
      </c>
      <c r="BG62">
        <v>370.9</v>
      </c>
      <c r="BH62">
        <v>21.3</v>
      </c>
      <c r="BJ62">
        <v>256.3</v>
      </c>
      <c r="BK62">
        <v>34.799999999999997</v>
      </c>
      <c r="BM62">
        <v>179.2</v>
      </c>
      <c r="BN62">
        <v>48.1</v>
      </c>
      <c r="BP62">
        <v>2416.6</v>
      </c>
      <c r="BQ62">
        <v>160.69999999999999</v>
      </c>
      <c r="BS62">
        <v>682708.8</v>
      </c>
      <c r="BT62">
        <v>10018.1</v>
      </c>
      <c r="BV62">
        <v>2622.1</v>
      </c>
      <c r="BW62">
        <v>148.1</v>
      </c>
      <c r="BY62">
        <v>40028.6</v>
      </c>
      <c r="BZ62">
        <v>229.9</v>
      </c>
      <c r="CB62">
        <v>780690.2</v>
      </c>
      <c r="CC62">
        <v>4463.5</v>
      </c>
      <c r="CE62">
        <v>649395.80000000005</v>
      </c>
      <c r="CF62">
        <v>4624.5</v>
      </c>
      <c r="CH62">
        <v>1674394.7</v>
      </c>
      <c r="CI62">
        <v>9638.9</v>
      </c>
      <c r="CK62">
        <v>481909.3</v>
      </c>
      <c r="CL62">
        <v>3531.4</v>
      </c>
      <c r="CN62">
        <v>5324669.8</v>
      </c>
      <c r="CO62">
        <v>97529.3</v>
      </c>
      <c r="CQ62">
        <v>46959.1</v>
      </c>
      <c r="CR62">
        <v>1201.5999999999999</v>
      </c>
      <c r="CT62">
        <v>107547.4</v>
      </c>
      <c r="CU62">
        <v>3645.2</v>
      </c>
      <c r="CW62">
        <v>2076770.4</v>
      </c>
      <c r="CX62">
        <v>38213.300000000003</v>
      </c>
      <c r="CZ62">
        <v>44627.9</v>
      </c>
      <c r="DA62">
        <v>1373</v>
      </c>
      <c r="DC62">
        <v>318251</v>
      </c>
      <c r="DD62">
        <v>7653</v>
      </c>
      <c r="DF62">
        <v>28619.200000000001</v>
      </c>
      <c r="DG62">
        <v>740.4</v>
      </c>
      <c r="DI62">
        <v>191.7</v>
      </c>
      <c r="DJ62">
        <v>31.6</v>
      </c>
      <c r="DL62">
        <v>288</v>
      </c>
      <c r="DM62">
        <v>19.7</v>
      </c>
      <c r="DO62">
        <v>10232</v>
      </c>
      <c r="DP62">
        <v>527.29999999999995</v>
      </c>
      <c r="DR62">
        <v>41400.5</v>
      </c>
      <c r="DS62">
        <v>1569.9</v>
      </c>
      <c r="DU62">
        <v>185028.6</v>
      </c>
      <c r="DV62">
        <v>8727.4</v>
      </c>
      <c r="DX62">
        <v>8249.4</v>
      </c>
      <c r="DY62">
        <v>119.6</v>
      </c>
      <c r="EA62">
        <v>1610.4</v>
      </c>
      <c r="EB62">
        <v>60.5</v>
      </c>
      <c r="ED62">
        <v>68206.899999999994</v>
      </c>
      <c r="EE62">
        <v>2069.6</v>
      </c>
      <c r="EG62">
        <v>1648367.4</v>
      </c>
      <c r="EH62">
        <v>48420.5</v>
      </c>
      <c r="EJ62">
        <v>478775.9</v>
      </c>
      <c r="EK62">
        <v>3855.6</v>
      </c>
      <c r="EM62">
        <v>403504.6</v>
      </c>
      <c r="EN62">
        <v>18655.099999999999</v>
      </c>
      <c r="EP62">
        <v>60489.4</v>
      </c>
      <c r="EQ62">
        <v>970.3</v>
      </c>
      <c r="ES62">
        <v>2824385.8</v>
      </c>
      <c r="ET62">
        <v>13881.2</v>
      </c>
      <c r="EV62">
        <v>50</v>
      </c>
      <c r="EW62">
        <v>10.1</v>
      </c>
      <c r="EY62">
        <v>31350.9</v>
      </c>
      <c r="EZ62">
        <v>480.4</v>
      </c>
      <c r="FB62">
        <v>205.5</v>
      </c>
      <c r="FC62">
        <v>29.8</v>
      </c>
      <c r="FE62">
        <v>1914.6</v>
      </c>
      <c r="FF62">
        <v>244</v>
      </c>
      <c r="FH62">
        <v>919.9</v>
      </c>
      <c r="FI62">
        <v>34.4</v>
      </c>
      <c r="FK62">
        <v>134630.79999999999</v>
      </c>
      <c r="FL62">
        <v>1392.3</v>
      </c>
      <c r="FN62">
        <v>104079.2</v>
      </c>
      <c r="FO62">
        <v>1441.3</v>
      </c>
      <c r="FQ62">
        <v>15945.4</v>
      </c>
      <c r="FR62">
        <v>158.30000000000001</v>
      </c>
    </row>
    <row r="63" spans="1:174" x14ac:dyDescent="0.2">
      <c r="A63" t="s">
        <v>129</v>
      </c>
      <c r="B63">
        <v>10249.700000000001</v>
      </c>
      <c r="C63">
        <v>307.7</v>
      </c>
      <c r="E63">
        <v>664.6</v>
      </c>
      <c r="F63">
        <v>107.7</v>
      </c>
      <c r="H63">
        <v>115356.1</v>
      </c>
      <c r="I63">
        <v>831</v>
      </c>
      <c r="K63">
        <v>53412</v>
      </c>
      <c r="L63">
        <v>1278.2</v>
      </c>
      <c r="N63">
        <v>679.4</v>
      </c>
      <c r="O63">
        <v>48.6</v>
      </c>
      <c r="Q63">
        <v>1987.1</v>
      </c>
      <c r="R63">
        <v>115.9</v>
      </c>
      <c r="T63">
        <v>1402</v>
      </c>
      <c r="U63">
        <v>118.6</v>
      </c>
      <c r="W63">
        <v>1389.5</v>
      </c>
      <c r="X63">
        <v>110.2</v>
      </c>
      <c r="Z63">
        <v>12629.1</v>
      </c>
      <c r="AA63">
        <v>325.89999999999998</v>
      </c>
      <c r="AC63">
        <v>3127.9</v>
      </c>
      <c r="AD63">
        <v>157.9</v>
      </c>
      <c r="AF63" s="27">
        <v>3617656.7</v>
      </c>
      <c r="AG63">
        <v>31571.9</v>
      </c>
      <c r="AI63" s="28">
        <v>2158846</v>
      </c>
      <c r="AJ63">
        <v>19915.599999999999</v>
      </c>
      <c r="AL63">
        <v>3565404.5</v>
      </c>
      <c r="AM63">
        <v>34411.300000000003</v>
      </c>
      <c r="AO63">
        <v>9865.2999999999993</v>
      </c>
      <c r="AP63">
        <v>149.19999999999999</v>
      </c>
      <c r="AR63">
        <v>28936.2</v>
      </c>
      <c r="AS63">
        <v>470.2</v>
      </c>
      <c r="AU63">
        <v>2646.1</v>
      </c>
      <c r="AV63">
        <v>49.2</v>
      </c>
      <c r="AX63">
        <v>2311.4</v>
      </c>
      <c r="AY63">
        <v>170.9</v>
      </c>
      <c r="BA63">
        <v>426.2</v>
      </c>
      <c r="BB63">
        <v>57.3</v>
      </c>
      <c r="BD63">
        <v>332.3</v>
      </c>
      <c r="BE63">
        <v>32</v>
      </c>
      <c r="BG63">
        <v>324</v>
      </c>
      <c r="BH63">
        <v>27.3</v>
      </c>
      <c r="BJ63">
        <v>221.9</v>
      </c>
      <c r="BK63">
        <v>3.1</v>
      </c>
      <c r="BM63">
        <v>239.6</v>
      </c>
      <c r="BN63">
        <v>135.30000000000001</v>
      </c>
      <c r="BP63">
        <v>933.8</v>
      </c>
      <c r="BQ63">
        <v>105.9</v>
      </c>
      <c r="BS63">
        <v>682451.9</v>
      </c>
      <c r="BT63">
        <v>7140.4</v>
      </c>
      <c r="BV63">
        <v>2600.1999999999998</v>
      </c>
      <c r="BW63">
        <v>222.1</v>
      </c>
      <c r="BY63">
        <v>7692.2</v>
      </c>
      <c r="BZ63">
        <v>223</v>
      </c>
      <c r="CB63">
        <v>198439.8</v>
      </c>
      <c r="CC63">
        <v>1902</v>
      </c>
      <c r="CE63">
        <v>164474.70000000001</v>
      </c>
      <c r="CF63">
        <v>4384.7</v>
      </c>
      <c r="CH63">
        <v>406205.6</v>
      </c>
      <c r="CI63">
        <v>9450.9</v>
      </c>
      <c r="CK63">
        <v>113047.3</v>
      </c>
      <c r="CL63">
        <v>2820.5</v>
      </c>
      <c r="CN63">
        <v>1763791.7</v>
      </c>
      <c r="CO63">
        <v>14267.3</v>
      </c>
      <c r="CQ63">
        <v>27600.3</v>
      </c>
      <c r="CR63">
        <v>384.4</v>
      </c>
      <c r="CT63">
        <v>151561.29999999999</v>
      </c>
      <c r="CU63">
        <v>1862.8</v>
      </c>
      <c r="CW63">
        <v>988948.4</v>
      </c>
      <c r="CX63">
        <v>2900.2</v>
      </c>
      <c r="CZ63">
        <v>42894.7</v>
      </c>
      <c r="DA63">
        <v>656.5</v>
      </c>
      <c r="DC63">
        <v>103224.4</v>
      </c>
      <c r="DD63">
        <v>128.1</v>
      </c>
      <c r="DF63">
        <v>26632.5</v>
      </c>
      <c r="DG63">
        <v>255.4</v>
      </c>
      <c r="DI63">
        <v>121.3</v>
      </c>
      <c r="DJ63">
        <v>26.3</v>
      </c>
      <c r="DL63">
        <v>259.3</v>
      </c>
      <c r="DM63">
        <v>20.8</v>
      </c>
      <c r="DO63">
        <v>14949.2</v>
      </c>
      <c r="DP63">
        <v>111.9</v>
      </c>
      <c r="DR63">
        <v>22301.8</v>
      </c>
      <c r="DS63">
        <v>344.7</v>
      </c>
      <c r="DU63">
        <v>199393.5</v>
      </c>
      <c r="DV63">
        <v>5524.2</v>
      </c>
      <c r="DX63">
        <v>1802.3</v>
      </c>
      <c r="DY63">
        <v>41.6</v>
      </c>
      <c r="EA63">
        <v>19589.599999999999</v>
      </c>
      <c r="EB63">
        <v>207.9</v>
      </c>
      <c r="ED63">
        <v>22161.7</v>
      </c>
      <c r="EE63">
        <v>140.69999999999999</v>
      </c>
      <c r="EG63">
        <v>312808.09999999998</v>
      </c>
      <c r="EH63">
        <v>2795.2</v>
      </c>
      <c r="EJ63">
        <v>313927.40000000002</v>
      </c>
      <c r="EK63">
        <v>5186.1000000000004</v>
      </c>
      <c r="EM63">
        <v>204475</v>
      </c>
      <c r="EN63">
        <v>2271.3000000000002</v>
      </c>
      <c r="EP63">
        <v>58521.4</v>
      </c>
      <c r="EQ63">
        <v>989.8</v>
      </c>
      <c r="ES63">
        <v>772779.3</v>
      </c>
      <c r="ET63">
        <v>5785.4</v>
      </c>
      <c r="EV63">
        <v>20</v>
      </c>
      <c r="EW63">
        <v>4.4000000000000004</v>
      </c>
      <c r="EY63">
        <v>4157</v>
      </c>
      <c r="EZ63">
        <v>268.7</v>
      </c>
      <c r="FB63">
        <v>149</v>
      </c>
      <c r="FC63">
        <v>49.7</v>
      </c>
      <c r="FE63">
        <v>2227.1</v>
      </c>
      <c r="FF63">
        <v>267.3</v>
      </c>
      <c r="FH63">
        <v>869.2</v>
      </c>
      <c r="FI63">
        <v>36.700000000000003</v>
      </c>
      <c r="FK63">
        <v>86401.2</v>
      </c>
      <c r="FL63">
        <v>732.6</v>
      </c>
      <c r="FN63">
        <v>52894.5</v>
      </c>
      <c r="FO63">
        <v>830.3</v>
      </c>
      <c r="FQ63">
        <v>15700.9</v>
      </c>
      <c r="FR63">
        <v>526.79999999999995</v>
      </c>
    </row>
    <row r="64" spans="1:174" x14ac:dyDescent="0.2">
      <c r="A64" t="s">
        <v>130</v>
      </c>
      <c r="B64">
        <v>7526.8</v>
      </c>
      <c r="C64">
        <v>146.1</v>
      </c>
      <c r="E64">
        <v>515.29999999999995</v>
      </c>
      <c r="F64">
        <v>75.099999999999994</v>
      </c>
      <c r="H64">
        <v>59016.7</v>
      </c>
      <c r="I64">
        <v>804.8</v>
      </c>
      <c r="K64">
        <v>48794</v>
      </c>
      <c r="L64">
        <v>654.20000000000005</v>
      </c>
      <c r="N64">
        <v>604.29999999999995</v>
      </c>
      <c r="O64">
        <v>75.5</v>
      </c>
      <c r="Q64">
        <v>2198.6999999999998</v>
      </c>
      <c r="R64">
        <v>35.200000000000003</v>
      </c>
      <c r="T64">
        <v>1116.3</v>
      </c>
      <c r="U64">
        <v>76</v>
      </c>
      <c r="W64">
        <v>983.9</v>
      </c>
      <c r="X64">
        <v>11</v>
      </c>
      <c r="Z64">
        <v>5367.2</v>
      </c>
      <c r="AA64">
        <v>79.599999999999994</v>
      </c>
      <c r="AC64">
        <v>1275.8</v>
      </c>
      <c r="AD64">
        <v>109.7</v>
      </c>
      <c r="AF64" s="27">
        <v>2937128</v>
      </c>
      <c r="AG64">
        <v>26240.5</v>
      </c>
      <c r="AI64" s="28">
        <v>342293.5</v>
      </c>
      <c r="AJ64">
        <v>5677.6</v>
      </c>
      <c r="AL64">
        <v>1073030.2</v>
      </c>
      <c r="AM64">
        <v>7372.2</v>
      </c>
      <c r="AO64">
        <v>6595.9</v>
      </c>
      <c r="AP64">
        <v>76.8</v>
      </c>
      <c r="AR64">
        <v>18350.099999999999</v>
      </c>
      <c r="AS64">
        <v>646.20000000000005</v>
      </c>
      <c r="AU64">
        <v>1578.2</v>
      </c>
      <c r="AV64">
        <v>75.099999999999994</v>
      </c>
      <c r="AX64">
        <v>1685.7</v>
      </c>
      <c r="AY64">
        <v>42.1</v>
      </c>
      <c r="BA64">
        <v>241.7</v>
      </c>
      <c r="BB64">
        <v>12.6</v>
      </c>
      <c r="BD64">
        <v>251.1</v>
      </c>
      <c r="BE64">
        <v>21.3</v>
      </c>
      <c r="BG64">
        <v>262.5</v>
      </c>
      <c r="BH64">
        <v>42.3</v>
      </c>
      <c r="BJ64">
        <v>169.8</v>
      </c>
      <c r="BK64">
        <v>21.3</v>
      </c>
      <c r="BM64">
        <v>116.7</v>
      </c>
      <c r="BN64">
        <v>37.299999999999997</v>
      </c>
      <c r="BP64">
        <v>3241.6</v>
      </c>
      <c r="BQ64">
        <v>318</v>
      </c>
      <c r="BS64">
        <v>630775.9</v>
      </c>
      <c r="BT64">
        <v>8809.2999999999993</v>
      </c>
      <c r="BV64">
        <v>2074.6</v>
      </c>
      <c r="BW64">
        <v>129.30000000000001</v>
      </c>
      <c r="BY64">
        <v>6463.5</v>
      </c>
      <c r="BZ64">
        <v>168.5</v>
      </c>
      <c r="CB64">
        <v>95353.2</v>
      </c>
      <c r="CC64">
        <v>2240.1999999999998</v>
      </c>
      <c r="CE64">
        <v>80762.7</v>
      </c>
      <c r="CF64">
        <v>2027.7</v>
      </c>
      <c r="CH64">
        <v>199906.5</v>
      </c>
      <c r="CI64">
        <v>477.3</v>
      </c>
      <c r="CK64">
        <v>58567.9</v>
      </c>
      <c r="CL64">
        <v>203.1</v>
      </c>
      <c r="CN64">
        <v>730227.4</v>
      </c>
      <c r="CO64">
        <v>13569.8</v>
      </c>
      <c r="CQ64">
        <v>34463.800000000003</v>
      </c>
      <c r="CR64">
        <v>324.39999999999998</v>
      </c>
      <c r="CT64">
        <v>157168.20000000001</v>
      </c>
      <c r="CU64">
        <v>921</v>
      </c>
      <c r="CW64">
        <v>802199</v>
      </c>
      <c r="CX64">
        <v>3416.2</v>
      </c>
      <c r="CZ64">
        <v>16080.9</v>
      </c>
      <c r="DA64">
        <v>168.7</v>
      </c>
      <c r="DC64">
        <v>58159.199999999997</v>
      </c>
      <c r="DD64">
        <v>485.9</v>
      </c>
      <c r="DF64">
        <v>38053</v>
      </c>
      <c r="DG64">
        <v>709.7</v>
      </c>
      <c r="DI64">
        <v>157.4</v>
      </c>
      <c r="DJ64">
        <v>33.4</v>
      </c>
      <c r="DL64">
        <v>254.6</v>
      </c>
      <c r="DM64">
        <v>9.8000000000000007</v>
      </c>
      <c r="DO64">
        <v>8077</v>
      </c>
      <c r="DP64">
        <v>140.1</v>
      </c>
      <c r="DR64">
        <v>7218.4</v>
      </c>
      <c r="DS64">
        <v>190.9</v>
      </c>
      <c r="DU64">
        <v>98931.4</v>
      </c>
      <c r="DV64">
        <v>1816.8</v>
      </c>
      <c r="DX64">
        <v>1328.7</v>
      </c>
      <c r="DY64">
        <v>88.9</v>
      </c>
      <c r="EA64">
        <v>1621.5</v>
      </c>
      <c r="EB64">
        <v>44</v>
      </c>
      <c r="ED64">
        <v>15627.3</v>
      </c>
      <c r="EE64">
        <v>663.5</v>
      </c>
      <c r="EG64">
        <v>129906.9</v>
      </c>
      <c r="EH64">
        <v>2654</v>
      </c>
      <c r="EJ64">
        <v>253737.4</v>
      </c>
      <c r="EK64">
        <v>3107.8</v>
      </c>
      <c r="EM64">
        <v>34345.4</v>
      </c>
      <c r="EN64">
        <v>278.5</v>
      </c>
      <c r="EP64">
        <v>54051.199999999997</v>
      </c>
      <c r="EQ64">
        <v>68.400000000000006</v>
      </c>
      <c r="ES64">
        <v>337008.6</v>
      </c>
      <c r="ET64">
        <v>1996.9</v>
      </c>
      <c r="EV64">
        <v>5</v>
      </c>
      <c r="EW64">
        <v>3.3</v>
      </c>
      <c r="EY64">
        <v>1126.5999999999999</v>
      </c>
      <c r="EZ64">
        <v>72</v>
      </c>
      <c r="FB64">
        <v>56.9</v>
      </c>
      <c r="FC64">
        <v>10.7</v>
      </c>
      <c r="FE64">
        <v>1100.5</v>
      </c>
      <c r="FF64">
        <v>172.9</v>
      </c>
      <c r="FH64">
        <v>628.79999999999995</v>
      </c>
      <c r="FI64">
        <v>33.5</v>
      </c>
      <c r="FK64">
        <v>70933.3</v>
      </c>
      <c r="FL64">
        <v>660.1</v>
      </c>
      <c r="FN64">
        <v>8852.7000000000007</v>
      </c>
      <c r="FO64">
        <v>345.4</v>
      </c>
      <c r="FQ64">
        <v>14581.7</v>
      </c>
      <c r="FR64">
        <v>107.2</v>
      </c>
    </row>
    <row r="65" spans="1:174" x14ac:dyDescent="0.2">
      <c r="A65" t="s">
        <v>131</v>
      </c>
      <c r="B65">
        <v>10546.7</v>
      </c>
      <c r="C65">
        <v>95.4</v>
      </c>
      <c r="E65">
        <v>703.2</v>
      </c>
      <c r="F65">
        <v>72.5</v>
      </c>
      <c r="H65">
        <v>124856.1</v>
      </c>
      <c r="I65">
        <v>2146.5</v>
      </c>
      <c r="K65">
        <v>95046.6</v>
      </c>
      <c r="L65">
        <v>1754.4</v>
      </c>
      <c r="N65">
        <v>6164</v>
      </c>
      <c r="O65">
        <v>94.6</v>
      </c>
      <c r="Q65">
        <v>6939.1</v>
      </c>
      <c r="R65">
        <v>253.6</v>
      </c>
      <c r="T65">
        <v>1394.7</v>
      </c>
      <c r="U65">
        <v>50.3</v>
      </c>
      <c r="W65">
        <v>1360.3</v>
      </c>
      <c r="X65">
        <v>41.4</v>
      </c>
      <c r="Z65">
        <v>10094.700000000001</v>
      </c>
      <c r="AA65">
        <v>45.7</v>
      </c>
      <c r="AC65">
        <v>8827.2000000000007</v>
      </c>
      <c r="AD65">
        <v>244.4</v>
      </c>
      <c r="AF65" s="27">
        <v>3559698.7</v>
      </c>
      <c r="AG65">
        <v>18366.8</v>
      </c>
      <c r="AI65" s="28">
        <v>2101145</v>
      </c>
      <c r="AJ65">
        <v>24009.4</v>
      </c>
      <c r="AL65">
        <v>4950387.0999999996</v>
      </c>
      <c r="AM65">
        <v>24542.400000000001</v>
      </c>
      <c r="AO65">
        <v>9372.7999999999993</v>
      </c>
      <c r="AP65">
        <v>82.4</v>
      </c>
      <c r="AR65">
        <v>42594.7</v>
      </c>
      <c r="AS65">
        <v>367.8</v>
      </c>
      <c r="AU65">
        <v>4552.5</v>
      </c>
      <c r="AV65">
        <v>219.6</v>
      </c>
      <c r="AX65">
        <v>3562.8</v>
      </c>
      <c r="AY65">
        <v>71.5</v>
      </c>
      <c r="BA65">
        <v>435.5</v>
      </c>
      <c r="BB65">
        <v>22.2</v>
      </c>
      <c r="BD65">
        <v>342.8</v>
      </c>
      <c r="BE65">
        <v>6.5</v>
      </c>
      <c r="BG65">
        <v>364.6</v>
      </c>
      <c r="BH65">
        <v>47</v>
      </c>
      <c r="BJ65">
        <v>209.4</v>
      </c>
      <c r="BK65">
        <v>22.6</v>
      </c>
      <c r="BM65">
        <v>186.5</v>
      </c>
      <c r="BN65">
        <v>24.3</v>
      </c>
      <c r="BP65">
        <v>2763.9</v>
      </c>
      <c r="BQ65">
        <v>65.900000000000006</v>
      </c>
      <c r="BS65">
        <v>665325.9</v>
      </c>
      <c r="BT65">
        <v>5872.8</v>
      </c>
      <c r="BV65">
        <v>2494.9</v>
      </c>
      <c r="BW65">
        <v>162.80000000000001</v>
      </c>
      <c r="BY65">
        <v>4572.5</v>
      </c>
      <c r="BZ65">
        <v>122.5</v>
      </c>
      <c r="CB65">
        <v>232226.3</v>
      </c>
      <c r="CC65">
        <v>3501.6</v>
      </c>
      <c r="CE65">
        <v>201044.2</v>
      </c>
      <c r="CF65">
        <v>1901.5</v>
      </c>
      <c r="CH65">
        <v>496953.8</v>
      </c>
      <c r="CI65">
        <v>2491.3000000000002</v>
      </c>
      <c r="CK65">
        <v>108466.8</v>
      </c>
      <c r="CL65">
        <v>750</v>
      </c>
      <c r="CN65">
        <v>2597621.9</v>
      </c>
      <c r="CO65">
        <v>25645.7</v>
      </c>
      <c r="CQ65">
        <v>88896.9</v>
      </c>
      <c r="CR65">
        <v>1094.2</v>
      </c>
      <c r="CT65">
        <v>164872.5</v>
      </c>
      <c r="CU65">
        <v>2172.1999999999998</v>
      </c>
      <c r="CW65">
        <v>1123469</v>
      </c>
      <c r="CX65">
        <v>8423.1</v>
      </c>
      <c r="CZ65">
        <v>41615.1</v>
      </c>
      <c r="DA65">
        <v>549.20000000000005</v>
      </c>
      <c r="DC65">
        <v>111229.9</v>
      </c>
      <c r="DD65">
        <v>607.9</v>
      </c>
      <c r="DF65">
        <v>61826.9</v>
      </c>
      <c r="DG65">
        <v>241.2</v>
      </c>
      <c r="DI65">
        <v>691.9</v>
      </c>
      <c r="DJ65">
        <v>30.6</v>
      </c>
      <c r="DL65">
        <v>486.2</v>
      </c>
      <c r="DM65">
        <v>41.5</v>
      </c>
      <c r="DO65">
        <v>64908.800000000003</v>
      </c>
      <c r="DP65">
        <v>529.79999999999995</v>
      </c>
      <c r="DR65">
        <v>73910.3</v>
      </c>
      <c r="DS65">
        <v>714.7</v>
      </c>
      <c r="DU65">
        <v>489890.4</v>
      </c>
      <c r="DV65">
        <v>13589.5</v>
      </c>
      <c r="DX65">
        <v>4556.5</v>
      </c>
      <c r="DY65">
        <v>136.69999999999999</v>
      </c>
      <c r="EA65">
        <v>19907.8</v>
      </c>
      <c r="EB65">
        <v>752.6</v>
      </c>
      <c r="ED65">
        <v>53080</v>
      </c>
      <c r="EE65">
        <v>1006.5</v>
      </c>
      <c r="EG65">
        <v>741912.3</v>
      </c>
      <c r="EH65">
        <v>17654.900000000001</v>
      </c>
      <c r="EJ65">
        <v>311890.5</v>
      </c>
      <c r="EK65">
        <v>4475</v>
      </c>
      <c r="EM65">
        <v>199680.3</v>
      </c>
      <c r="EN65">
        <v>2906.7</v>
      </c>
      <c r="EP65">
        <v>59079.199999999997</v>
      </c>
      <c r="EQ65">
        <v>1269.7</v>
      </c>
      <c r="ES65">
        <v>902995.1</v>
      </c>
      <c r="ET65">
        <v>12726</v>
      </c>
      <c r="EV65">
        <v>13.9</v>
      </c>
      <c r="EW65">
        <v>5.4</v>
      </c>
      <c r="EY65">
        <v>9585.7999999999993</v>
      </c>
      <c r="EZ65">
        <v>207.6</v>
      </c>
      <c r="FB65">
        <v>88.6</v>
      </c>
      <c r="FC65">
        <v>30.6</v>
      </c>
      <c r="FE65">
        <v>1920.6</v>
      </c>
      <c r="FF65">
        <v>212.8</v>
      </c>
      <c r="FH65">
        <v>773.5</v>
      </c>
      <c r="FI65">
        <v>41.6</v>
      </c>
      <c r="FK65">
        <v>85763.6</v>
      </c>
      <c r="FL65">
        <v>603.79999999999995</v>
      </c>
      <c r="FN65">
        <v>50664.3</v>
      </c>
      <c r="FO65">
        <v>668.5</v>
      </c>
      <c r="FQ65">
        <v>16119.6</v>
      </c>
      <c r="FR65">
        <v>173.3</v>
      </c>
    </row>
    <row r="66" spans="1:174" x14ac:dyDescent="0.2">
      <c r="A66" t="s">
        <v>132</v>
      </c>
      <c r="B66">
        <v>39103.199999999997</v>
      </c>
      <c r="C66">
        <v>469</v>
      </c>
      <c r="E66">
        <v>829.6</v>
      </c>
      <c r="F66">
        <v>62.3</v>
      </c>
      <c r="H66">
        <v>2248863</v>
      </c>
      <c r="I66">
        <v>21961.200000000001</v>
      </c>
      <c r="K66">
        <v>123117.8</v>
      </c>
      <c r="L66">
        <v>1435.5</v>
      </c>
      <c r="N66">
        <v>1268.5</v>
      </c>
      <c r="O66">
        <v>32.1</v>
      </c>
      <c r="Q66">
        <v>21514.3</v>
      </c>
      <c r="R66">
        <v>132.80000000000001</v>
      </c>
      <c r="T66">
        <v>1890</v>
      </c>
      <c r="U66">
        <v>83.1</v>
      </c>
      <c r="W66">
        <v>1437.5</v>
      </c>
      <c r="X66">
        <v>50.9</v>
      </c>
      <c r="Z66">
        <v>55849.4</v>
      </c>
      <c r="AA66">
        <v>1034.0999999999999</v>
      </c>
      <c r="AC66">
        <v>72384.600000000006</v>
      </c>
      <c r="AD66">
        <v>368.8</v>
      </c>
      <c r="AF66" s="27">
        <v>13453332.300000001</v>
      </c>
      <c r="AG66">
        <v>112384.8</v>
      </c>
      <c r="AI66" s="28">
        <v>17346256</v>
      </c>
      <c r="AJ66">
        <v>102701.6</v>
      </c>
      <c r="AL66">
        <v>87175046.900000006</v>
      </c>
      <c r="AM66">
        <v>194785.2</v>
      </c>
      <c r="AO66">
        <v>151820.9</v>
      </c>
      <c r="AP66">
        <v>2240.1</v>
      </c>
      <c r="AR66">
        <v>265967.8</v>
      </c>
      <c r="AS66">
        <v>1545</v>
      </c>
      <c r="AU66">
        <v>40474.5</v>
      </c>
      <c r="AV66">
        <v>1349.2</v>
      </c>
      <c r="AX66">
        <v>6865</v>
      </c>
      <c r="AY66">
        <v>362.2</v>
      </c>
      <c r="BA66">
        <v>687.8</v>
      </c>
      <c r="BB66">
        <v>43</v>
      </c>
      <c r="BD66">
        <v>286.5</v>
      </c>
      <c r="BE66">
        <v>15.7</v>
      </c>
      <c r="BG66">
        <v>365.7</v>
      </c>
      <c r="BH66">
        <v>61.6</v>
      </c>
      <c r="BJ66">
        <v>234.4</v>
      </c>
      <c r="BK66">
        <v>29.8</v>
      </c>
      <c r="BM66">
        <v>296.89999999999998</v>
      </c>
      <c r="BN66">
        <v>38</v>
      </c>
      <c r="BP66">
        <v>6600.1</v>
      </c>
      <c r="BQ66">
        <v>97.1</v>
      </c>
      <c r="BS66">
        <v>678361</v>
      </c>
      <c r="BT66">
        <v>6368.9</v>
      </c>
      <c r="BV66">
        <v>2323.8000000000002</v>
      </c>
      <c r="BW66">
        <v>114.2</v>
      </c>
      <c r="BY66">
        <v>76522.2</v>
      </c>
      <c r="BZ66">
        <v>517.29999999999995</v>
      </c>
      <c r="CB66">
        <v>3946053.3</v>
      </c>
      <c r="CC66">
        <v>36374.800000000003</v>
      </c>
      <c r="CE66">
        <v>3704564.7</v>
      </c>
      <c r="CF66">
        <v>56097.3</v>
      </c>
      <c r="CH66">
        <v>8028400.9000000004</v>
      </c>
      <c r="CI66">
        <v>63143.8</v>
      </c>
      <c r="CK66">
        <v>2840952.7</v>
      </c>
      <c r="CL66">
        <v>46505.5</v>
      </c>
      <c r="CN66">
        <v>26768951.100000001</v>
      </c>
      <c r="CO66">
        <v>390197</v>
      </c>
      <c r="CQ66">
        <v>104257.1</v>
      </c>
      <c r="CR66">
        <v>1475.2</v>
      </c>
      <c r="CT66">
        <v>235346.3</v>
      </c>
      <c r="CU66">
        <v>3682.9</v>
      </c>
      <c r="CW66">
        <v>6370872.9000000004</v>
      </c>
      <c r="CX66">
        <v>42595.199999999997</v>
      </c>
      <c r="CZ66">
        <v>201335.8</v>
      </c>
      <c r="DA66">
        <v>417.9</v>
      </c>
      <c r="DC66">
        <v>1642651.3</v>
      </c>
      <c r="DD66">
        <v>22993.4</v>
      </c>
      <c r="DF66">
        <v>78041.3</v>
      </c>
      <c r="DG66">
        <v>562.70000000000005</v>
      </c>
      <c r="DI66">
        <v>484.3</v>
      </c>
      <c r="DJ66">
        <v>79.2</v>
      </c>
      <c r="DL66">
        <v>597.4</v>
      </c>
      <c r="DM66">
        <v>118.3</v>
      </c>
      <c r="DO66">
        <v>14060.5</v>
      </c>
      <c r="DP66">
        <v>497.2</v>
      </c>
      <c r="DR66">
        <v>155100.20000000001</v>
      </c>
      <c r="DS66">
        <v>371</v>
      </c>
      <c r="DU66">
        <v>996321.2</v>
      </c>
      <c r="DV66">
        <v>14786.4</v>
      </c>
      <c r="DX66">
        <v>39423.4</v>
      </c>
      <c r="DY66">
        <v>51.6</v>
      </c>
      <c r="EA66">
        <v>5881.3</v>
      </c>
      <c r="EB66">
        <v>105.8</v>
      </c>
      <c r="ED66">
        <v>308168.7</v>
      </c>
      <c r="EE66">
        <v>4018</v>
      </c>
      <c r="EG66">
        <v>9229508.1999999993</v>
      </c>
      <c r="EH66">
        <v>61973.9</v>
      </c>
      <c r="EJ66">
        <v>1364922.8</v>
      </c>
      <c r="EK66">
        <v>10933.2</v>
      </c>
      <c r="EM66">
        <v>2001447.7</v>
      </c>
      <c r="EN66">
        <v>37909.4</v>
      </c>
      <c r="EP66">
        <v>58859.4</v>
      </c>
      <c r="EQ66">
        <v>1214.3</v>
      </c>
      <c r="ES66">
        <v>13397683.9</v>
      </c>
      <c r="ET66">
        <v>60271.8</v>
      </c>
      <c r="EV66">
        <v>286.8</v>
      </c>
      <c r="EW66">
        <v>6</v>
      </c>
      <c r="EY66">
        <v>288030.59999999998</v>
      </c>
      <c r="EZ66">
        <v>2981.2</v>
      </c>
      <c r="FB66">
        <v>809.7</v>
      </c>
      <c r="FC66">
        <v>35.9</v>
      </c>
      <c r="FE66">
        <v>3600.7</v>
      </c>
      <c r="FF66">
        <v>61.7</v>
      </c>
      <c r="FH66">
        <v>801.3</v>
      </c>
      <c r="FI66">
        <v>51.8</v>
      </c>
      <c r="FK66">
        <v>376309.3</v>
      </c>
      <c r="FL66">
        <v>5476.1</v>
      </c>
      <c r="FN66">
        <v>486365.9</v>
      </c>
      <c r="FO66">
        <v>8224.4</v>
      </c>
      <c r="FQ66">
        <v>15706.6</v>
      </c>
      <c r="FR66">
        <v>92</v>
      </c>
    </row>
    <row r="67" spans="1:174" x14ac:dyDescent="0.2">
      <c r="A67" t="s">
        <v>133</v>
      </c>
      <c r="B67">
        <v>11530.3</v>
      </c>
      <c r="C67">
        <v>133.30000000000001</v>
      </c>
      <c r="E67">
        <v>752.4</v>
      </c>
      <c r="F67">
        <v>30.8</v>
      </c>
      <c r="H67">
        <v>243875.8</v>
      </c>
      <c r="I67">
        <v>2191.6999999999998</v>
      </c>
      <c r="K67">
        <v>134215.20000000001</v>
      </c>
      <c r="L67">
        <v>1543.5</v>
      </c>
      <c r="N67">
        <v>2234.1999999999998</v>
      </c>
      <c r="O67">
        <v>124.8</v>
      </c>
      <c r="Q67">
        <v>8558.1</v>
      </c>
      <c r="R67">
        <v>231.9</v>
      </c>
      <c r="T67">
        <v>1397.9</v>
      </c>
      <c r="U67">
        <v>122.5</v>
      </c>
      <c r="W67">
        <v>1307.0999999999999</v>
      </c>
      <c r="X67">
        <v>27.8</v>
      </c>
      <c r="Z67">
        <v>18149.8</v>
      </c>
      <c r="AA67">
        <v>188.2</v>
      </c>
      <c r="AC67">
        <v>21753.3</v>
      </c>
      <c r="AD67">
        <v>576.5</v>
      </c>
      <c r="AF67" s="27">
        <v>3806124.7</v>
      </c>
      <c r="AG67">
        <v>23706.5</v>
      </c>
      <c r="AI67" s="28">
        <v>2608279.7000000002</v>
      </c>
      <c r="AJ67">
        <v>13118</v>
      </c>
      <c r="AL67">
        <v>11379333.1</v>
      </c>
      <c r="AM67">
        <v>60800</v>
      </c>
      <c r="AO67">
        <v>17264.7</v>
      </c>
      <c r="AP67">
        <v>197.4</v>
      </c>
      <c r="AR67">
        <v>63455</v>
      </c>
      <c r="AS67">
        <v>328.3</v>
      </c>
      <c r="AU67">
        <v>10427.6</v>
      </c>
      <c r="AV67">
        <v>478.8</v>
      </c>
      <c r="AX67">
        <v>6026.4</v>
      </c>
      <c r="AY67">
        <v>346.6</v>
      </c>
      <c r="BA67">
        <v>845.2</v>
      </c>
      <c r="BB67">
        <v>18.899999999999999</v>
      </c>
      <c r="BD67">
        <v>439.7</v>
      </c>
      <c r="BE67">
        <v>47.9</v>
      </c>
      <c r="BG67">
        <v>417.8</v>
      </c>
      <c r="BH67">
        <v>125.7</v>
      </c>
      <c r="BJ67">
        <v>277.10000000000002</v>
      </c>
      <c r="BK67">
        <v>62.9</v>
      </c>
      <c r="BM67">
        <v>256.3</v>
      </c>
      <c r="BN67">
        <v>76.8</v>
      </c>
      <c r="BP67">
        <v>5207.6000000000004</v>
      </c>
      <c r="BQ67">
        <v>104.8</v>
      </c>
      <c r="BS67">
        <v>675032.4</v>
      </c>
      <c r="BT67">
        <v>10790.4</v>
      </c>
      <c r="BV67">
        <v>2204.9</v>
      </c>
      <c r="BW67">
        <v>147.1</v>
      </c>
      <c r="BY67">
        <v>7514.9</v>
      </c>
      <c r="BZ67">
        <v>176.3</v>
      </c>
      <c r="CB67">
        <v>507119.9</v>
      </c>
      <c r="CC67">
        <v>5304</v>
      </c>
      <c r="CE67">
        <v>429832</v>
      </c>
      <c r="CF67">
        <v>2962</v>
      </c>
      <c r="CH67">
        <v>1077380.7</v>
      </c>
      <c r="CI67">
        <v>24792.2</v>
      </c>
      <c r="CK67">
        <v>253592.3</v>
      </c>
      <c r="CL67">
        <v>4155.5</v>
      </c>
      <c r="CN67">
        <v>5085983</v>
      </c>
      <c r="CO67">
        <v>56441.1</v>
      </c>
      <c r="CQ67">
        <v>107474</v>
      </c>
      <c r="CR67">
        <v>2452.1999999999998</v>
      </c>
      <c r="CT67">
        <v>263516.90000000002</v>
      </c>
      <c r="CU67">
        <v>5026.2</v>
      </c>
      <c r="CW67">
        <v>1706801.8</v>
      </c>
      <c r="CX67">
        <v>23004.9</v>
      </c>
      <c r="CZ67">
        <v>71889.100000000006</v>
      </c>
      <c r="DA67">
        <v>850</v>
      </c>
      <c r="DC67">
        <v>168964.2</v>
      </c>
      <c r="DD67">
        <v>928.7</v>
      </c>
      <c r="DF67">
        <v>96158.399999999994</v>
      </c>
      <c r="DG67">
        <v>2004</v>
      </c>
      <c r="DI67">
        <v>1229.5</v>
      </c>
      <c r="DJ67">
        <v>78.2</v>
      </c>
      <c r="DL67">
        <v>532.5</v>
      </c>
      <c r="DM67">
        <v>22.3</v>
      </c>
      <c r="DO67">
        <v>56264.1</v>
      </c>
      <c r="DP67">
        <v>1164.5999999999999</v>
      </c>
      <c r="DR67">
        <v>94124.2</v>
      </c>
      <c r="DS67">
        <v>1080</v>
      </c>
      <c r="DU67">
        <v>536301.9</v>
      </c>
      <c r="DV67">
        <v>5638.1</v>
      </c>
      <c r="DX67">
        <v>9685</v>
      </c>
      <c r="DY67">
        <v>232.9</v>
      </c>
      <c r="EA67">
        <v>18826</v>
      </c>
      <c r="EB67">
        <v>240.5</v>
      </c>
      <c r="ED67">
        <v>142478.79999999999</v>
      </c>
      <c r="EE67">
        <v>1125.0999999999999</v>
      </c>
      <c r="EG67">
        <v>1647908.1</v>
      </c>
      <c r="EH67">
        <v>6346.2</v>
      </c>
      <c r="EJ67">
        <v>362636.4</v>
      </c>
      <c r="EK67">
        <v>7461</v>
      </c>
      <c r="EM67">
        <v>251718</v>
      </c>
      <c r="EN67">
        <v>4216.6000000000004</v>
      </c>
      <c r="EP67">
        <v>58702.5</v>
      </c>
      <c r="EQ67">
        <v>1198.8</v>
      </c>
      <c r="ES67">
        <v>1884501</v>
      </c>
      <c r="ET67">
        <v>23239.1</v>
      </c>
      <c r="EV67">
        <v>12.5</v>
      </c>
      <c r="EW67">
        <v>3.8</v>
      </c>
      <c r="EY67">
        <v>17723.8</v>
      </c>
      <c r="EZ67">
        <v>773.3</v>
      </c>
      <c r="FB67">
        <v>43.1</v>
      </c>
      <c r="FC67">
        <v>12.7</v>
      </c>
      <c r="FE67">
        <v>1340.9</v>
      </c>
      <c r="FF67">
        <v>193</v>
      </c>
      <c r="FH67">
        <v>829.1</v>
      </c>
      <c r="FI67">
        <v>65.2</v>
      </c>
      <c r="FK67">
        <v>102196</v>
      </c>
      <c r="FL67">
        <v>1241.9000000000001</v>
      </c>
      <c r="FN67">
        <v>64149.3</v>
      </c>
      <c r="FO67">
        <v>514.9</v>
      </c>
      <c r="FQ67">
        <v>15636.6</v>
      </c>
      <c r="FR67">
        <v>453.9</v>
      </c>
    </row>
    <row r="68" spans="1:174" x14ac:dyDescent="0.2">
      <c r="A68" t="s">
        <v>134</v>
      </c>
      <c r="B68">
        <v>15089.1</v>
      </c>
      <c r="C68">
        <v>119.6</v>
      </c>
      <c r="E68">
        <v>718.4</v>
      </c>
      <c r="F68">
        <v>55</v>
      </c>
      <c r="H68">
        <v>381927.3</v>
      </c>
      <c r="I68">
        <v>5002.5</v>
      </c>
      <c r="K68">
        <v>147319.29999999999</v>
      </c>
      <c r="L68">
        <v>744.5</v>
      </c>
      <c r="N68">
        <v>1789.9</v>
      </c>
      <c r="O68">
        <v>44.5</v>
      </c>
      <c r="Q68">
        <v>4602.7</v>
      </c>
      <c r="R68">
        <v>170.6</v>
      </c>
      <c r="T68">
        <v>1536.5</v>
      </c>
      <c r="U68">
        <v>50.5</v>
      </c>
      <c r="W68">
        <v>1418.7</v>
      </c>
      <c r="X68">
        <v>76.7</v>
      </c>
      <c r="Z68">
        <v>24781.1</v>
      </c>
      <c r="AA68">
        <v>728.3</v>
      </c>
      <c r="AC68">
        <v>36163.800000000003</v>
      </c>
      <c r="AD68">
        <v>161.5</v>
      </c>
      <c r="AF68" s="27">
        <v>4620668.0999999996</v>
      </c>
      <c r="AG68">
        <v>45842.6</v>
      </c>
      <c r="AI68" s="28">
        <v>14936054.800000001</v>
      </c>
      <c r="AJ68">
        <v>216766.3</v>
      </c>
      <c r="AL68">
        <v>17369829.899999999</v>
      </c>
      <c r="AM68">
        <v>149945.4</v>
      </c>
      <c r="AO68">
        <v>25830.5</v>
      </c>
      <c r="AP68">
        <v>741.8</v>
      </c>
      <c r="AR68">
        <v>220225.5</v>
      </c>
      <c r="AS68">
        <v>3557.5</v>
      </c>
      <c r="AU68">
        <v>11250.7</v>
      </c>
      <c r="AV68">
        <v>645.5</v>
      </c>
      <c r="AX68">
        <v>5855.3</v>
      </c>
      <c r="AY68">
        <v>229.7</v>
      </c>
      <c r="BA68">
        <v>624.1</v>
      </c>
      <c r="BB68">
        <v>9.6</v>
      </c>
      <c r="BD68">
        <v>374</v>
      </c>
      <c r="BE68">
        <v>53.2</v>
      </c>
      <c r="BG68">
        <v>445.9</v>
      </c>
      <c r="BH68">
        <v>115.2</v>
      </c>
      <c r="BJ68">
        <v>281.3</v>
      </c>
      <c r="BK68">
        <v>45.1</v>
      </c>
      <c r="BM68">
        <v>281.3</v>
      </c>
      <c r="BN68">
        <v>39.9</v>
      </c>
      <c r="BP68">
        <v>954.7</v>
      </c>
      <c r="BQ68">
        <v>48.7</v>
      </c>
      <c r="BS68">
        <v>668533.30000000005</v>
      </c>
      <c r="BT68">
        <v>2819.1</v>
      </c>
      <c r="BV68">
        <v>2260.1999999999998</v>
      </c>
      <c r="BW68">
        <v>96</v>
      </c>
      <c r="BY68">
        <v>11275.8</v>
      </c>
      <c r="BZ68">
        <v>137.69999999999999</v>
      </c>
      <c r="CB68">
        <v>763660</v>
      </c>
      <c r="CC68">
        <v>8255.9</v>
      </c>
      <c r="CE68">
        <v>643800.1</v>
      </c>
      <c r="CF68">
        <v>7629.5</v>
      </c>
      <c r="CH68">
        <v>1669808</v>
      </c>
      <c r="CI68">
        <v>9503.1</v>
      </c>
      <c r="CK68">
        <v>254087.9</v>
      </c>
      <c r="CL68">
        <v>1761.8</v>
      </c>
      <c r="CN68">
        <v>8101060.7999999998</v>
      </c>
      <c r="CO68">
        <v>100718.5</v>
      </c>
      <c r="CQ68">
        <v>329619.09999999998</v>
      </c>
      <c r="CR68">
        <v>1740.2</v>
      </c>
      <c r="CT68">
        <v>289528.3</v>
      </c>
      <c r="CU68">
        <v>1545.5</v>
      </c>
      <c r="CW68">
        <v>2261474.4</v>
      </c>
      <c r="CX68">
        <v>7099.4</v>
      </c>
      <c r="CZ68">
        <v>117699</v>
      </c>
      <c r="DA68">
        <v>1133.9000000000001</v>
      </c>
      <c r="DC68">
        <v>207722.6</v>
      </c>
      <c r="DD68">
        <v>862.9</v>
      </c>
      <c r="DF68">
        <v>80855.5</v>
      </c>
      <c r="DG68">
        <v>760.8</v>
      </c>
      <c r="DI68">
        <v>842.9</v>
      </c>
      <c r="DJ68">
        <v>45.3</v>
      </c>
      <c r="DL68">
        <v>406.5</v>
      </c>
      <c r="DM68">
        <v>11.2</v>
      </c>
      <c r="DO68">
        <v>38095.1</v>
      </c>
      <c r="DP68">
        <v>959.3</v>
      </c>
      <c r="DR68">
        <v>95542</v>
      </c>
      <c r="DS68">
        <v>1935.7</v>
      </c>
      <c r="DU68">
        <v>1343040.9</v>
      </c>
      <c r="DV68">
        <v>13198</v>
      </c>
      <c r="DX68">
        <v>12011</v>
      </c>
      <c r="DY68">
        <v>269.3</v>
      </c>
      <c r="EA68">
        <v>12177.8</v>
      </c>
      <c r="EB68">
        <v>654.9</v>
      </c>
      <c r="ED68">
        <v>174282.1</v>
      </c>
      <c r="EE68">
        <v>1331.1</v>
      </c>
      <c r="EG68">
        <v>2751853.6</v>
      </c>
      <c r="EH68">
        <v>24207.7</v>
      </c>
      <c r="EJ68">
        <v>448450.7</v>
      </c>
      <c r="EK68">
        <v>2136.1999999999998</v>
      </c>
      <c r="EM68">
        <v>1699540.4</v>
      </c>
      <c r="EN68">
        <v>15654.3</v>
      </c>
      <c r="EP68">
        <v>58958.5</v>
      </c>
      <c r="EQ68">
        <v>813.1</v>
      </c>
      <c r="ES68">
        <v>3013891</v>
      </c>
      <c r="ET68">
        <v>16375.7</v>
      </c>
      <c r="EV68">
        <v>21.7</v>
      </c>
      <c r="EW68">
        <v>10.9</v>
      </c>
      <c r="EY68">
        <v>24392.6</v>
      </c>
      <c r="EZ68">
        <v>320.7</v>
      </c>
      <c r="FB68">
        <v>318.5</v>
      </c>
      <c r="FC68">
        <v>50.7</v>
      </c>
      <c r="FE68">
        <v>3739</v>
      </c>
      <c r="FF68">
        <v>230</v>
      </c>
      <c r="FH68">
        <v>802.9</v>
      </c>
      <c r="FI68">
        <v>32.4</v>
      </c>
      <c r="FK68">
        <v>122454.1</v>
      </c>
      <c r="FL68">
        <v>467.2</v>
      </c>
      <c r="FN68">
        <v>403298.5</v>
      </c>
      <c r="FO68">
        <v>4781.5</v>
      </c>
      <c r="FQ68">
        <v>15608.1</v>
      </c>
      <c r="FR68">
        <v>501.1</v>
      </c>
    </row>
    <row r="69" spans="1:174" x14ac:dyDescent="0.2">
      <c r="A69" t="s">
        <v>135</v>
      </c>
      <c r="B69">
        <v>16907</v>
      </c>
      <c r="C69">
        <v>177.6</v>
      </c>
      <c r="E69">
        <v>754.9</v>
      </c>
      <c r="F69">
        <v>38.299999999999997</v>
      </c>
      <c r="H69">
        <v>656877.30000000005</v>
      </c>
      <c r="I69">
        <v>5087.3999999999996</v>
      </c>
      <c r="K69">
        <v>101181.3</v>
      </c>
      <c r="L69">
        <v>852.8</v>
      </c>
      <c r="N69">
        <v>986</v>
      </c>
      <c r="O69">
        <v>60.5</v>
      </c>
      <c r="Q69">
        <v>9793.2000000000007</v>
      </c>
      <c r="R69">
        <v>27.9</v>
      </c>
      <c r="T69">
        <v>1598.1</v>
      </c>
      <c r="U69">
        <v>151.80000000000001</v>
      </c>
      <c r="W69">
        <v>1420.8</v>
      </c>
      <c r="X69">
        <v>20.8</v>
      </c>
      <c r="Z69">
        <v>36924.800000000003</v>
      </c>
      <c r="AA69">
        <v>247</v>
      </c>
      <c r="AC69">
        <v>59122.1</v>
      </c>
      <c r="AD69">
        <v>441.7</v>
      </c>
      <c r="AF69" s="27">
        <v>5698051.2999999998</v>
      </c>
      <c r="AG69">
        <v>105362.5</v>
      </c>
      <c r="AI69" s="28">
        <v>6334014.5</v>
      </c>
      <c r="AJ69">
        <v>93053</v>
      </c>
      <c r="AL69">
        <v>31190621.100000001</v>
      </c>
      <c r="AM69">
        <v>291967.09999999998</v>
      </c>
      <c r="AO69">
        <v>39362.300000000003</v>
      </c>
      <c r="AP69">
        <v>272.10000000000002</v>
      </c>
      <c r="AR69">
        <v>127205.2</v>
      </c>
      <c r="AS69">
        <v>2258.6</v>
      </c>
      <c r="AU69">
        <v>24384.3</v>
      </c>
      <c r="AV69">
        <v>337.4</v>
      </c>
      <c r="AX69">
        <v>23328.799999999999</v>
      </c>
      <c r="AY69">
        <v>680.2</v>
      </c>
      <c r="BA69">
        <v>1519.9</v>
      </c>
      <c r="BB69">
        <v>88.7</v>
      </c>
      <c r="BD69">
        <v>341.7</v>
      </c>
      <c r="BE69">
        <v>4.8</v>
      </c>
      <c r="BG69">
        <v>452.2</v>
      </c>
      <c r="BH69">
        <v>68.2</v>
      </c>
      <c r="BJ69">
        <v>235.4</v>
      </c>
      <c r="BK69">
        <v>28.2</v>
      </c>
      <c r="BM69">
        <v>220.8</v>
      </c>
      <c r="BN69">
        <v>17.2</v>
      </c>
      <c r="BP69">
        <v>4124.8999999999996</v>
      </c>
      <c r="BQ69">
        <v>185.7</v>
      </c>
      <c r="BS69">
        <v>674775.3</v>
      </c>
      <c r="BT69">
        <v>7835.7</v>
      </c>
      <c r="BV69">
        <v>2337.4</v>
      </c>
      <c r="BW69">
        <v>112.4</v>
      </c>
      <c r="BY69">
        <v>14604.5</v>
      </c>
      <c r="BZ69">
        <v>361.8</v>
      </c>
      <c r="CB69">
        <v>1287427.7</v>
      </c>
      <c r="CC69">
        <v>18079.3</v>
      </c>
      <c r="CE69">
        <v>1097185.5</v>
      </c>
      <c r="CF69">
        <v>12107.9</v>
      </c>
      <c r="CH69">
        <v>2866528.3</v>
      </c>
      <c r="CI69">
        <v>31980.6</v>
      </c>
      <c r="CK69">
        <v>460254.5</v>
      </c>
      <c r="CL69">
        <v>3484.4</v>
      </c>
      <c r="CN69">
        <v>13404009.800000001</v>
      </c>
      <c r="CO69">
        <v>95493.3</v>
      </c>
      <c r="CQ69">
        <v>89916.800000000003</v>
      </c>
      <c r="CR69">
        <v>283.89999999999998</v>
      </c>
      <c r="CT69">
        <v>135144.1</v>
      </c>
      <c r="CU69">
        <v>2298.4</v>
      </c>
      <c r="CW69">
        <v>3377149</v>
      </c>
      <c r="CX69">
        <v>26259.4</v>
      </c>
      <c r="CZ69">
        <v>153404.6</v>
      </c>
      <c r="DA69">
        <v>681.2</v>
      </c>
      <c r="DC69">
        <v>281902.5</v>
      </c>
      <c r="DD69">
        <v>1876.1</v>
      </c>
      <c r="DF69">
        <v>46028.6</v>
      </c>
      <c r="DG69">
        <v>290.89999999999998</v>
      </c>
      <c r="DI69">
        <v>547.4</v>
      </c>
      <c r="DJ69">
        <v>67.5</v>
      </c>
      <c r="DL69">
        <v>417.6</v>
      </c>
      <c r="DM69">
        <v>65.900000000000006</v>
      </c>
      <c r="DO69">
        <v>16153.3</v>
      </c>
      <c r="DP69">
        <v>715.2</v>
      </c>
      <c r="DR69">
        <v>68382.5</v>
      </c>
      <c r="DS69">
        <v>818.7</v>
      </c>
      <c r="DU69">
        <v>290198.90000000002</v>
      </c>
      <c r="DV69">
        <v>1278</v>
      </c>
      <c r="DX69">
        <v>16822.400000000001</v>
      </c>
      <c r="DY69">
        <v>176.4</v>
      </c>
      <c r="EA69">
        <v>5681.1</v>
      </c>
      <c r="EB69">
        <v>265.60000000000002</v>
      </c>
      <c r="ED69">
        <v>226863.9</v>
      </c>
      <c r="EE69">
        <v>640.20000000000005</v>
      </c>
      <c r="EG69">
        <v>4254058</v>
      </c>
      <c r="EH69">
        <v>49892.2</v>
      </c>
      <c r="EJ69">
        <v>558108.69999999995</v>
      </c>
      <c r="EK69">
        <v>6022.4</v>
      </c>
      <c r="EM69">
        <v>705230.1</v>
      </c>
      <c r="EN69">
        <v>10346.299999999999</v>
      </c>
      <c r="EP69">
        <v>58164.7</v>
      </c>
      <c r="EQ69">
        <v>191.6</v>
      </c>
      <c r="ES69">
        <v>5044570.8</v>
      </c>
      <c r="ET69">
        <v>26347.1</v>
      </c>
      <c r="EV69">
        <v>25</v>
      </c>
      <c r="EW69">
        <v>5</v>
      </c>
      <c r="EY69">
        <v>46066.1</v>
      </c>
      <c r="EZ69">
        <v>586.20000000000005</v>
      </c>
      <c r="FB69">
        <v>152.69999999999999</v>
      </c>
      <c r="FC69">
        <v>19.399999999999999</v>
      </c>
      <c r="FE69">
        <v>2472.8000000000002</v>
      </c>
      <c r="FF69">
        <v>82.9</v>
      </c>
      <c r="FH69">
        <v>800.8</v>
      </c>
      <c r="FI69">
        <v>18.8</v>
      </c>
      <c r="FK69">
        <v>153581.29999999999</v>
      </c>
      <c r="FL69">
        <v>1665.8</v>
      </c>
      <c r="FN69">
        <v>172784.6</v>
      </c>
      <c r="FO69">
        <v>2693.2</v>
      </c>
      <c r="FQ69">
        <v>15755.8</v>
      </c>
      <c r="FR69">
        <v>103.9</v>
      </c>
    </row>
    <row r="70" spans="1:174" x14ac:dyDescent="0.2">
      <c r="A70" t="s">
        <v>136</v>
      </c>
      <c r="B70">
        <v>43814.5</v>
      </c>
      <c r="C70">
        <v>207.3</v>
      </c>
      <c r="E70">
        <v>751.8</v>
      </c>
      <c r="F70">
        <v>31.6</v>
      </c>
      <c r="H70">
        <v>3231872.7</v>
      </c>
      <c r="I70">
        <v>31578.6</v>
      </c>
      <c r="K70">
        <v>142084.79999999999</v>
      </c>
      <c r="L70">
        <v>1489.1</v>
      </c>
      <c r="N70">
        <v>821.2</v>
      </c>
      <c r="O70">
        <v>99.8</v>
      </c>
      <c r="Q70">
        <v>35620.6</v>
      </c>
      <c r="R70">
        <v>259.60000000000002</v>
      </c>
      <c r="T70">
        <v>2231</v>
      </c>
      <c r="U70">
        <v>58.8</v>
      </c>
      <c r="W70">
        <v>1737.8</v>
      </c>
      <c r="X70">
        <v>10</v>
      </c>
      <c r="Z70">
        <v>193447.3</v>
      </c>
      <c r="AA70">
        <v>595.9</v>
      </c>
      <c r="AC70">
        <v>160384.6</v>
      </c>
      <c r="AD70">
        <v>462.3</v>
      </c>
      <c r="AF70" s="27">
        <v>10449633.300000001</v>
      </c>
      <c r="AG70">
        <v>118525.8</v>
      </c>
      <c r="AI70" s="28">
        <v>11736878.6</v>
      </c>
      <c r="AJ70">
        <v>136553.29999999999</v>
      </c>
      <c r="AL70">
        <v>57962543</v>
      </c>
      <c r="AM70">
        <v>918366.2</v>
      </c>
      <c r="AO70">
        <v>185190.1</v>
      </c>
      <c r="AP70">
        <v>1897.6</v>
      </c>
      <c r="AR70">
        <v>374336.4</v>
      </c>
      <c r="AS70">
        <v>2947.9</v>
      </c>
      <c r="AU70">
        <v>24857.4</v>
      </c>
      <c r="AV70">
        <v>459</v>
      </c>
      <c r="AX70">
        <v>2671.1</v>
      </c>
      <c r="AY70">
        <v>118.9</v>
      </c>
      <c r="BA70">
        <v>303.10000000000002</v>
      </c>
      <c r="BB70">
        <v>32.5</v>
      </c>
      <c r="BD70">
        <v>337.5</v>
      </c>
      <c r="BE70">
        <v>48.5</v>
      </c>
      <c r="BG70">
        <v>294.8</v>
      </c>
      <c r="BH70">
        <v>9.6</v>
      </c>
      <c r="BJ70">
        <v>228.1</v>
      </c>
      <c r="BK70">
        <v>11.3</v>
      </c>
      <c r="BM70">
        <v>246.9</v>
      </c>
      <c r="BN70">
        <v>44.1</v>
      </c>
      <c r="BP70">
        <v>22300.3</v>
      </c>
      <c r="BQ70">
        <v>329.3</v>
      </c>
      <c r="BS70">
        <v>677726.6</v>
      </c>
      <c r="BT70">
        <v>6459.1</v>
      </c>
      <c r="BV70">
        <v>2250.8000000000002</v>
      </c>
      <c r="BW70">
        <v>41.4</v>
      </c>
      <c r="BY70">
        <v>86385.5</v>
      </c>
      <c r="BZ70">
        <v>457.2</v>
      </c>
      <c r="CB70">
        <v>4915287.5</v>
      </c>
      <c r="CC70">
        <v>95532.3</v>
      </c>
      <c r="CE70">
        <v>4170552.1</v>
      </c>
      <c r="CF70">
        <v>71813.3</v>
      </c>
      <c r="CH70">
        <v>10197894.800000001</v>
      </c>
      <c r="CI70">
        <v>219716</v>
      </c>
      <c r="CK70">
        <v>1802509.2</v>
      </c>
      <c r="CL70">
        <v>24875.9</v>
      </c>
      <c r="CN70">
        <v>41415979.299999997</v>
      </c>
      <c r="CO70">
        <v>492456.3</v>
      </c>
      <c r="CQ70">
        <v>48511.7</v>
      </c>
      <c r="CR70">
        <v>182.5</v>
      </c>
      <c r="CT70">
        <v>117488.6</v>
      </c>
      <c r="CU70">
        <v>1920.6</v>
      </c>
      <c r="CW70">
        <v>7179075.7000000002</v>
      </c>
      <c r="CX70">
        <v>58163.1</v>
      </c>
      <c r="CZ70">
        <v>370213.8</v>
      </c>
      <c r="DA70">
        <v>4753.1000000000004</v>
      </c>
      <c r="DC70">
        <v>839743.1</v>
      </c>
      <c r="DD70">
        <v>1067.3</v>
      </c>
      <c r="DF70">
        <v>43335.4</v>
      </c>
      <c r="DG70">
        <v>317.8</v>
      </c>
      <c r="DI70">
        <v>288</v>
      </c>
      <c r="DJ70">
        <v>47.8</v>
      </c>
      <c r="DL70">
        <v>405.6</v>
      </c>
      <c r="DM70">
        <v>74.599999999999994</v>
      </c>
      <c r="DO70">
        <v>18130.2</v>
      </c>
      <c r="DP70">
        <v>451.5</v>
      </c>
      <c r="DR70">
        <v>184391.2</v>
      </c>
      <c r="DS70">
        <v>1063.3</v>
      </c>
      <c r="DU70">
        <v>287208.90000000002</v>
      </c>
      <c r="DV70">
        <v>3396.1</v>
      </c>
      <c r="DX70">
        <v>34349.800000000003</v>
      </c>
      <c r="DY70">
        <v>875.6</v>
      </c>
      <c r="EA70">
        <v>4022.5</v>
      </c>
      <c r="EB70">
        <v>89.7</v>
      </c>
      <c r="ED70">
        <v>575530.19999999995</v>
      </c>
      <c r="EE70">
        <v>14643.9</v>
      </c>
      <c r="EG70">
        <v>13894017.699999999</v>
      </c>
      <c r="EH70">
        <v>187723.8</v>
      </c>
      <c r="EJ70">
        <v>1025815.4</v>
      </c>
      <c r="EK70">
        <v>9662.2000000000007</v>
      </c>
      <c r="EM70">
        <v>1302954.1000000001</v>
      </c>
      <c r="EN70">
        <v>25573.4</v>
      </c>
      <c r="EP70">
        <v>59692.800000000003</v>
      </c>
      <c r="EQ70">
        <v>1080.2</v>
      </c>
      <c r="ES70">
        <v>22654113</v>
      </c>
      <c r="ET70">
        <v>91636.3</v>
      </c>
      <c r="EV70">
        <v>376.9</v>
      </c>
      <c r="EW70">
        <v>115.2</v>
      </c>
      <c r="EY70">
        <v>88751.1</v>
      </c>
      <c r="EZ70">
        <v>695.6</v>
      </c>
      <c r="FB70">
        <v>130.5</v>
      </c>
      <c r="FC70">
        <v>32.5</v>
      </c>
      <c r="FE70">
        <v>1820.1</v>
      </c>
      <c r="FF70">
        <v>155.5</v>
      </c>
      <c r="FH70">
        <v>824.1</v>
      </c>
      <c r="FI70">
        <v>75.3</v>
      </c>
      <c r="FK70">
        <v>290555.90000000002</v>
      </c>
      <c r="FL70">
        <v>2755.9</v>
      </c>
      <c r="FN70">
        <v>323655.3</v>
      </c>
      <c r="FO70">
        <v>4158.2</v>
      </c>
      <c r="FQ70">
        <v>15876.6</v>
      </c>
      <c r="FR70">
        <v>428.3</v>
      </c>
    </row>
    <row r="71" spans="1:174" x14ac:dyDescent="0.2">
      <c r="A71" t="s">
        <v>137</v>
      </c>
      <c r="B71">
        <v>31127.4</v>
      </c>
      <c r="C71">
        <v>307.60000000000002</v>
      </c>
      <c r="E71">
        <v>758.7</v>
      </c>
      <c r="F71">
        <v>50</v>
      </c>
      <c r="H71">
        <v>1888567.8</v>
      </c>
      <c r="I71">
        <v>18954.3</v>
      </c>
      <c r="K71">
        <v>111219.4</v>
      </c>
      <c r="L71">
        <v>1853.2</v>
      </c>
      <c r="N71">
        <v>527.20000000000005</v>
      </c>
      <c r="O71">
        <v>66.3</v>
      </c>
      <c r="Q71">
        <v>24548.400000000001</v>
      </c>
      <c r="R71">
        <v>395.9</v>
      </c>
      <c r="T71">
        <v>1955.7</v>
      </c>
      <c r="U71">
        <v>75.099999999999994</v>
      </c>
      <c r="W71">
        <v>1676.3</v>
      </c>
      <c r="X71">
        <v>152.9</v>
      </c>
      <c r="Z71">
        <v>107991.3</v>
      </c>
      <c r="AA71">
        <v>757.6</v>
      </c>
      <c r="AC71">
        <v>122241.2</v>
      </c>
      <c r="AD71">
        <v>1455.9</v>
      </c>
      <c r="AF71" s="27">
        <v>10218009.5</v>
      </c>
      <c r="AG71">
        <v>52045.9</v>
      </c>
      <c r="AI71" s="28">
        <v>10423334.300000001</v>
      </c>
      <c r="AJ71">
        <v>165004.6</v>
      </c>
      <c r="AL71">
        <v>60367504.5</v>
      </c>
      <c r="AM71">
        <v>829721.4</v>
      </c>
      <c r="AO71">
        <v>109802.9</v>
      </c>
      <c r="AP71">
        <v>660.3</v>
      </c>
      <c r="AR71">
        <v>218624.7</v>
      </c>
      <c r="AS71">
        <v>2005.9</v>
      </c>
      <c r="AU71">
        <v>23365.4</v>
      </c>
      <c r="AV71">
        <v>151.1</v>
      </c>
      <c r="AX71">
        <v>1383.3</v>
      </c>
      <c r="AY71">
        <v>43.8</v>
      </c>
      <c r="BA71">
        <v>146.9</v>
      </c>
      <c r="BB71">
        <v>41.3</v>
      </c>
      <c r="BD71">
        <v>297.89999999999998</v>
      </c>
      <c r="BE71">
        <v>81.599999999999994</v>
      </c>
      <c r="BG71">
        <v>329.2</v>
      </c>
      <c r="BH71">
        <v>33.5</v>
      </c>
      <c r="BJ71">
        <v>268.8</v>
      </c>
      <c r="BK71">
        <v>27.1</v>
      </c>
      <c r="BM71">
        <v>220.8</v>
      </c>
      <c r="BN71">
        <v>50.6</v>
      </c>
      <c r="BP71">
        <v>13626.6</v>
      </c>
      <c r="BQ71">
        <v>114.9</v>
      </c>
      <c r="BS71">
        <v>689440.7</v>
      </c>
      <c r="BT71">
        <v>3998.4</v>
      </c>
      <c r="BV71">
        <v>2286.1999999999998</v>
      </c>
      <c r="BW71">
        <v>195.2</v>
      </c>
      <c r="BY71">
        <v>48165.1</v>
      </c>
      <c r="BZ71">
        <v>833.7</v>
      </c>
      <c r="CB71">
        <v>3485843</v>
      </c>
      <c r="CC71">
        <v>15049.8</v>
      </c>
      <c r="CE71">
        <v>2963330.7</v>
      </c>
      <c r="CF71">
        <v>24288.9</v>
      </c>
      <c r="CH71">
        <v>6401166.5999999996</v>
      </c>
      <c r="CI71">
        <v>36776.300000000003</v>
      </c>
      <c r="CK71">
        <v>1185748.7</v>
      </c>
      <c r="CL71">
        <v>13973.4</v>
      </c>
      <c r="CN71">
        <v>30165693.300000001</v>
      </c>
      <c r="CO71">
        <v>45500</v>
      </c>
      <c r="CQ71">
        <v>45082.7</v>
      </c>
      <c r="CR71">
        <v>723.6</v>
      </c>
      <c r="CT71">
        <v>104762.7</v>
      </c>
      <c r="CU71">
        <v>517.5</v>
      </c>
      <c r="CW71">
        <v>6082742</v>
      </c>
      <c r="CX71">
        <v>50666.3</v>
      </c>
      <c r="CZ71">
        <v>327851.40000000002</v>
      </c>
      <c r="DA71">
        <v>8024.3</v>
      </c>
      <c r="DC71">
        <v>493187</v>
      </c>
      <c r="DD71">
        <v>4727.7</v>
      </c>
      <c r="DF71">
        <v>44133.1</v>
      </c>
      <c r="DG71">
        <v>328.6</v>
      </c>
      <c r="DI71">
        <v>143.5</v>
      </c>
      <c r="DJ71">
        <v>8.5</v>
      </c>
      <c r="DL71">
        <v>527</v>
      </c>
      <c r="DM71">
        <v>42.2</v>
      </c>
      <c r="DO71">
        <v>15163.4</v>
      </c>
      <c r="DP71">
        <v>91.1</v>
      </c>
      <c r="DR71">
        <v>110898.9</v>
      </c>
      <c r="DS71">
        <v>1062.5999999999999</v>
      </c>
      <c r="DU71">
        <v>241205.2</v>
      </c>
      <c r="DV71">
        <v>3982.9</v>
      </c>
      <c r="DX71">
        <v>30499.3</v>
      </c>
      <c r="DY71">
        <v>101.8</v>
      </c>
      <c r="EA71">
        <v>3322.6</v>
      </c>
      <c r="EB71">
        <v>70.2</v>
      </c>
      <c r="ED71">
        <v>421775.6</v>
      </c>
      <c r="EE71">
        <v>2397.6999999999998</v>
      </c>
      <c r="EG71">
        <v>10251591.5</v>
      </c>
      <c r="EH71">
        <v>133330.70000000001</v>
      </c>
      <c r="EJ71">
        <v>1021410.5</v>
      </c>
      <c r="EK71">
        <v>7291.9</v>
      </c>
      <c r="EM71">
        <v>1180871.7</v>
      </c>
      <c r="EN71">
        <v>11250.3</v>
      </c>
      <c r="EP71">
        <v>60912.3</v>
      </c>
      <c r="EQ71">
        <v>395.8</v>
      </c>
      <c r="ES71">
        <v>13438741</v>
      </c>
      <c r="ET71">
        <v>132810.4</v>
      </c>
      <c r="EV71">
        <v>142.19999999999999</v>
      </c>
      <c r="EW71">
        <v>12.5</v>
      </c>
      <c r="EY71">
        <v>71056.3</v>
      </c>
      <c r="EZ71">
        <v>934.1</v>
      </c>
      <c r="FB71">
        <v>210.5</v>
      </c>
      <c r="FC71">
        <v>9.3000000000000007</v>
      </c>
      <c r="FE71">
        <v>3054</v>
      </c>
      <c r="FF71">
        <v>110.1</v>
      </c>
      <c r="FH71">
        <v>866.4</v>
      </c>
      <c r="FI71">
        <v>57.6</v>
      </c>
      <c r="FK71">
        <v>275129.3</v>
      </c>
      <c r="FL71">
        <v>2961.4</v>
      </c>
      <c r="FN71">
        <v>282716.7</v>
      </c>
      <c r="FO71">
        <v>1489</v>
      </c>
      <c r="FQ71">
        <v>15998.5</v>
      </c>
      <c r="FR71">
        <v>164</v>
      </c>
    </row>
    <row r="72" spans="1:174" x14ac:dyDescent="0.2">
      <c r="A72" t="s">
        <v>138</v>
      </c>
      <c r="B72">
        <v>155521.60000000001</v>
      </c>
      <c r="C72">
        <v>1140.8</v>
      </c>
      <c r="E72">
        <v>34790</v>
      </c>
      <c r="F72">
        <v>711.4</v>
      </c>
      <c r="H72">
        <v>945505.1</v>
      </c>
      <c r="I72">
        <v>9086.6</v>
      </c>
      <c r="K72">
        <v>1232894.5</v>
      </c>
      <c r="L72">
        <v>14237.6</v>
      </c>
      <c r="N72">
        <v>1446780</v>
      </c>
      <c r="O72">
        <v>15296.1</v>
      </c>
      <c r="Q72">
        <v>178367.6</v>
      </c>
      <c r="R72">
        <v>2205.8000000000002</v>
      </c>
      <c r="T72">
        <v>1366535.2</v>
      </c>
      <c r="U72">
        <v>14837.5</v>
      </c>
      <c r="W72">
        <v>276751.09999999998</v>
      </c>
      <c r="X72">
        <v>2712.5</v>
      </c>
      <c r="Z72">
        <v>548904</v>
      </c>
      <c r="AA72">
        <v>1342.3</v>
      </c>
      <c r="AC72">
        <v>79548.7</v>
      </c>
      <c r="AD72">
        <v>408.3</v>
      </c>
      <c r="AF72" s="27">
        <v>3100005</v>
      </c>
      <c r="AG72">
        <v>22844.1</v>
      </c>
      <c r="AI72" s="28">
        <v>318676.8</v>
      </c>
      <c r="AJ72">
        <v>3731.2</v>
      </c>
      <c r="AL72">
        <v>317277.59999999998</v>
      </c>
      <c r="AM72">
        <v>992.8</v>
      </c>
      <c r="AO72">
        <v>1561495.5</v>
      </c>
      <c r="AP72">
        <v>30602.1</v>
      </c>
      <c r="AR72">
        <v>648215.80000000005</v>
      </c>
      <c r="AS72">
        <v>8050.5</v>
      </c>
      <c r="AU72">
        <v>1746735.5</v>
      </c>
      <c r="AV72">
        <v>22102.799999999999</v>
      </c>
      <c r="AX72">
        <v>1598515.2</v>
      </c>
      <c r="AY72">
        <v>2011.3</v>
      </c>
      <c r="BA72">
        <v>329895.09999999998</v>
      </c>
      <c r="BB72">
        <v>1969.2</v>
      </c>
      <c r="BD72">
        <v>282378.7</v>
      </c>
      <c r="BE72">
        <v>2904.2</v>
      </c>
      <c r="BG72">
        <v>271876.8</v>
      </c>
      <c r="BH72">
        <v>991.3</v>
      </c>
      <c r="BJ72">
        <v>1904323.7</v>
      </c>
      <c r="BK72">
        <v>15009.7</v>
      </c>
      <c r="BM72">
        <v>508842.6</v>
      </c>
      <c r="BN72">
        <v>3311.5</v>
      </c>
      <c r="BP72">
        <v>384122.6</v>
      </c>
      <c r="BQ72">
        <v>4631</v>
      </c>
      <c r="BS72">
        <v>699312.5</v>
      </c>
      <c r="BT72">
        <v>8828.1</v>
      </c>
      <c r="BV72">
        <v>301926.5</v>
      </c>
      <c r="BW72">
        <v>3856.2</v>
      </c>
      <c r="BY72">
        <v>1243828.2</v>
      </c>
      <c r="BZ72">
        <v>12796.4</v>
      </c>
      <c r="CB72">
        <v>415673.2</v>
      </c>
      <c r="CC72">
        <v>5108.2</v>
      </c>
      <c r="CE72">
        <v>354909.6</v>
      </c>
      <c r="CF72">
        <v>7626</v>
      </c>
      <c r="CH72">
        <v>895815.7</v>
      </c>
      <c r="CI72">
        <v>10208.9</v>
      </c>
      <c r="CK72">
        <v>1355998.7</v>
      </c>
      <c r="CL72">
        <v>4806.7</v>
      </c>
      <c r="CN72">
        <v>428393.1</v>
      </c>
      <c r="CO72">
        <v>7456.5</v>
      </c>
      <c r="CQ72">
        <v>254528.1</v>
      </c>
      <c r="CR72">
        <v>5543.6</v>
      </c>
      <c r="CT72">
        <v>199489.1</v>
      </c>
      <c r="CU72">
        <v>3352.7</v>
      </c>
      <c r="CW72">
        <v>734437.8</v>
      </c>
      <c r="CX72">
        <v>10919.2</v>
      </c>
      <c r="CZ72">
        <v>3722.1</v>
      </c>
      <c r="DA72">
        <v>279.5</v>
      </c>
      <c r="DC72">
        <v>110771.8</v>
      </c>
      <c r="DD72">
        <v>1339.9</v>
      </c>
      <c r="DF72">
        <v>22892.2</v>
      </c>
      <c r="DG72">
        <v>592.70000000000005</v>
      </c>
      <c r="DI72">
        <v>5658.8</v>
      </c>
      <c r="DJ72">
        <v>185.1</v>
      </c>
      <c r="DL72">
        <v>78963.600000000006</v>
      </c>
      <c r="DM72">
        <v>2478.5</v>
      </c>
      <c r="DO72">
        <v>69706.5</v>
      </c>
      <c r="DP72">
        <v>2104.1999999999998</v>
      </c>
      <c r="DR72">
        <v>90496.3</v>
      </c>
      <c r="DS72">
        <v>1914.1</v>
      </c>
      <c r="DU72">
        <v>284967</v>
      </c>
      <c r="DV72">
        <v>1271.7</v>
      </c>
      <c r="DX72">
        <v>81978.5</v>
      </c>
      <c r="DY72">
        <v>815.6</v>
      </c>
      <c r="EA72">
        <v>18908.599999999999</v>
      </c>
      <c r="EB72">
        <v>350.5</v>
      </c>
      <c r="ED72">
        <v>39756.5</v>
      </c>
      <c r="EE72">
        <v>1178.2</v>
      </c>
      <c r="EG72">
        <v>22162.6</v>
      </c>
      <c r="EH72">
        <v>1641.1</v>
      </c>
      <c r="EJ72">
        <v>257228</v>
      </c>
      <c r="EK72">
        <v>4176.8</v>
      </c>
      <c r="EM72">
        <v>33484.6</v>
      </c>
      <c r="EN72">
        <v>766.8</v>
      </c>
      <c r="EP72">
        <v>59357.8</v>
      </c>
      <c r="EQ72">
        <v>2148.1999999999998</v>
      </c>
      <c r="ES72">
        <v>201790.4</v>
      </c>
      <c r="ET72">
        <v>2707.2</v>
      </c>
      <c r="EV72">
        <v>3080.7</v>
      </c>
      <c r="EW72">
        <v>128.1</v>
      </c>
      <c r="EY72">
        <v>2797.2</v>
      </c>
      <c r="EZ72">
        <v>71.7</v>
      </c>
      <c r="FB72">
        <v>389.7</v>
      </c>
      <c r="FC72">
        <v>40.1</v>
      </c>
      <c r="FE72">
        <v>3556.6</v>
      </c>
      <c r="FF72">
        <v>157.5</v>
      </c>
      <c r="FH72">
        <v>887</v>
      </c>
      <c r="FI72">
        <v>65.099999999999994</v>
      </c>
      <c r="FK72">
        <v>69994.100000000006</v>
      </c>
      <c r="FL72">
        <v>636.20000000000005</v>
      </c>
      <c r="FN72">
        <v>8172</v>
      </c>
      <c r="FO72">
        <v>387.5</v>
      </c>
      <c r="FQ72">
        <v>15782.8</v>
      </c>
      <c r="FR72">
        <v>472.1</v>
      </c>
    </row>
    <row r="73" spans="1:174" x14ac:dyDescent="0.2">
      <c r="A73" t="s">
        <v>139</v>
      </c>
      <c r="B73">
        <v>10200.700000000001</v>
      </c>
      <c r="C73">
        <v>552.79999999999995</v>
      </c>
      <c r="E73">
        <v>831</v>
      </c>
      <c r="F73">
        <v>94.6</v>
      </c>
      <c r="H73">
        <v>9642</v>
      </c>
      <c r="I73">
        <v>463.6</v>
      </c>
      <c r="K73">
        <v>33738.300000000003</v>
      </c>
      <c r="L73">
        <v>421.8</v>
      </c>
      <c r="N73">
        <v>188.5</v>
      </c>
      <c r="O73">
        <v>4.8</v>
      </c>
      <c r="Q73">
        <v>607.5</v>
      </c>
      <c r="R73">
        <v>15.7</v>
      </c>
      <c r="T73">
        <v>1639.7</v>
      </c>
      <c r="U73">
        <v>39.4</v>
      </c>
      <c r="W73">
        <v>1336.3</v>
      </c>
      <c r="X73">
        <v>24.3</v>
      </c>
      <c r="Z73">
        <v>1653.3</v>
      </c>
      <c r="AA73">
        <v>129.80000000000001</v>
      </c>
      <c r="AC73">
        <v>55.2</v>
      </c>
      <c r="AD73">
        <v>29.7</v>
      </c>
      <c r="AF73" s="27">
        <v>2975028</v>
      </c>
      <c r="AG73">
        <v>24603.7</v>
      </c>
      <c r="AI73" s="28">
        <v>3273.9</v>
      </c>
      <c r="AJ73">
        <v>135.5</v>
      </c>
      <c r="AL73">
        <v>6764.9</v>
      </c>
      <c r="AM73">
        <v>514.4</v>
      </c>
      <c r="AO73">
        <v>2531.4</v>
      </c>
      <c r="AP73">
        <v>235.4</v>
      </c>
      <c r="AR73">
        <v>6083.8</v>
      </c>
      <c r="AS73">
        <v>17.3</v>
      </c>
      <c r="AU73">
        <v>414.7</v>
      </c>
      <c r="AV73">
        <v>28.4</v>
      </c>
      <c r="AX73">
        <v>287.5</v>
      </c>
      <c r="AY73">
        <v>96.3</v>
      </c>
      <c r="BA73">
        <v>153.1</v>
      </c>
      <c r="BB73">
        <v>49.1</v>
      </c>
      <c r="BD73">
        <v>321.89999999999998</v>
      </c>
      <c r="BE73">
        <v>84.3</v>
      </c>
      <c r="BG73">
        <v>297.89999999999998</v>
      </c>
      <c r="BH73">
        <v>31.5</v>
      </c>
      <c r="BJ73">
        <v>388.6</v>
      </c>
      <c r="BK73">
        <v>23</v>
      </c>
      <c r="BM73">
        <v>928.9</v>
      </c>
      <c r="BN73">
        <v>1292.9000000000001</v>
      </c>
      <c r="BP73">
        <v>2537.8000000000002</v>
      </c>
      <c r="BQ73">
        <v>1387</v>
      </c>
      <c r="BS73">
        <v>680016.3</v>
      </c>
      <c r="BT73">
        <v>4264</v>
      </c>
      <c r="BV73">
        <v>2729.5</v>
      </c>
      <c r="BW73">
        <v>393.6</v>
      </c>
      <c r="BY73">
        <v>1121.7</v>
      </c>
      <c r="BZ73">
        <v>1152.5</v>
      </c>
      <c r="CB73">
        <v>4688.6000000000004</v>
      </c>
      <c r="CC73">
        <v>7241.1</v>
      </c>
      <c r="CE73">
        <v>3135.1</v>
      </c>
      <c r="CF73">
        <v>4482.8</v>
      </c>
      <c r="CH73">
        <v>5886.1</v>
      </c>
      <c r="CI73">
        <v>7646.6</v>
      </c>
      <c r="CK73">
        <v>1739.9</v>
      </c>
      <c r="CL73">
        <v>1297.2</v>
      </c>
      <c r="CN73">
        <v>43211</v>
      </c>
      <c r="CO73">
        <v>736.4</v>
      </c>
      <c r="CQ73">
        <v>9572.7000000000007</v>
      </c>
      <c r="CR73">
        <v>373.3</v>
      </c>
      <c r="CT73">
        <v>12863.2</v>
      </c>
      <c r="CU73">
        <v>213.5</v>
      </c>
      <c r="CW73">
        <v>491061.2</v>
      </c>
      <c r="CX73">
        <v>3957.2</v>
      </c>
      <c r="CZ73">
        <v>577</v>
      </c>
      <c r="DA73">
        <v>72.599999999999994</v>
      </c>
      <c r="DC73">
        <v>24711.8</v>
      </c>
      <c r="DD73">
        <v>420.9</v>
      </c>
      <c r="DF73">
        <v>7628.2</v>
      </c>
      <c r="DG73">
        <v>309.10000000000002</v>
      </c>
      <c r="DI73">
        <v>12</v>
      </c>
      <c r="DJ73">
        <v>11.6</v>
      </c>
      <c r="DL73">
        <v>174.1</v>
      </c>
      <c r="DM73">
        <v>25.8</v>
      </c>
      <c r="DO73">
        <v>612.20000000000005</v>
      </c>
      <c r="DP73">
        <v>15.8</v>
      </c>
      <c r="DR73">
        <v>145.4</v>
      </c>
      <c r="DS73">
        <v>8.9</v>
      </c>
      <c r="DU73">
        <v>2509.5</v>
      </c>
      <c r="DV73">
        <v>69.599999999999994</v>
      </c>
      <c r="DX73">
        <v>69.400000000000006</v>
      </c>
      <c r="DY73">
        <v>7.3</v>
      </c>
      <c r="EA73">
        <v>136.1</v>
      </c>
      <c r="EB73">
        <v>29</v>
      </c>
      <c r="ED73">
        <v>255.6</v>
      </c>
      <c r="EE73">
        <v>36.1</v>
      </c>
      <c r="EG73">
        <v>426</v>
      </c>
      <c r="EH73">
        <v>55.6</v>
      </c>
      <c r="EJ73">
        <v>257156.7</v>
      </c>
      <c r="EK73">
        <v>6907.3</v>
      </c>
      <c r="EM73">
        <v>299.10000000000002</v>
      </c>
      <c r="EN73">
        <v>30.9</v>
      </c>
      <c r="EP73">
        <v>60779.9</v>
      </c>
      <c r="EQ73">
        <v>276.7</v>
      </c>
      <c r="ES73">
        <v>26584.799999999999</v>
      </c>
      <c r="ET73">
        <v>881.8</v>
      </c>
      <c r="EV73">
        <v>1.7</v>
      </c>
      <c r="EW73">
        <v>2.9</v>
      </c>
      <c r="EY73">
        <v>55.8</v>
      </c>
      <c r="EZ73">
        <v>22.7</v>
      </c>
      <c r="FB73">
        <v>76.8</v>
      </c>
      <c r="FC73">
        <v>22.4</v>
      </c>
      <c r="FE73">
        <v>1876.9</v>
      </c>
      <c r="FF73">
        <v>175.6</v>
      </c>
      <c r="FH73">
        <v>956.5</v>
      </c>
      <c r="FI73">
        <v>37.6</v>
      </c>
      <c r="FK73">
        <v>70148.100000000006</v>
      </c>
      <c r="FL73">
        <v>669.2</v>
      </c>
      <c r="FN73">
        <v>83.3</v>
      </c>
      <c r="FO73">
        <v>16.399999999999999</v>
      </c>
      <c r="FQ73">
        <v>15474</v>
      </c>
      <c r="FR73">
        <v>228.6</v>
      </c>
    </row>
    <row r="74" spans="1:174" x14ac:dyDescent="0.2">
      <c r="A74" t="s">
        <v>140</v>
      </c>
      <c r="B74">
        <v>31578.799999999999</v>
      </c>
      <c r="C74">
        <v>385.3</v>
      </c>
      <c r="E74">
        <v>627.4</v>
      </c>
      <c r="F74">
        <v>88.5</v>
      </c>
      <c r="H74">
        <v>1771510.5</v>
      </c>
      <c r="I74">
        <v>16911.900000000001</v>
      </c>
      <c r="K74">
        <v>122698.8</v>
      </c>
      <c r="L74">
        <v>1261.5</v>
      </c>
      <c r="N74">
        <v>815</v>
      </c>
      <c r="O74">
        <v>57</v>
      </c>
      <c r="Q74">
        <v>22176.1</v>
      </c>
      <c r="R74">
        <v>73.3</v>
      </c>
      <c r="T74">
        <v>2156</v>
      </c>
      <c r="U74">
        <v>125.2</v>
      </c>
      <c r="W74">
        <v>1660.6</v>
      </c>
      <c r="X74">
        <v>173.2</v>
      </c>
      <c r="Z74">
        <v>95684.800000000003</v>
      </c>
      <c r="AA74">
        <v>579.9</v>
      </c>
      <c r="AC74">
        <v>137263.1</v>
      </c>
      <c r="AD74">
        <v>2321.3000000000002</v>
      </c>
      <c r="AF74" s="27">
        <v>12434830.699999999</v>
      </c>
      <c r="AG74">
        <v>36423.800000000003</v>
      </c>
      <c r="AI74" s="28">
        <v>13466613.6</v>
      </c>
      <c r="AJ74">
        <v>135518</v>
      </c>
      <c r="AL74">
        <v>70436267.599999994</v>
      </c>
      <c r="AM74">
        <v>631815.1</v>
      </c>
      <c r="AO74">
        <v>100773.4</v>
      </c>
      <c r="AP74">
        <v>583.20000000000005</v>
      </c>
      <c r="AR74">
        <v>204070.39999999999</v>
      </c>
      <c r="AS74">
        <v>1219.3</v>
      </c>
      <c r="AU74">
        <v>28937.4</v>
      </c>
      <c r="AV74">
        <v>1003.5</v>
      </c>
      <c r="AX74">
        <v>2271.6999999999998</v>
      </c>
      <c r="AY74">
        <v>129.6</v>
      </c>
      <c r="BA74">
        <v>241.7</v>
      </c>
      <c r="BB74">
        <v>22.2</v>
      </c>
      <c r="BD74">
        <v>345.9</v>
      </c>
      <c r="BE74">
        <v>15.8</v>
      </c>
      <c r="BG74">
        <v>324</v>
      </c>
      <c r="BH74">
        <v>72</v>
      </c>
      <c r="BJ74">
        <v>366.7</v>
      </c>
      <c r="BK74">
        <v>65.900000000000006</v>
      </c>
      <c r="BM74">
        <v>287.5</v>
      </c>
      <c r="BN74">
        <v>27.2</v>
      </c>
      <c r="BP74">
        <v>9341.5</v>
      </c>
      <c r="BQ74">
        <v>108.4</v>
      </c>
      <c r="BS74">
        <v>676085.1</v>
      </c>
      <c r="BT74">
        <v>1006.6</v>
      </c>
      <c r="BV74">
        <v>2255</v>
      </c>
      <c r="BW74">
        <v>82.3</v>
      </c>
      <c r="BY74">
        <v>44515.7</v>
      </c>
      <c r="BZ74">
        <v>232.1</v>
      </c>
      <c r="CB74">
        <v>3276299.7</v>
      </c>
      <c r="CC74">
        <v>14351</v>
      </c>
      <c r="CE74">
        <v>2777958.3</v>
      </c>
      <c r="CF74">
        <v>18937.400000000001</v>
      </c>
      <c r="CH74">
        <v>6025062.2999999998</v>
      </c>
      <c r="CI74">
        <v>43888.6</v>
      </c>
      <c r="CK74">
        <v>1158442.5</v>
      </c>
      <c r="CL74">
        <v>4311</v>
      </c>
      <c r="CN74">
        <v>32149685.800000001</v>
      </c>
      <c r="CO74">
        <v>602688.6</v>
      </c>
      <c r="CQ74">
        <v>77623.199999999997</v>
      </c>
      <c r="CR74">
        <v>1210</v>
      </c>
      <c r="CT74">
        <v>140833.70000000001</v>
      </c>
      <c r="CU74">
        <v>2016.6</v>
      </c>
      <c r="CW74">
        <v>7192376.4000000004</v>
      </c>
      <c r="CX74">
        <v>40666.800000000003</v>
      </c>
      <c r="CZ74">
        <v>395665.9</v>
      </c>
      <c r="DA74">
        <v>2403.9</v>
      </c>
      <c r="DC74">
        <v>332183.59999999998</v>
      </c>
      <c r="DD74">
        <v>2620.6</v>
      </c>
      <c r="DF74">
        <v>46273.599999999999</v>
      </c>
      <c r="DG74">
        <v>946.9</v>
      </c>
      <c r="DI74">
        <v>213</v>
      </c>
      <c r="DJ74">
        <v>23.6</v>
      </c>
      <c r="DL74">
        <v>367.6</v>
      </c>
      <c r="DM74">
        <v>25.2</v>
      </c>
      <c r="DO74">
        <v>14982.6</v>
      </c>
      <c r="DP74">
        <v>378.5</v>
      </c>
      <c r="DR74">
        <v>107949.5</v>
      </c>
      <c r="DS74">
        <v>1664.7</v>
      </c>
      <c r="DU74">
        <v>283427.20000000001</v>
      </c>
      <c r="DV74">
        <v>9179.2000000000007</v>
      </c>
      <c r="DX74">
        <v>31845.5</v>
      </c>
      <c r="DY74">
        <v>577.4</v>
      </c>
      <c r="EA74">
        <v>4510.1000000000004</v>
      </c>
      <c r="EB74">
        <v>86.8</v>
      </c>
      <c r="ED74">
        <v>450821.6</v>
      </c>
      <c r="EE74">
        <v>3581.3</v>
      </c>
      <c r="EG74">
        <v>10658596.1</v>
      </c>
      <c r="EH74">
        <v>158187.9</v>
      </c>
      <c r="EJ74">
        <v>1286966.5</v>
      </c>
      <c r="EK74">
        <v>6094.9</v>
      </c>
      <c r="EM74">
        <v>1541979.6</v>
      </c>
      <c r="EN74">
        <v>23991.7</v>
      </c>
      <c r="EP74">
        <v>60150.7</v>
      </c>
      <c r="EQ74">
        <v>1148.8</v>
      </c>
      <c r="ES74">
        <v>12754966.800000001</v>
      </c>
      <c r="ET74">
        <v>62519.3</v>
      </c>
      <c r="EV74">
        <v>404.7</v>
      </c>
      <c r="EW74">
        <v>556.70000000000005</v>
      </c>
      <c r="EY74">
        <v>79058.600000000006</v>
      </c>
      <c r="EZ74">
        <v>664.6</v>
      </c>
      <c r="FB74">
        <v>135</v>
      </c>
      <c r="FC74">
        <v>19.8</v>
      </c>
      <c r="FE74">
        <v>1741.8</v>
      </c>
      <c r="FF74">
        <v>54.9</v>
      </c>
      <c r="FH74">
        <v>786.3</v>
      </c>
      <c r="FI74">
        <v>33.9</v>
      </c>
      <c r="FK74">
        <v>340804.8</v>
      </c>
      <c r="FL74">
        <v>5922.1</v>
      </c>
      <c r="FN74">
        <v>366334.4</v>
      </c>
      <c r="FO74">
        <v>6751.5</v>
      </c>
      <c r="FQ74">
        <v>15697.7</v>
      </c>
      <c r="FR74">
        <v>197.9</v>
      </c>
    </row>
    <row r="75" spans="1:174" x14ac:dyDescent="0.2">
      <c r="A75" t="s">
        <v>141</v>
      </c>
      <c r="B75">
        <v>22946.6</v>
      </c>
      <c r="C75">
        <v>392.2</v>
      </c>
      <c r="E75">
        <v>751.8</v>
      </c>
      <c r="F75">
        <v>36</v>
      </c>
      <c r="H75">
        <v>799678.8</v>
      </c>
      <c r="I75">
        <v>10288.5</v>
      </c>
      <c r="K75">
        <v>84319.1</v>
      </c>
      <c r="L75">
        <v>567.20000000000005</v>
      </c>
      <c r="N75">
        <v>412.5</v>
      </c>
      <c r="O75">
        <v>29.8</v>
      </c>
      <c r="Q75">
        <v>16049.8</v>
      </c>
      <c r="R75">
        <v>385.5</v>
      </c>
      <c r="T75">
        <v>1914</v>
      </c>
      <c r="U75">
        <v>93.3</v>
      </c>
      <c r="W75">
        <v>1591.8</v>
      </c>
      <c r="X75">
        <v>29.8</v>
      </c>
      <c r="Z75">
        <v>58249.1</v>
      </c>
      <c r="AA75">
        <v>356.1</v>
      </c>
      <c r="AC75">
        <v>110439.3</v>
      </c>
      <c r="AD75">
        <v>2164.1999999999998</v>
      </c>
      <c r="AF75" s="27">
        <v>12278676.4</v>
      </c>
      <c r="AG75">
        <v>172915.7</v>
      </c>
      <c r="AI75" s="28">
        <v>11760561.800000001</v>
      </c>
      <c r="AJ75">
        <v>402467.5</v>
      </c>
      <c r="AL75">
        <v>59068631.799999997</v>
      </c>
      <c r="AM75">
        <v>1010306.1</v>
      </c>
      <c r="AO75">
        <v>52449.1</v>
      </c>
      <c r="AP75">
        <v>262.8</v>
      </c>
      <c r="AR75">
        <v>136173.4</v>
      </c>
      <c r="AS75">
        <v>412.9</v>
      </c>
      <c r="AU75">
        <v>23232.799999999999</v>
      </c>
      <c r="AV75">
        <v>557.1</v>
      </c>
      <c r="AX75">
        <v>1507.3</v>
      </c>
      <c r="AY75">
        <v>120</v>
      </c>
      <c r="BA75">
        <v>178.1</v>
      </c>
      <c r="BB75">
        <v>49.6</v>
      </c>
      <c r="BD75">
        <v>263.60000000000002</v>
      </c>
      <c r="BE75">
        <v>50.5</v>
      </c>
      <c r="BG75">
        <v>292.7</v>
      </c>
      <c r="BH75">
        <v>35.200000000000003</v>
      </c>
      <c r="BJ75">
        <v>259.39999999999998</v>
      </c>
      <c r="BK75">
        <v>8.3000000000000007</v>
      </c>
      <c r="BM75">
        <v>216.7</v>
      </c>
      <c r="BN75">
        <v>47</v>
      </c>
      <c r="BP75">
        <v>7515.9</v>
      </c>
      <c r="BQ75">
        <v>215.1</v>
      </c>
      <c r="BS75">
        <v>681938.2</v>
      </c>
      <c r="BT75">
        <v>5049.8</v>
      </c>
      <c r="BV75">
        <v>2347.8000000000002</v>
      </c>
      <c r="BW75">
        <v>44.7</v>
      </c>
      <c r="BY75">
        <v>33715.699999999997</v>
      </c>
      <c r="BZ75">
        <v>299.39999999999998</v>
      </c>
      <c r="CB75">
        <v>2194906</v>
      </c>
      <c r="CC75">
        <v>27458.9</v>
      </c>
      <c r="CE75">
        <v>1849371.3</v>
      </c>
      <c r="CF75">
        <v>16093.1</v>
      </c>
      <c r="CH75">
        <v>4142650.8</v>
      </c>
      <c r="CI75">
        <v>53982.6</v>
      </c>
      <c r="CK75">
        <v>753803.4</v>
      </c>
      <c r="CL75">
        <v>2399.9</v>
      </c>
      <c r="CN75">
        <v>22409305</v>
      </c>
      <c r="CO75">
        <v>379417</v>
      </c>
      <c r="CQ75">
        <v>35594.9</v>
      </c>
      <c r="CR75">
        <v>526.5</v>
      </c>
      <c r="CT75">
        <v>210205.2</v>
      </c>
      <c r="CU75">
        <v>2339.5</v>
      </c>
      <c r="CW75">
        <v>5692436.9000000004</v>
      </c>
      <c r="CX75">
        <v>73480.399999999994</v>
      </c>
      <c r="CZ75">
        <v>311890.8</v>
      </c>
      <c r="DA75">
        <v>5339.7</v>
      </c>
      <c r="DC75">
        <v>185866</v>
      </c>
      <c r="DD75">
        <v>955.8</v>
      </c>
      <c r="DF75">
        <v>35651.5</v>
      </c>
      <c r="DG75">
        <v>197.9</v>
      </c>
      <c r="DI75">
        <v>155.6</v>
      </c>
      <c r="DJ75">
        <v>24.2</v>
      </c>
      <c r="DL75">
        <v>225.9</v>
      </c>
      <c r="DM75">
        <v>21.6</v>
      </c>
      <c r="DO75">
        <v>5097</v>
      </c>
      <c r="DP75">
        <v>319.7</v>
      </c>
      <c r="DR75">
        <v>69440.800000000003</v>
      </c>
      <c r="DS75">
        <v>1897.3</v>
      </c>
      <c r="DU75">
        <v>222011.6</v>
      </c>
      <c r="DV75">
        <v>2763.3</v>
      </c>
      <c r="DX75">
        <v>42667.3</v>
      </c>
      <c r="DY75">
        <v>415.9</v>
      </c>
      <c r="EA75">
        <v>2487.3000000000002</v>
      </c>
      <c r="EB75">
        <v>93.1</v>
      </c>
      <c r="ED75">
        <v>419603.9</v>
      </c>
      <c r="EE75">
        <v>3365.5</v>
      </c>
      <c r="EG75">
        <v>7724608.5999999996</v>
      </c>
      <c r="EH75">
        <v>66018.5</v>
      </c>
      <c r="EJ75">
        <v>1237783.1000000001</v>
      </c>
      <c r="EK75">
        <v>6354.4</v>
      </c>
      <c r="EM75">
        <v>1317999.1000000001</v>
      </c>
      <c r="EN75">
        <v>22541.599999999999</v>
      </c>
      <c r="EP75">
        <v>59347.7</v>
      </c>
      <c r="EQ75">
        <v>781.2</v>
      </c>
      <c r="ES75">
        <v>6931195.5</v>
      </c>
      <c r="ET75">
        <v>45393.2</v>
      </c>
      <c r="EV75">
        <v>54.4</v>
      </c>
      <c r="EW75">
        <v>3.5</v>
      </c>
      <c r="EY75">
        <v>66696.100000000006</v>
      </c>
      <c r="EZ75">
        <v>1431.9</v>
      </c>
      <c r="FB75">
        <v>144.5</v>
      </c>
      <c r="FC75">
        <v>25.1</v>
      </c>
      <c r="FE75">
        <v>2208</v>
      </c>
      <c r="FF75">
        <v>225.5</v>
      </c>
      <c r="FH75">
        <v>865.9</v>
      </c>
      <c r="FI75">
        <v>48.2</v>
      </c>
      <c r="FK75">
        <v>329764.90000000002</v>
      </c>
      <c r="FL75">
        <v>5117.7</v>
      </c>
      <c r="FN75">
        <v>313021.40000000002</v>
      </c>
      <c r="FO75">
        <v>1074.5</v>
      </c>
      <c r="FQ75">
        <v>16136.6</v>
      </c>
      <c r="FR75">
        <v>303.39999999999998</v>
      </c>
    </row>
    <row r="76" spans="1:174" x14ac:dyDescent="0.2">
      <c r="A76" t="s">
        <v>142</v>
      </c>
      <c r="B76">
        <v>14759.4</v>
      </c>
      <c r="C76">
        <v>69.3</v>
      </c>
      <c r="E76">
        <v>774.2</v>
      </c>
      <c r="F76">
        <v>70.2</v>
      </c>
      <c r="H76">
        <v>315815.5</v>
      </c>
      <c r="I76">
        <v>1617.6</v>
      </c>
      <c r="K76">
        <v>83294.899999999994</v>
      </c>
      <c r="L76">
        <v>357.5</v>
      </c>
      <c r="N76">
        <v>785.8</v>
      </c>
      <c r="O76">
        <v>55.3</v>
      </c>
      <c r="Q76">
        <v>7672.3</v>
      </c>
      <c r="R76">
        <v>129.19999999999999</v>
      </c>
      <c r="T76">
        <v>2019.3</v>
      </c>
      <c r="U76">
        <v>113</v>
      </c>
      <c r="W76">
        <v>1580.3</v>
      </c>
      <c r="X76">
        <v>111</v>
      </c>
      <c r="Z76">
        <v>26721.200000000001</v>
      </c>
      <c r="AA76">
        <v>202.1</v>
      </c>
      <c r="AC76">
        <v>57563.5</v>
      </c>
      <c r="AD76">
        <v>1070.3</v>
      </c>
      <c r="AF76" s="27">
        <v>8865991.9000000004</v>
      </c>
      <c r="AG76">
        <v>74547</v>
      </c>
      <c r="AI76" s="28">
        <v>10067159.1</v>
      </c>
      <c r="AJ76">
        <v>150301.70000000001</v>
      </c>
      <c r="AL76">
        <v>34067023.399999999</v>
      </c>
      <c r="AM76">
        <v>650682.9</v>
      </c>
      <c r="AO76">
        <v>23671.1</v>
      </c>
      <c r="AP76">
        <v>595.79999999999995</v>
      </c>
      <c r="AR76">
        <v>82051.7</v>
      </c>
      <c r="AS76">
        <v>1541</v>
      </c>
      <c r="AU76">
        <v>15068.9</v>
      </c>
      <c r="AV76">
        <v>239.6</v>
      </c>
      <c r="AX76">
        <v>3063.2</v>
      </c>
      <c r="AY76">
        <v>53.9</v>
      </c>
      <c r="BA76">
        <v>338.6</v>
      </c>
      <c r="BB76">
        <v>23.5</v>
      </c>
      <c r="BD76">
        <v>311.5</v>
      </c>
      <c r="BE76">
        <v>53.8</v>
      </c>
      <c r="BG76">
        <v>312.5</v>
      </c>
      <c r="BH76">
        <v>30.2</v>
      </c>
      <c r="BJ76">
        <v>257.3</v>
      </c>
      <c r="BK76">
        <v>15.4</v>
      </c>
      <c r="BM76">
        <v>213.6</v>
      </c>
      <c r="BN76">
        <v>16</v>
      </c>
      <c r="BP76">
        <v>1619.9</v>
      </c>
      <c r="BQ76">
        <v>104.6</v>
      </c>
      <c r="BS76">
        <v>677042</v>
      </c>
      <c r="BT76">
        <v>6899.3</v>
      </c>
      <c r="BV76">
        <v>2161.1999999999998</v>
      </c>
      <c r="BW76">
        <v>43.8</v>
      </c>
      <c r="BY76">
        <v>17422.3</v>
      </c>
      <c r="BZ76">
        <v>205.5</v>
      </c>
      <c r="CB76">
        <v>1085319</v>
      </c>
      <c r="CC76">
        <v>19394.5</v>
      </c>
      <c r="CE76">
        <v>929394.8</v>
      </c>
      <c r="CF76">
        <v>10589.7</v>
      </c>
      <c r="CH76">
        <v>2397974.7000000002</v>
      </c>
      <c r="CI76">
        <v>28101.1</v>
      </c>
      <c r="CK76">
        <v>349661.3</v>
      </c>
      <c r="CL76">
        <v>5763.4</v>
      </c>
      <c r="CN76">
        <v>11109895.199999999</v>
      </c>
      <c r="CO76">
        <v>126090.2</v>
      </c>
      <c r="CQ76">
        <v>133242.1</v>
      </c>
      <c r="CR76">
        <v>3096.3</v>
      </c>
      <c r="CT76">
        <v>111656.8</v>
      </c>
      <c r="CU76">
        <v>1841.3</v>
      </c>
      <c r="CW76">
        <v>3605539.7</v>
      </c>
      <c r="CX76">
        <v>28992.2</v>
      </c>
      <c r="CZ76">
        <v>184282.2</v>
      </c>
      <c r="DA76">
        <v>3195.7</v>
      </c>
      <c r="DC76">
        <v>100586.3</v>
      </c>
      <c r="DD76">
        <v>1534.8</v>
      </c>
      <c r="DF76">
        <v>48332.5</v>
      </c>
      <c r="DG76">
        <v>276.3</v>
      </c>
      <c r="DI76">
        <v>163.9</v>
      </c>
      <c r="DJ76">
        <v>29.3</v>
      </c>
      <c r="DL76">
        <v>275</v>
      </c>
      <c r="DM76">
        <v>30.1</v>
      </c>
      <c r="DO76">
        <v>10079.9</v>
      </c>
      <c r="DP76">
        <v>162.9</v>
      </c>
      <c r="DR76">
        <v>36196.6</v>
      </c>
      <c r="DS76">
        <v>918.8</v>
      </c>
      <c r="DU76">
        <v>329256.09999999998</v>
      </c>
      <c r="DV76">
        <v>10616.8</v>
      </c>
      <c r="DX76">
        <v>24540.6</v>
      </c>
      <c r="DY76">
        <v>971.3</v>
      </c>
      <c r="EA76">
        <v>3890.9</v>
      </c>
      <c r="EB76">
        <v>159.9</v>
      </c>
      <c r="ED76">
        <v>445892.7</v>
      </c>
      <c r="EE76">
        <v>14722.9</v>
      </c>
      <c r="EG76">
        <v>3882575.8</v>
      </c>
      <c r="EH76">
        <v>105039</v>
      </c>
      <c r="EJ76">
        <v>879316.1</v>
      </c>
      <c r="EK76">
        <v>12528.6</v>
      </c>
      <c r="EM76">
        <v>1129741.6000000001</v>
      </c>
      <c r="EN76">
        <v>29598.5</v>
      </c>
      <c r="EP76">
        <v>58324.3</v>
      </c>
      <c r="EQ76">
        <v>1263.0999999999999</v>
      </c>
      <c r="ES76">
        <v>3064377.5</v>
      </c>
      <c r="ET76">
        <v>20050.3</v>
      </c>
      <c r="EV76">
        <v>21.7</v>
      </c>
      <c r="EW76">
        <v>6</v>
      </c>
      <c r="EY76">
        <v>32743.1</v>
      </c>
      <c r="EZ76">
        <v>374.2</v>
      </c>
      <c r="FB76">
        <v>187.2</v>
      </c>
      <c r="FC76">
        <v>27.2</v>
      </c>
      <c r="FE76">
        <v>3089.8</v>
      </c>
      <c r="FF76">
        <v>152.19999999999999</v>
      </c>
      <c r="FH76">
        <v>789.6</v>
      </c>
      <c r="FI76">
        <v>91.7</v>
      </c>
      <c r="FK76">
        <v>235470.8</v>
      </c>
      <c r="FL76">
        <v>3340.3</v>
      </c>
      <c r="FN76">
        <v>269198.09999999998</v>
      </c>
      <c r="FO76">
        <v>2910.2</v>
      </c>
      <c r="FQ76">
        <v>15209.3</v>
      </c>
      <c r="FR76">
        <v>351.5</v>
      </c>
    </row>
    <row r="77" spans="1:174" x14ac:dyDescent="0.2">
      <c r="A77" t="s">
        <v>143</v>
      </c>
      <c r="B77">
        <v>10421.6</v>
      </c>
      <c r="C77">
        <v>593.5</v>
      </c>
      <c r="E77">
        <v>729.6</v>
      </c>
      <c r="F77">
        <v>75.900000000000006</v>
      </c>
      <c r="H77">
        <v>58617</v>
      </c>
      <c r="I77">
        <v>900.6</v>
      </c>
      <c r="K77">
        <v>105070.3</v>
      </c>
      <c r="L77">
        <v>617.70000000000005</v>
      </c>
      <c r="N77">
        <v>1457.3</v>
      </c>
      <c r="O77">
        <v>81.5</v>
      </c>
      <c r="Q77">
        <v>5541.3</v>
      </c>
      <c r="R77">
        <v>230.4</v>
      </c>
      <c r="T77">
        <v>1397.8</v>
      </c>
      <c r="U77">
        <v>62.4</v>
      </c>
      <c r="W77">
        <v>1180.9000000000001</v>
      </c>
      <c r="X77">
        <v>3.6</v>
      </c>
      <c r="Z77">
        <v>5915.8</v>
      </c>
      <c r="AA77">
        <v>186.6</v>
      </c>
      <c r="AC77">
        <v>12597.8</v>
      </c>
      <c r="AD77">
        <v>75.2</v>
      </c>
      <c r="AF77" s="27">
        <v>4643566.4000000004</v>
      </c>
      <c r="AG77">
        <v>26688.3</v>
      </c>
      <c r="AI77" s="28">
        <v>14590418.199999999</v>
      </c>
      <c r="AJ77">
        <v>44034.2</v>
      </c>
      <c r="AL77">
        <v>8792196.6999999993</v>
      </c>
      <c r="AM77">
        <v>21879.599999999999</v>
      </c>
      <c r="AO77">
        <v>5083.3999999999996</v>
      </c>
      <c r="AP77">
        <v>142</v>
      </c>
      <c r="AR77">
        <v>56403.5</v>
      </c>
      <c r="AS77">
        <v>1269.0999999999999</v>
      </c>
      <c r="AU77">
        <v>12676.2</v>
      </c>
      <c r="AV77">
        <v>457</v>
      </c>
      <c r="AX77">
        <v>20697.8</v>
      </c>
      <c r="AY77">
        <v>313.89999999999998</v>
      </c>
      <c r="BA77">
        <v>1415.5</v>
      </c>
      <c r="BB77">
        <v>30.4</v>
      </c>
      <c r="BD77">
        <v>328.2</v>
      </c>
      <c r="BE77">
        <v>13.6</v>
      </c>
      <c r="BG77">
        <v>437.6</v>
      </c>
      <c r="BH77">
        <v>8.3000000000000007</v>
      </c>
      <c r="BJ77">
        <v>291.7</v>
      </c>
      <c r="BK77">
        <v>73</v>
      </c>
      <c r="BM77">
        <v>207.3</v>
      </c>
      <c r="BN77">
        <v>46.9</v>
      </c>
      <c r="BP77">
        <v>2553.3000000000002</v>
      </c>
      <c r="BQ77">
        <v>170.9</v>
      </c>
      <c r="BS77">
        <v>676370.8</v>
      </c>
      <c r="BT77">
        <v>7790.3</v>
      </c>
      <c r="BV77">
        <v>2173.6999999999998</v>
      </c>
      <c r="BW77">
        <v>191.3</v>
      </c>
      <c r="BY77">
        <v>3517</v>
      </c>
      <c r="BZ77">
        <v>162</v>
      </c>
      <c r="CB77">
        <v>166066.29999999999</v>
      </c>
      <c r="CC77">
        <v>1305.0999999999999</v>
      </c>
      <c r="CE77">
        <v>139266.20000000001</v>
      </c>
      <c r="CF77">
        <v>1073</v>
      </c>
      <c r="CH77">
        <v>347949.3</v>
      </c>
      <c r="CI77">
        <v>4703.8</v>
      </c>
      <c r="CK77">
        <v>63615.199999999997</v>
      </c>
      <c r="CL77">
        <v>795.4</v>
      </c>
      <c r="CN77">
        <v>1944688.9</v>
      </c>
      <c r="CO77">
        <v>13865.6</v>
      </c>
      <c r="CQ77">
        <v>354136.9</v>
      </c>
      <c r="CR77">
        <v>9795.9</v>
      </c>
      <c r="CT77">
        <v>239581.2</v>
      </c>
      <c r="CU77">
        <v>7054.8</v>
      </c>
      <c r="CW77">
        <v>1254744.8999999999</v>
      </c>
      <c r="CX77">
        <v>2939.4</v>
      </c>
      <c r="CZ77">
        <v>70933.3</v>
      </c>
      <c r="DA77">
        <v>1377.8</v>
      </c>
      <c r="DC77">
        <v>49069.8</v>
      </c>
      <c r="DD77">
        <v>1064.7</v>
      </c>
      <c r="DF77">
        <v>57908.6</v>
      </c>
      <c r="DG77">
        <v>876.9</v>
      </c>
      <c r="DI77">
        <v>210.2</v>
      </c>
      <c r="DJ77">
        <v>54.3</v>
      </c>
      <c r="DL77">
        <v>257.39999999999998</v>
      </c>
      <c r="DM77">
        <v>21.2</v>
      </c>
      <c r="DO77">
        <v>6648.1</v>
      </c>
      <c r="DP77">
        <v>102.7</v>
      </c>
      <c r="DR77">
        <v>13529</v>
      </c>
      <c r="DS77">
        <v>345.6</v>
      </c>
      <c r="DU77">
        <v>864523.3</v>
      </c>
      <c r="DV77">
        <v>4740.3999999999996</v>
      </c>
      <c r="DX77">
        <v>3645.2</v>
      </c>
      <c r="DY77">
        <v>130.4</v>
      </c>
      <c r="EA77">
        <v>4355.3</v>
      </c>
      <c r="EB77">
        <v>221.1</v>
      </c>
      <c r="ED77">
        <v>73079</v>
      </c>
      <c r="EE77">
        <v>2707.6</v>
      </c>
      <c r="EG77">
        <v>570591.69999999995</v>
      </c>
      <c r="EH77">
        <v>13999.6</v>
      </c>
      <c r="EJ77">
        <v>472922.5</v>
      </c>
      <c r="EK77">
        <v>3644.3</v>
      </c>
      <c r="EM77">
        <v>1736153.5</v>
      </c>
      <c r="EN77">
        <v>51408.3</v>
      </c>
      <c r="EP77">
        <v>60488.800000000003</v>
      </c>
      <c r="EQ77">
        <v>1335.9</v>
      </c>
      <c r="ES77">
        <v>489666</v>
      </c>
      <c r="ET77">
        <v>5104.3999999999996</v>
      </c>
      <c r="EV77">
        <v>9.1</v>
      </c>
      <c r="EW77">
        <v>5.0999999999999996</v>
      </c>
      <c r="EY77">
        <v>4002.9</v>
      </c>
      <c r="EZ77">
        <v>100.2</v>
      </c>
      <c r="FB77">
        <v>72.8</v>
      </c>
      <c r="FC77">
        <v>23.9</v>
      </c>
      <c r="FE77">
        <v>1689</v>
      </c>
      <c r="FF77">
        <v>125.9</v>
      </c>
      <c r="FH77">
        <v>835.3</v>
      </c>
      <c r="FI77">
        <v>26.1</v>
      </c>
      <c r="FK77">
        <v>128832</v>
      </c>
      <c r="FL77">
        <v>672.2</v>
      </c>
      <c r="FN77">
        <v>401104.7</v>
      </c>
      <c r="FO77">
        <v>4490.6000000000004</v>
      </c>
      <c r="FQ77">
        <v>15694.3</v>
      </c>
      <c r="FR77">
        <v>215.5</v>
      </c>
    </row>
    <row r="78" spans="1:174" x14ac:dyDescent="0.2">
      <c r="A78" t="s">
        <v>144</v>
      </c>
      <c r="B78">
        <v>9289.2000000000007</v>
      </c>
      <c r="C78">
        <v>428.2</v>
      </c>
      <c r="E78">
        <v>754.6</v>
      </c>
      <c r="F78">
        <v>38.200000000000003</v>
      </c>
      <c r="H78">
        <v>24857.7</v>
      </c>
      <c r="I78">
        <v>269.7</v>
      </c>
      <c r="K78">
        <v>109956.5</v>
      </c>
      <c r="L78">
        <v>1243</v>
      </c>
      <c r="N78">
        <v>1270.5999999999999</v>
      </c>
      <c r="O78">
        <v>83.4</v>
      </c>
      <c r="Q78">
        <v>613.70000000000005</v>
      </c>
      <c r="R78">
        <v>33.200000000000003</v>
      </c>
      <c r="T78">
        <v>1238.3</v>
      </c>
      <c r="U78">
        <v>156.1</v>
      </c>
      <c r="W78">
        <v>1252.9000000000001</v>
      </c>
      <c r="X78">
        <v>137.6</v>
      </c>
      <c r="Z78">
        <v>3194.7</v>
      </c>
      <c r="AA78">
        <v>43.9</v>
      </c>
      <c r="AC78">
        <v>2730.5</v>
      </c>
      <c r="AD78">
        <v>150.6</v>
      </c>
      <c r="AF78" s="27">
        <v>3652459.3</v>
      </c>
      <c r="AG78">
        <v>15934.1</v>
      </c>
      <c r="AI78" s="28">
        <v>15262791.4</v>
      </c>
      <c r="AJ78">
        <v>150776.6</v>
      </c>
      <c r="AL78">
        <v>1793872.7</v>
      </c>
      <c r="AM78">
        <v>17037.599999999999</v>
      </c>
      <c r="AO78">
        <v>2772.2</v>
      </c>
      <c r="AP78">
        <v>94.9</v>
      </c>
      <c r="AR78">
        <v>49237.9</v>
      </c>
      <c r="AS78">
        <v>81.599999999999994</v>
      </c>
      <c r="AU78">
        <v>2488.6</v>
      </c>
      <c r="AV78">
        <v>97</v>
      </c>
      <c r="AX78">
        <v>3556.6</v>
      </c>
      <c r="AY78">
        <v>33</v>
      </c>
      <c r="BA78">
        <v>412.5</v>
      </c>
      <c r="BB78">
        <v>40.6</v>
      </c>
      <c r="BD78">
        <v>303.10000000000002</v>
      </c>
      <c r="BE78">
        <v>9.4</v>
      </c>
      <c r="BG78">
        <v>345.9</v>
      </c>
      <c r="BH78">
        <v>6.5</v>
      </c>
      <c r="BJ78">
        <v>232.3</v>
      </c>
      <c r="BK78">
        <v>27</v>
      </c>
      <c r="BM78">
        <v>235.4</v>
      </c>
      <c r="BN78">
        <v>51.6</v>
      </c>
      <c r="BP78">
        <v>702.3</v>
      </c>
      <c r="BQ78">
        <v>31.3</v>
      </c>
      <c r="BS78">
        <v>684610</v>
      </c>
      <c r="BT78">
        <v>10356.4</v>
      </c>
      <c r="BV78">
        <v>2215.4</v>
      </c>
      <c r="BW78">
        <v>87.8</v>
      </c>
      <c r="BY78">
        <v>1078.8</v>
      </c>
      <c r="BZ78">
        <v>84.1</v>
      </c>
      <c r="CB78">
        <v>53978.400000000001</v>
      </c>
      <c r="CC78">
        <v>1092.9000000000001</v>
      </c>
      <c r="CE78">
        <v>45254.3</v>
      </c>
      <c r="CF78">
        <v>236</v>
      </c>
      <c r="CH78">
        <v>111803.8</v>
      </c>
      <c r="CI78">
        <v>200.3</v>
      </c>
      <c r="CK78">
        <v>16389</v>
      </c>
      <c r="CL78">
        <v>860.6</v>
      </c>
      <c r="CN78">
        <v>589986.5</v>
      </c>
      <c r="CO78">
        <v>6540.7</v>
      </c>
      <c r="CQ78">
        <v>379713</v>
      </c>
      <c r="CR78">
        <v>1674.9</v>
      </c>
      <c r="CT78">
        <v>659914.19999999995</v>
      </c>
      <c r="CU78">
        <v>6942.8</v>
      </c>
      <c r="CW78">
        <v>806203.4</v>
      </c>
      <c r="CX78">
        <v>6592.3</v>
      </c>
      <c r="CZ78">
        <v>34651.599999999999</v>
      </c>
      <c r="DA78">
        <v>412.1</v>
      </c>
      <c r="DC78">
        <v>35893.1</v>
      </c>
      <c r="DD78">
        <v>310.39999999999998</v>
      </c>
      <c r="DF78">
        <v>57729.8</v>
      </c>
      <c r="DG78">
        <v>618.1</v>
      </c>
      <c r="DI78">
        <v>157.4</v>
      </c>
      <c r="DJ78">
        <v>13.1</v>
      </c>
      <c r="DL78">
        <v>295.39999999999998</v>
      </c>
      <c r="DM78">
        <v>16.7</v>
      </c>
      <c r="DO78">
        <v>5943.4</v>
      </c>
      <c r="DP78">
        <v>133.6</v>
      </c>
      <c r="DR78">
        <v>5992.6</v>
      </c>
      <c r="DS78">
        <v>82.3</v>
      </c>
      <c r="DU78">
        <v>156575.4</v>
      </c>
      <c r="DV78">
        <v>534.6</v>
      </c>
      <c r="DX78">
        <v>1184.9000000000001</v>
      </c>
      <c r="DY78">
        <v>5.8</v>
      </c>
      <c r="EA78">
        <v>2300.1</v>
      </c>
      <c r="EB78">
        <v>91</v>
      </c>
      <c r="ED78">
        <v>41526.199999999997</v>
      </c>
      <c r="EE78">
        <v>478</v>
      </c>
      <c r="EG78">
        <v>170182.39999999999</v>
      </c>
      <c r="EH78">
        <v>1493.9</v>
      </c>
      <c r="EJ78">
        <v>308523.90000000002</v>
      </c>
      <c r="EK78">
        <v>2544.6</v>
      </c>
      <c r="EM78">
        <v>1750295.7</v>
      </c>
      <c r="EN78">
        <v>55018.8</v>
      </c>
      <c r="EP78">
        <v>58863.7</v>
      </c>
      <c r="EQ78">
        <v>1300.0999999999999</v>
      </c>
      <c r="ES78">
        <v>181768.7</v>
      </c>
      <c r="ET78">
        <v>3107.6</v>
      </c>
      <c r="EV78">
        <v>3.9</v>
      </c>
      <c r="EW78">
        <v>3.8</v>
      </c>
      <c r="EY78">
        <v>804.8</v>
      </c>
      <c r="EZ78">
        <v>53.5</v>
      </c>
      <c r="FB78">
        <v>29.2</v>
      </c>
      <c r="FC78">
        <v>18.7</v>
      </c>
      <c r="FE78">
        <v>1035.4000000000001</v>
      </c>
      <c r="FF78">
        <v>34.5</v>
      </c>
      <c r="FH78">
        <v>827.5</v>
      </c>
      <c r="FI78">
        <v>20.5</v>
      </c>
      <c r="FK78">
        <v>86236.5</v>
      </c>
      <c r="FL78">
        <v>403.9</v>
      </c>
      <c r="FN78">
        <v>418796.1</v>
      </c>
      <c r="FO78">
        <v>13007.7</v>
      </c>
      <c r="FQ78">
        <v>15411.5</v>
      </c>
      <c r="FR78">
        <v>330</v>
      </c>
    </row>
    <row r="79" spans="1:174" x14ac:dyDescent="0.2">
      <c r="A79" t="s">
        <v>145</v>
      </c>
      <c r="B79">
        <v>30134.2</v>
      </c>
      <c r="C79">
        <v>304</v>
      </c>
      <c r="E79">
        <v>749</v>
      </c>
      <c r="F79">
        <v>26.8</v>
      </c>
      <c r="H79">
        <v>1824047.7</v>
      </c>
      <c r="I79">
        <v>20051.2</v>
      </c>
      <c r="K79">
        <v>104517.2</v>
      </c>
      <c r="L79">
        <v>1493.9</v>
      </c>
      <c r="N79">
        <v>491.8</v>
      </c>
      <c r="O79">
        <v>54</v>
      </c>
      <c r="Q79">
        <v>23774.6</v>
      </c>
      <c r="R79">
        <v>669.6</v>
      </c>
      <c r="T79">
        <v>1957.8</v>
      </c>
      <c r="U79">
        <v>42.2</v>
      </c>
      <c r="W79">
        <v>1542.8</v>
      </c>
      <c r="X79">
        <v>135.9</v>
      </c>
      <c r="Z79">
        <v>107351.1</v>
      </c>
      <c r="AA79">
        <v>1378.3</v>
      </c>
      <c r="AC79">
        <v>118680.6</v>
      </c>
      <c r="AD79">
        <v>1462.5</v>
      </c>
      <c r="AF79" s="27">
        <v>9925636.5</v>
      </c>
      <c r="AG79">
        <v>101175.7</v>
      </c>
      <c r="AI79" s="28">
        <v>10144215.6</v>
      </c>
      <c r="AJ79">
        <v>152391.5</v>
      </c>
      <c r="AL79">
        <v>59623471.799999997</v>
      </c>
      <c r="AM79">
        <v>221556.3</v>
      </c>
      <c r="AO79">
        <v>107217.1</v>
      </c>
      <c r="AP79">
        <v>975</v>
      </c>
      <c r="AR79">
        <v>215960.3</v>
      </c>
      <c r="AS79">
        <v>978</v>
      </c>
      <c r="AU79">
        <v>23273.4</v>
      </c>
      <c r="AV79">
        <v>458.1</v>
      </c>
      <c r="AX79">
        <v>1400</v>
      </c>
      <c r="AY79">
        <v>40.299999999999997</v>
      </c>
      <c r="BA79">
        <v>208.3</v>
      </c>
      <c r="BB79">
        <v>20.8</v>
      </c>
      <c r="BD79">
        <v>270.89999999999998</v>
      </c>
      <c r="BE79">
        <v>27.3</v>
      </c>
      <c r="BG79">
        <v>308.39999999999998</v>
      </c>
      <c r="BH79">
        <v>59.5</v>
      </c>
      <c r="BJ79">
        <v>268.8</v>
      </c>
      <c r="BK79">
        <v>24.8</v>
      </c>
      <c r="BM79">
        <v>204.2</v>
      </c>
      <c r="BN79">
        <v>7.9</v>
      </c>
      <c r="BP79">
        <v>13156.1</v>
      </c>
      <c r="BQ79">
        <v>114.9</v>
      </c>
      <c r="BS79">
        <v>684106.2</v>
      </c>
      <c r="BT79">
        <v>4058.2</v>
      </c>
      <c r="BV79">
        <v>2099.6</v>
      </c>
      <c r="BW79">
        <v>83</v>
      </c>
      <c r="BY79">
        <v>46268.5</v>
      </c>
      <c r="BZ79">
        <v>163</v>
      </c>
      <c r="CB79">
        <v>3408564.7</v>
      </c>
      <c r="CC79">
        <v>39039.9</v>
      </c>
      <c r="CE79">
        <v>2923395.7</v>
      </c>
      <c r="CF79">
        <v>6499.1</v>
      </c>
      <c r="CH79">
        <v>6343792.2000000002</v>
      </c>
      <c r="CI79">
        <v>92960</v>
      </c>
      <c r="CK79">
        <v>1155731.2</v>
      </c>
      <c r="CL79">
        <v>12176.1</v>
      </c>
      <c r="CN79">
        <v>29551293.399999999</v>
      </c>
      <c r="CO79">
        <v>528692.69999999995</v>
      </c>
      <c r="CQ79">
        <v>44508.9</v>
      </c>
      <c r="CR79">
        <v>1075.0999999999999</v>
      </c>
      <c r="CT79">
        <v>102629.6</v>
      </c>
      <c r="CU79">
        <v>3346.8</v>
      </c>
      <c r="CW79">
        <v>5903021.7999999998</v>
      </c>
      <c r="CX79">
        <v>101527.5</v>
      </c>
      <c r="CZ79">
        <v>320708.09999999998</v>
      </c>
      <c r="DA79">
        <v>8190.8</v>
      </c>
      <c r="DC79">
        <v>484332.7</v>
      </c>
      <c r="DD79">
        <v>1453.3</v>
      </c>
      <c r="DF79">
        <v>43727.1</v>
      </c>
      <c r="DG79">
        <v>382.8</v>
      </c>
      <c r="DI79">
        <v>182.4</v>
      </c>
      <c r="DJ79">
        <v>46.7</v>
      </c>
      <c r="DL79">
        <v>502.9</v>
      </c>
      <c r="DM79">
        <v>31.4</v>
      </c>
      <c r="DO79">
        <v>14935.3</v>
      </c>
      <c r="DP79">
        <v>242.6</v>
      </c>
      <c r="DR79">
        <v>109062</v>
      </c>
      <c r="DS79">
        <v>1442.7</v>
      </c>
      <c r="DU79">
        <v>236775.9</v>
      </c>
      <c r="DV79">
        <v>4204</v>
      </c>
      <c r="DX79">
        <v>30133.200000000001</v>
      </c>
      <c r="DY79">
        <v>151.5</v>
      </c>
      <c r="EA79">
        <v>3339.2</v>
      </c>
      <c r="EB79">
        <v>64.2</v>
      </c>
      <c r="ED79">
        <v>414831.7</v>
      </c>
      <c r="EE79">
        <v>1882.9</v>
      </c>
      <c r="EG79">
        <v>10022822.800000001</v>
      </c>
      <c r="EH79">
        <v>126736.9</v>
      </c>
      <c r="EJ79">
        <v>1013087.6</v>
      </c>
      <c r="EK79">
        <v>13766.5</v>
      </c>
      <c r="EM79">
        <v>1173072.6000000001</v>
      </c>
      <c r="EN79">
        <v>9882</v>
      </c>
      <c r="EP79">
        <v>59377.599999999999</v>
      </c>
      <c r="EQ79">
        <v>1525.2</v>
      </c>
      <c r="ES79">
        <v>12624451.300000001</v>
      </c>
      <c r="ET79">
        <v>84276.5</v>
      </c>
      <c r="EV79">
        <v>127.2</v>
      </c>
      <c r="EW79">
        <v>4.2</v>
      </c>
      <c r="EY79">
        <v>67583.199999999997</v>
      </c>
      <c r="EZ79">
        <v>696.5</v>
      </c>
      <c r="FB79">
        <v>309.8</v>
      </c>
      <c r="FC79">
        <v>21</v>
      </c>
      <c r="FE79">
        <v>3773.6</v>
      </c>
      <c r="FF79">
        <v>71</v>
      </c>
      <c r="FH79">
        <v>789.1</v>
      </c>
      <c r="FI79">
        <v>24.3</v>
      </c>
      <c r="FK79">
        <v>257380.4</v>
      </c>
      <c r="FL79">
        <v>3175.7</v>
      </c>
      <c r="FN79">
        <v>270620</v>
      </c>
      <c r="FO79">
        <v>889.4</v>
      </c>
      <c r="FQ79">
        <v>15299</v>
      </c>
      <c r="FR79">
        <v>64.599999999999994</v>
      </c>
    </row>
    <row r="80" spans="1:174" x14ac:dyDescent="0.2">
      <c r="A80" t="s">
        <v>146</v>
      </c>
      <c r="B80">
        <v>9384.4</v>
      </c>
      <c r="C80">
        <v>180.1</v>
      </c>
      <c r="E80">
        <v>668.3</v>
      </c>
      <c r="F80">
        <v>38.799999999999997</v>
      </c>
      <c r="H80">
        <v>59192.2</v>
      </c>
      <c r="I80">
        <v>787.2</v>
      </c>
      <c r="K80">
        <v>56989</v>
      </c>
      <c r="L80">
        <v>125.7</v>
      </c>
      <c r="N80">
        <v>1291.5</v>
      </c>
      <c r="O80">
        <v>129.19999999999999</v>
      </c>
      <c r="Q80">
        <v>9718.2000000000007</v>
      </c>
      <c r="R80">
        <v>69.2</v>
      </c>
      <c r="T80">
        <v>1193.5</v>
      </c>
      <c r="U80">
        <v>61.1</v>
      </c>
      <c r="W80">
        <v>1251.8</v>
      </c>
      <c r="X80">
        <v>124.7</v>
      </c>
      <c r="Z80">
        <v>6115</v>
      </c>
      <c r="AA80">
        <v>290.8</v>
      </c>
      <c r="AC80">
        <v>1400.9</v>
      </c>
      <c r="AD80">
        <v>77.8</v>
      </c>
      <c r="AF80" s="27">
        <v>3218029.7</v>
      </c>
      <c r="AG80">
        <v>28030</v>
      </c>
      <c r="AI80" s="28">
        <v>917755.7</v>
      </c>
      <c r="AJ80">
        <v>6282.9</v>
      </c>
      <c r="AL80">
        <v>1476312.3</v>
      </c>
      <c r="AM80">
        <v>9440.4</v>
      </c>
      <c r="AO80">
        <v>9295.6</v>
      </c>
      <c r="AP80">
        <v>328</v>
      </c>
      <c r="AR80">
        <v>58569</v>
      </c>
      <c r="AS80">
        <v>1807.9</v>
      </c>
      <c r="AU80">
        <v>8362</v>
      </c>
      <c r="AV80">
        <v>376.6</v>
      </c>
      <c r="AX80">
        <v>13304.3</v>
      </c>
      <c r="AY80">
        <v>180</v>
      </c>
      <c r="BA80">
        <v>1117.4000000000001</v>
      </c>
      <c r="BB80">
        <v>92.3</v>
      </c>
      <c r="BD80">
        <v>300.10000000000002</v>
      </c>
      <c r="BE80">
        <v>31.3</v>
      </c>
      <c r="BG80">
        <v>370.9</v>
      </c>
      <c r="BH80">
        <v>30.7</v>
      </c>
      <c r="BJ80">
        <v>215.6</v>
      </c>
      <c r="BK80">
        <v>5.4</v>
      </c>
      <c r="BM80">
        <v>241.7</v>
      </c>
      <c r="BN80">
        <v>4.8</v>
      </c>
      <c r="BP80">
        <v>7615</v>
      </c>
      <c r="BQ80">
        <v>166.1</v>
      </c>
      <c r="BS80">
        <v>687689.8</v>
      </c>
      <c r="BT80">
        <v>8604</v>
      </c>
      <c r="BV80">
        <v>2150.8000000000002</v>
      </c>
      <c r="BW80">
        <v>92.9</v>
      </c>
      <c r="BY80">
        <v>3918.4</v>
      </c>
      <c r="BZ80">
        <v>74.7</v>
      </c>
      <c r="CB80">
        <v>162833.5</v>
      </c>
      <c r="CC80">
        <v>2388.4</v>
      </c>
      <c r="CE80">
        <v>135904.29999999999</v>
      </c>
      <c r="CF80">
        <v>2420.3000000000002</v>
      </c>
      <c r="CH80">
        <v>337257</v>
      </c>
      <c r="CI80">
        <v>1413.6</v>
      </c>
      <c r="CK80">
        <v>229322.6</v>
      </c>
      <c r="CL80">
        <v>3388.4</v>
      </c>
      <c r="CN80">
        <v>844894.2</v>
      </c>
      <c r="CO80">
        <v>10414.799999999999</v>
      </c>
      <c r="CQ80">
        <v>51789</v>
      </c>
      <c r="CR80">
        <v>420.5</v>
      </c>
      <c r="CT80">
        <v>329560.2</v>
      </c>
      <c r="CU80">
        <v>3876.8</v>
      </c>
      <c r="CW80">
        <v>808721.5</v>
      </c>
      <c r="CX80">
        <v>14945</v>
      </c>
      <c r="CZ80">
        <v>18906.8</v>
      </c>
      <c r="DA80">
        <v>505.8</v>
      </c>
      <c r="DC80">
        <v>81154.100000000006</v>
      </c>
      <c r="DD80">
        <v>502</v>
      </c>
      <c r="DF80">
        <v>38491.5</v>
      </c>
      <c r="DG80">
        <v>805.2</v>
      </c>
      <c r="DI80">
        <v>398.2</v>
      </c>
      <c r="DJ80">
        <v>39.700000000000003</v>
      </c>
      <c r="DL80">
        <v>498.3</v>
      </c>
      <c r="DM80">
        <v>73.099999999999994</v>
      </c>
      <c r="DO80">
        <v>66739.899999999994</v>
      </c>
      <c r="DP80">
        <v>1965.8</v>
      </c>
      <c r="DR80">
        <v>69012.800000000003</v>
      </c>
      <c r="DS80">
        <v>2263.3000000000002</v>
      </c>
      <c r="DU80">
        <v>880625.9</v>
      </c>
      <c r="DV80">
        <v>32186.799999999999</v>
      </c>
      <c r="DX80">
        <v>2332.5</v>
      </c>
      <c r="DY80">
        <v>48.9</v>
      </c>
      <c r="EA80">
        <v>18007.7</v>
      </c>
      <c r="EB80">
        <v>506.6</v>
      </c>
      <c r="ED80">
        <v>63991.3</v>
      </c>
      <c r="EE80">
        <v>2525.6</v>
      </c>
      <c r="EG80">
        <v>206426.7</v>
      </c>
      <c r="EH80">
        <v>8114.4</v>
      </c>
      <c r="EJ80">
        <v>275857.7</v>
      </c>
      <c r="EK80">
        <v>4347</v>
      </c>
      <c r="EM80">
        <v>91408.2</v>
      </c>
      <c r="EN80">
        <v>3080.9</v>
      </c>
      <c r="EP80">
        <v>59467.1</v>
      </c>
      <c r="EQ80">
        <v>1228.5999999999999</v>
      </c>
      <c r="ES80">
        <v>390736.7</v>
      </c>
      <c r="ET80">
        <v>31196.400000000001</v>
      </c>
      <c r="EV80">
        <v>10</v>
      </c>
      <c r="EW80">
        <v>3.3</v>
      </c>
      <c r="EY80">
        <v>13570.6</v>
      </c>
      <c r="EZ80">
        <v>183.6</v>
      </c>
      <c r="FB80">
        <v>147.30000000000001</v>
      </c>
      <c r="FC80">
        <v>32.6</v>
      </c>
      <c r="FE80">
        <v>2351.1</v>
      </c>
      <c r="FF80">
        <v>196.5</v>
      </c>
      <c r="FH80">
        <v>793.5</v>
      </c>
      <c r="FI80">
        <v>83.3</v>
      </c>
      <c r="FK80">
        <v>74807.5</v>
      </c>
      <c r="FL80">
        <v>563.20000000000005</v>
      </c>
      <c r="FN80">
        <v>22790.5</v>
      </c>
      <c r="FO80">
        <v>313.2</v>
      </c>
      <c r="FQ80">
        <v>15313.1</v>
      </c>
      <c r="FR80">
        <v>132.4</v>
      </c>
    </row>
    <row r="81" spans="1:174" x14ac:dyDescent="0.2">
      <c r="A81" t="s">
        <v>147</v>
      </c>
      <c r="B81">
        <v>13078.4</v>
      </c>
      <c r="C81">
        <v>405</v>
      </c>
      <c r="E81">
        <v>785.2</v>
      </c>
      <c r="F81">
        <v>51.5</v>
      </c>
      <c r="H81">
        <v>596580.30000000005</v>
      </c>
      <c r="I81">
        <v>2339.1</v>
      </c>
      <c r="K81">
        <v>200496</v>
      </c>
      <c r="L81">
        <v>1392.3</v>
      </c>
      <c r="N81">
        <v>3015.3</v>
      </c>
      <c r="O81">
        <v>200.5</v>
      </c>
      <c r="Q81">
        <v>11371.8</v>
      </c>
      <c r="R81">
        <v>179.9</v>
      </c>
      <c r="T81">
        <v>1429.1</v>
      </c>
      <c r="U81">
        <v>19.600000000000001</v>
      </c>
      <c r="W81">
        <v>1189.3</v>
      </c>
      <c r="X81">
        <v>48.1</v>
      </c>
      <c r="Z81">
        <v>31245.5</v>
      </c>
      <c r="AA81">
        <v>415.3</v>
      </c>
      <c r="AC81">
        <v>30479.8</v>
      </c>
      <c r="AD81">
        <v>218.1</v>
      </c>
      <c r="AF81" s="27">
        <v>4061382.5</v>
      </c>
      <c r="AG81">
        <v>52713.5</v>
      </c>
      <c r="AI81" s="28">
        <v>3505929.3</v>
      </c>
      <c r="AJ81">
        <v>22082.799999999999</v>
      </c>
      <c r="AL81">
        <v>12728833.9</v>
      </c>
      <c r="AM81">
        <v>36802</v>
      </c>
      <c r="AO81">
        <v>43542.2</v>
      </c>
      <c r="AP81">
        <v>238.3</v>
      </c>
      <c r="AR81">
        <v>147340.9</v>
      </c>
      <c r="AS81">
        <v>609.20000000000005</v>
      </c>
      <c r="AU81">
        <v>10097.9</v>
      </c>
      <c r="AV81">
        <v>123.4</v>
      </c>
      <c r="AX81">
        <v>8695.7000000000007</v>
      </c>
      <c r="AY81">
        <v>489.1</v>
      </c>
      <c r="BA81">
        <v>1114.2</v>
      </c>
      <c r="BB81">
        <v>34.299999999999997</v>
      </c>
      <c r="BD81">
        <v>359.4</v>
      </c>
      <c r="BE81">
        <v>57.9</v>
      </c>
      <c r="BG81">
        <v>437.5</v>
      </c>
      <c r="BH81">
        <v>61.6</v>
      </c>
      <c r="BJ81">
        <v>274</v>
      </c>
      <c r="BK81">
        <v>42.5</v>
      </c>
      <c r="BM81">
        <v>288.60000000000002</v>
      </c>
      <c r="BN81">
        <v>42</v>
      </c>
      <c r="BP81">
        <v>6134.8</v>
      </c>
      <c r="BQ81">
        <v>202.3</v>
      </c>
      <c r="BS81">
        <v>672919.4</v>
      </c>
      <c r="BT81">
        <v>10206.299999999999</v>
      </c>
      <c r="BV81">
        <v>2048.5</v>
      </c>
      <c r="BW81">
        <v>98.1</v>
      </c>
      <c r="BY81">
        <v>8134.4</v>
      </c>
      <c r="BZ81">
        <v>198.6</v>
      </c>
      <c r="CB81">
        <v>925803.7</v>
      </c>
      <c r="CC81">
        <v>20654.5</v>
      </c>
      <c r="CE81">
        <v>766736.8</v>
      </c>
      <c r="CF81">
        <v>12195.2</v>
      </c>
      <c r="CH81">
        <v>1986370</v>
      </c>
      <c r="CI81">
        <v>35802.9</v>
      </c>
      <c r="CK81">
        <v>281734.40000000002</v>
      </c>
      <c r="CL81">
        <v>2878.2</v>
      </c>
      <c r="CN81">
        <v>6515899.7000000002</v>
      </c>
      <c r="CO81">
        <v>36184.800000000003</v>
      </c>
      <c r="CQ81">
        <v>206667.7</v>
      </c>
      <c r="CR81">
        <v>2010</v>
      </c>
      <c r="CT81">
        <v>416474.2</v>
      </c>
      <c r="CU81">
        <v>6926</v>
      </c>
      <c r="CW81">
        <v>2175407.4</v>
      </c>
      <c r="CX81">
        <v>16714.2</v>
      </c>
      <c r="CZ81">
        <v>132066.6</v>
      </c>
      <c r="DA81">
        <v>1269.5</v>
      </c>
      <c r="DC81">
        <v>472623.1</v>
      </c>
      <c r="DD81">
        <v>3701.9</v>
      </c>
      <c r="DF81">
        <v>127263.2</v>
      </c>
      <c r="DG81">
        <v>2955.6</v>
      </c>
      <c r="DI81">
        <v>1094.0999999999999</v>
      </c>
      <c r="DJ81">
        <v>79.400000000000006</v>
      </c>
      <c r="DL81">
        <v>725.3</v>
      </c>
      <c r="DM81">
        <v>76.8</v>
      </c>
      <c r="DO81">
        <v>57686.6</v>
      </c>
      <c r="DP81">
        <v>582.29999999999995</v>
      </c>
      <c r="DR81">
        <v>125114.6</v>
      </c>
      <c r="DS81">
        <v>1303.4000000000001</v>
      </c>
      <c r="DU81">
        <v>643283.30000000005</v>
      </c>
      <c r="DV81">
        <v>10014.1</v>
      </c>
      <c r="DX81">
        <v>8765.9</v>
      </c>
      <c r="DY81">
        <v>262.89999999999998</v>
      </c>
      <c r="EA81">
        <v>30700.9</v>
      </c>
      <c r="EB81">
        <v>839.9</v>
      </c>
      <c r="ED81">
        <v>84095.9</v>
      </c>
      <c r="EE81">
        <v>1904.2</v>
      </c>
      <c r="EG81">
        <v>2778125.6</v>
      </c>
      <c r="EH81">
        <v>92193.3</v>
      </c>
      <c r="EJ81">
        <v>396714.5</v>
      </c>
      <c r="EK81">
        <v>3356.5</v>
      </c>
      <c r="EM81">
        <v>329764.59999999998</v>
      </c>
      <c r="EN81">
        <v>1427.4</v>
      </c>
      <c r="EP81">
        <v>58908.7</v>
      </c>
      <c r="EQ81">
        <v>134.80000000000001</v>
      </c>
      <c r="ES81">
        <v>3574881.8</v>
      </c>
      <c r="ET81">
        <v>127562.2</v>
      </c>
      <c r="EV81">
        <v>57.2</v>
      </c>
      <c r="EW81">
        <v>11.8</v>
      </c>
      <c r="EY81">
        <v>85409.3</v>
      </c>
      <c r="EZ81">
        <v>2139.1</v>
      </c>
      <c r="FB81">
        <v>246.6</v>
      </c>
      <c r="FC81">
        <v>45.2</v>
      </c>
      <c r="FE81">
        <v>2810.1</v>
      </c>
      <c r="FF81">
        <v>129.19999999999999</v>
      </c>
      <c r="FH81">
        <v>789.1</v>
      </c>
      <c r="FI81">
        <v>21.7</v>
      </c>
      <c r="FK81">
        <v>104038.8</v>
      </c>
      <c r="FL81">
        <v>536.79999999999995</v>
      </c>
      <c r="FN81">
        <v>78669.899999999994</v>
      </c>
      <c r="FO81">
        <v>1336.5</v>
      </c>
      <c r="FQ81">
        <v>15288.7</v>
      </c>
      <c r="FR81">
        <v>243.3</v>
      </c>
    </row>
    <row r="82" spans="1:174" x14ac:dyDescent="0.2">
      <c r="A82" t="s">
        <v>148</v>
      </c>
      <c r="B82">
        <v>15278</v>
      </c>
      <c r="C82">
        <v>375.9</v>
      </c>
      <c r="E82">
        <v>710.1</v>
      </c>
      <c r="F82">
        <v>114.7</v>
      </c>
      <c r="H82">
        <v>799997.8</v>
      </c>
      <c r="I82">
        <v>9325.6</v>
      </c>
      <c r="K82">
        <v>108930.4</v>
      </c>
      <c r="L82">
        <v>1216.5</v>
      </c>
      <c r="N82">
        <v>1369.7</v>
      </c>
      <c r="O82">
        <v>105.5</v>
      </c>
      <c r="Q82">
        <v>9958.1</v>
      </c>
      <c r="R82">
        <v>36.1</v>
      </c>
      <c r="T82">
        <v>1598.1</v>
      </c>
      <c r="U82">
        <v>126.6</v>
      </c>
      <c r="W82">
        <v>1130.9000000000001</v>
      </c>
      <c r="X82">
        <v>141.30000000000001</v>
      </c>
      <c r="Z82">
        <v>39397.9</v>
      </c>
      <c r="AA82">
        <v>827.3</v>
      </c>
      <c r="AC82">
        <v>47659.7</v>
      </c>
      <c r="AD82">
        <v>1244.3</v>
      </c>
      <c r="AF82" s="27">
        <v>4669062.3</v>
      </c>
      <c r="AG82">
        <v>52334.400000000001</v>
      </c>
      <c r="AI82" s="28">
        <v>4042479.9</v>
      </c>
      <c r="AJ82">
        <v>49605.599999999999</v>
      </c>
      <c r="AL82">
        <v>20045402.600000001</v>
      </c>
      <c r="AM82">
        <v>184740.6</v>
      </c>
      <c r="AO82">
        <v>56311.4</v>
      </c>
      <c r="AP82">
        <v>164</v>
      </c>
      <c r="AR82">
        <v>116507.9</v>
      </c>
      <c r="AS82">
        <v>702.8</v>
      </c>
      <c r="AU82">
        <v>10001.9</v>
      </c>
      <c r="AV82">
        <v>145.69999999999999</v>
      </c>
      <c r="AX82">
        <v>3335.4</v>
      </c>
      <c r="AY82">
        <v>66</v>
      </c>
      <c r="BA82">
        <v>371.9</v>
      </c>
      <c r="BB82">
        <v>48.5</v>
      </c>
      <c r="BD82">
        <v>310.39999999999998</v>
      </c>
      <c r="BE82">
        <v>56.7</v>
      </c>
      <c r="BG82">
        <v>333.3</v>
      </c>
      <c r="BH82">
        <v>18.3</v>
      </c>
      <c r="BJ82">
        <v>259.39999999999998</v>
      </c>
      <c r="BK82">
        <v>17.399999999999999</v>
      </c>
      <c r="BM82">
        <v>183.3</v>
      </c>
      <c r="BN82">
        <v>42.7</v>
      </c>
      <c r="BP82">
        <v>3560.8</v>
      </c>
      <c r="BQ82">
        <v>107.5</v>
      </c>
      <c r="BS82">
        <v>666886.30000000005</v>
      </c>
      <c r="BT82">
        <v>14561.4</v>
      </c>
      <c r="BV82">
        <v>2188.1999999999998</v>
      </c>
      <c r="BW82">
        <v>58.2</v>
      </c>
      <c r="BY82">
        <v>16283.6</v>
      </c>
      <c r="BZ82">
        <v>301.39999999999998</v>
      </c>
      <c r="CB82">
        <v>1337506</v>
      </c>
      <c r="CC82">
        <v>30741.8</v>
      </c>
      <c r="CE82">
        <v>1114098.8</v>
      </c>
      <c r="CF82">
        <v>17690.7</v>
      </c>
      <c r="CH82">
        <v>2899881.7</v>
      </c>
      <c r="CI82">
        <v>43848.5</v>
      </c>
      <c r="CK82">
        <v>406907.6</v>
      </c>
      <c r="CL82">
        <v>6969.7</v>
      </c>
      <c r="CN82">
        <v>8921832.0999999996</v>
      </c>
      <c r="CO82">
        <v>68729.399999999994</v>
      </c>
      <c r="CQ82">
        <v>99007.5</v>
      </c>
      <c r="CR82">
        <v>1077.5</v>
      </c>
      <c r="CT82">
        <v>520959.2</v>
      </c>
      <c r="CU82">
        <v>4235.3999999999996</v>
      </c>
      <c r="CW82">
        <v>2758067.6</v>
      </c>
      <c r="CX82">
        <v>24459.5</v>
      </c>
      <c r="CZ82">
        <v>169222.6</v>
      </c>
      <c r="DA82">
        <v>1555</v>
      </c>
      <c r="DC82">
        <v>556302.1</v>
      </c>
      <c r="DD82">
        <v>3800.6</v>
      </c>
      <c r="DF82">
        <v>57625.599999999999</v>
      </c>
      <c r="DG82">
        <v>962.6</v>
      </c>
      <c r="DI82">
        <v>691</v>
      </c>
      <c r="DJ82">
        <v>103.7</v>
      </c>
      <c r="DL82">
        <v>508.4</v>
      </c>
      <c r="DM82">
        <v>43.4</v>
      </c>
      <c r="DO82">
        <v>27169.599999999999</v>
      </c>
      <c r="DP82">
        <v>257.89999999999998</v>
      </c>
      <c r="DR82">
        <v>62102.6</v>
      </c>
      <c r="DS82">
        <v>1439.1</v>
      </c>
      <c r="DU82">
        <v>452166.40000000002</v>
      </c>
      <c r="DV82">
        <v>14071.6</v>
      </c>
      <c r="DX82">
        <v>11217.9</v>
      </c>
      <c r="DY82">
        <v>329.8</v>
      </c>
      <c r="EA82">
        <v>18133</v>
      </c>
      <c r="EB82">
        <v>332.7</v>
      </c>
      <c r="ED82">
        <v>114039</v>
      </c>
      <c r="EE82">
        <v>719.1</v>
      </c>
      <c r="EG82">
        <v>3833799.1</v>
      </c>
      <c r="EH82">
        <v>70418.899999999994</v>
      </c>
      <c r="EJ82">
        <v>474565.1</v>
      </c>
      <c r="EK82">
        <v>2161.6</v>
      </c>
      <c r="EM82">
        <v>441978.7</v>
      </c>
      <c r="EN82">
        <v>8004.5</v>
      </c>
      <c r="EP82">
        <v>60584.800000000003</v>
      </c>
      <c r="EQ82">
        <v>2266.9</v>
      </c>
      <c r="ES82">
        <v>4713623</v>
      </c>
      <c r="ET82">
        <v>72482.8</v>
      </c>
      <c r="EV82">
        <v>76.099999999999994</v>
      </c>
      <c r="EW82">
        <v>17.7</v>
      </c>
      <c r="EY82">
        <v>165209.5</v>
      </c>
      <c r="EZ82">
        <v>2082.9</v>
      </c>
      <c r="FB82">
        <v>219.3</v>
      </c>
      <c r="FC82">
        <v>49.7</v>
      </c>
      <c r="FE82">
        <v>2449.4</v>
      </c>
      <c r="FF82">
        <v>253.2</v>
      </c>
      <c r="FH82">
        <v>737.3</v>
      </c>
      <c r="FI82">
        <v>13</v>
      </c>
      <c r="FK82">
        <v>121891.5</v>
      </c>
      <c r="FL82">
        <v>1522.8</v>
      </c>
      <c r="FN82">
        <v>105095.2</v>
      </c>
      <c r="FO82">
        <v>1208</v>
      </c>
      <c r="FQ82">
        <v>14852.2</v>
      </c>
      <c r="FR82">
        <v>497</v>
      </c>
    </row>
    <row r="83" spans="1:174" x14ac:dyDescent="0.2">
      <c r="A83" t="s">
        <v>149</v>
      </c>
      <c r="B83">
        <v>23811.200000000001</v>
      </c>
      <c r="C83">
        <v>218.6</v>
      </c>
      <c r="E83">
        <v>737</v>
      </c>
      <c r="F83">
        <v>39.9</v>
      </c>
      <c r="H83">
        <v>1776248.3</v>
      </c>
      <c r="I83">
        <v>12219.3</v>
      </c>
      <c r="K83">
        <v>170036</v>
      </c>
      <c r="L83">
        <v>613.1</v>
      </c>
      <c r="N83">
        <v>2292.5</v>
      </c>
      <c r="O83">
        <v>73.900000000000006</v>
      </c>
      <c r="Q83">
        <v>24577.3</v>
      </c>
      <c r="R83">
        <v>382.4</v>
      </c>
      <c r="T83">
        <v>1701.3</v>
      </c>
      <c r="U83">
        <v>0.1</v>
      </c>
      <c r="W83">
        <v>1344.7</v>
      </c>
      <c r="X83">
        <v>108.6</v>
      </c>
      <c r="Z83">
        <v>64920.4</v>
      </c>
      <c r="AA83">
        <v>571.20000000000005</v>
      </c>
      <c r="AC83">
        <v>88547</v>
      </c>
      <c r="AD83">
        <v>1124</v>
      </c>
      <c r="AF83" s="27">
        <v>6996767.2999999998</v>
      </c>
      <c r="AG83">
        <v>29163.200000000001</v>
      </c>
      <c r="AI83" s="28">
        <v>7492947.2999999998</v>
      </c>
      <c r="AJ83">
        <v>70731.3</v>
      </c>
      <c r="AL83">
        <v>38349928.600000001</v>
      </c>
      <c r="AM83">
        <v>306217.3</v>
      </c>
      <c r="AO83">
        <v>120158.39999999999</v>
      </c>
      <c r="AP83">
        <v>828.5</v>
      </c>
      <c r="AR83">
        <v>827393.3</v>
      </c>
      <c r="AS83">
        <v>11269.9</v>
      </c>
      <c r="AU83">
        <v>17255.400000000001</v>
      </c>
      <c r="AV83">
        <v>351.7</v>
      </c>
      <c r="AX83">
        <v>4221.8999999999996</v>
      </c>
      <c r="AY83">
        <v>129.6</v>
      </c>
      <c r="BA83">
        <v>435.5</v>
      </c>
      <c r="BB83">
        <v>33.4</v>
      </c>
      <c r="BD83">
        <v>317.8</v>
      </c>
      <c r="BE83">
        <v>60.6</v>
      </c>
      <c r="BG83">
        <v>329.2</v>
      </c>
      <c r="BH83">
        <v>57</v>
      </c>
      <c r="BJ83">
        <v>284.39999999999998</v>
      </c>
      <c r="BK83">
        <v>31.7</v>
      </c>
      <c r="BM83">
        <v>250</v>
      </c>
      <c r="BN83">
        <v>57</v>
      </c>
      <c r="BP83">
        <v>7850.8</v>
      </c>
      <c r="BQ83">
        <v>58.6</v>
      </c>
      <c r="BS83">
        <v>675329.2</v>
      </c>
      <c r="BT83">
        <v>17091.400000000001</v>
      </c>
      <c r="BV83">
        <v>2152.8000000000002</v>
      </c>
      <c r="BW83">
        <v>47.8</v>
      </c>
      <c r="BY83">
        <v>22335.599999999999</v>
      </c>
      <c r="BZ83">
        <v>573.20000000000005</v>
      </c>
      <c r="CB83">
        <v>2894125.7</v>
      </c>
      <c r="CC83">
        <v>31661</v>
      </c>
      <c r="CE83">
        <v>2431655.2999999998</v>
      </c>
      <c r="CF83">
        <v>14614</v>
      </c>
      <c r="CH83">
        <v>5410151.7999999998</v>
      </c>
      <c r="CI83">
        <v>20807.900000000001</v>
      </c>
      <c r="CK83">
        <v>823635.2</v>
      </c>
      <c r="CL83">
        <v>7955.2</v>
      </c>
      <c r="CN83">
        <v>18265837</v>
      </c>
      <c r="CO83">
        <v>135082.79999999999</v>
      </c>
      <c r="CQ83">
        <v>71509.100000000006</v>
      </c>
      <c r="CR83">
        <v>860.5</v>
      </c>
      <c r="CT83">
        <v>425742</v>
      </c>
      <c r="CU83">
        <v>6888.9</v>
      </c>
      <c r="CW83">
        <v>4263420.0999999996</v>
      </c>
      <c r="CX83">
        <v>28938.1</v>
      </c>
      <c r="CZ83">
        <v>295219.5</v>
      </c>
      <c r="DA83">
        <v>4743.5</v>
      </c>
      <c r="DC83">
        <v>1105368.3</v>
      </c>
      <c r="DD83">
        <v>7318</v>
      </c>
      <c r="DF83">
        <v>87451.1</v>
      </c>
      <c r="DG83">
        <v>769.2</v>
      </c>
      <c r="DI83">
        <v>820.7</v>
      </c>
      <c r="DJ83">
        <v>79.400000000000006</v>
      </c>
      <c r="DL83">
        <v>799.4</v>
      </c>
      <c r="DM83">
        <v>134.6</v>
      </c>
      <c r="DO83">
        <v>42340</v>
      </c>
      <c r="DP83">
        <v>1167.0999999999999</v>
      </c>
      <c r="DR83">
        <v>126662.5</v>
      </c>
      <c r="DS83">
        <v>2267.1</v>
      </c>
      <c r="DU83">
        <v>3562121.9</v>
      </c>
      <c r="DV83">
        <v>15134.5</v>
      </c>
      <c r="DX83">
        <v>18777.099999999999</v>
      </c>
      <c r="DY83">
        <v>94.2</v>
      </c>
      <c r="EA83">
        <v>13909.4</v>
      </c>
      <c r="EB83">
        <v>362</v>
      </c>
      <c r="ED83">
        <v>196567.6</v>
      </c>
      <c r="EE83">
        <v>1855.5</v>
      </c>
      <c r="EG83">
        <v>7845202.7999999998</v>
      </c>
      <c r="EH83">
        <v>92177</v>
      </c>
      <c r="EJ83">
        <v>713105.6</v>
      </c>
      <c r="EK83">
        <v>3680.5</v>
      </c>
      <c r="EM83">
        <v>828700.6</v>
      </c>
      <c r="EN83">
        <v>8641.9</v>
      </c>
      <c r="EP83">
        <v>61961.599999999999</v>
      </c>
      <c r="EQ83">
        <v>995.8</v>
      </c>
      <c r="ES83">
        <v>10082462.4</v>
      </c>
      <c r="ET83">
        <v>132901.70000000001</v>
      </c>
      <c r="EV83">
        <v>190.6</v>
      </c>
      <c r="EW83">
        <v>27</v>
      </c>
      <c r="EY83">
        <v>271064</v>
      </c>
      <c r="EZ83">
        <v>1823.3</v>
      </c>
      <c r="FB83">
        <v>229.9</v>
      </c>
      <c r="FC83">
        <v>17.600000000000001</v>
      </c>
      <c r="FE83">
        <v>2031.1</v>
      </c>
      <c r="FF83">
        <v>105.6</v>
      </c>
      <c r="FH83">
        <v>799.6</v>
      </c>
      <c r="FI83">
        <v>75.099999999999994</v>
      </c>
      <c r="FK83">
        <v>182777.3</v>
      </c>
      <c r="FL83">
        <v>1640.4</v>
      </c>
      <c r="FN83">
        <v>195375.4</v>
      </c>
      <c r="FO83">
        <v>3294.5</v>
      </c>
      <c r="FQ83">
        <v>15022.8</v>
      </c>
      <c r="FR83">
        <v>168.2</v>
      </c>
    </row>
    <row r="84" spans="1:174" x14ac:dyDescent="0.2">
      <c r="A84" t="s">
        <v>150</v>
      </c>
      <c r="B84">
        <v>41410.1</v>
      </c>
      <c r="C84">
        <v>145.19999999999999</v>
      </c>
      <c r="E84">
        <v>650.29999999999995</v>
      </c>
      <c r="F84">
        <v>64.7</v>
      </c>
      <c r="H84">
        <v>3599894.7</v>
      </c>
      <c r="I84">
        <v>14929</v>
      </c>
      <c r="K84">
        <v>133307.29999999999</v>
      </c>
      <c r="L84">
        <v>653.1</v>
      </c>
      <c r="N84">
        <v>1056.8</v>
      </c>
      <c r="O84">
        <v>66</v>
      </c>
      <c r="Q84">
        <v>36986.1</v>
      </c>
      <c r="R84">
        <v>316.2</v>
      </c>
      <c r="T84">
        <v>1992.2</v>
      </c>
      <c r="U84">
        <v>149.9</v>
      </c>
      <c r="W84">
        <v>1338.4</v>
      </c>
      <c r="X84">
        <v>142.1</v>
      </c>
      <c r="Z84">
        <v>149614.29999999999</v>
      </c>
      <c r="AA84">
        <v>2467.3000000000002</v>
      </c>
      <c r="AC84">
        <v>154934.9</v>
      </c>
      <c r="AD84">
        <v>2191.6</v>
      </c>
      <c r="AF84" s="27">
        <v>10157414.6</v>
      </c>
      <c r="AG84">
        <v>93520.2</v>
      </c>
      <c r="AI84" s="28">
        <v>12791786.4</v>
      </c>
      <c r="AJ84">
        <v>120255.8</v>
      </c>
      <c r="AL84">
        <v>70699127.700000003</v>
      </c>
      <c r="AM84">
        <v>943615.6</v>
      </c>
      <c r="AO84">
        <v>252951.8</v>
      </c>
      <c r="AP84">
        <v>4201.3999999999996</v>
      </c>
      <c r="AR84">
        <v>1062975.7</v>
      </c>
      <c r="AS84">
        <v>10417.799999999999</v>
      </c>
      <c r="AU84">
        <v>30166.9</v>
      </c>
      <c r="AV84">
        <v>415.5</v>
      </c>
      <c r="AX84">
        <v>3875.7</v>
      </c>
      <c r="AY84">
        <v>45.2</v>
      </c>
      <c r="BA84">
        <v>415.7</v>
      </c>
      <c r="BB84">
        <v>65</v>
      </c>
      <c r="BD84">
        <v>288.60000000000002</v>
      </c>
      <c r="BE84">
        <v>44.5</v>
      </c>
      <c r="BG84">
        <v>290.60000000000002</v>
      </c>
      <c r="BH84">
        <v>27.1</v>
      </c>
      <c r="BJ84">
        <v>244.8</v>
      </c>
      <c r="BK84">
        <v>25.5</v>
      </c>
      <c r="BM84">
        <v>292.7</v>
      </c>
      <c r="BN84">
        <v>50.8</v>
      </c>
      <c r="BP84">
        <v>13564</v>
      </c>
      <c r="BQ84">
        <v>422</v>
      </c>
      <c r="BS84">
        <v>681519.3</v>
      </c>
      <c r="BT84">
        <v>7734.8</v>
      </c>
      <c r="BV84">
        <v>2068.3000000000002</v>
      </c>
      <c r="BW84">
        <v>64.5</v>
      </c>
      <c r="BY84">
        <v>49563.8</v>
      </c>
      <c r="BZ84">
        <v>606.1</v>
      </c>
      <c r="CB84">
        <v>4895506.5999999996</v>
      </c>
      <c r="CC84">
        <v>106983.6</v>
      </c>
      <c r="CE84">
        <v>4128709.9</v>
      </c>
      <c r="CF84">
        <v>54152.9</v>
      </c>
      <c r="CH84">
        <v>9965958.4000000004</v>
      </c>
      <c r="CI84">
        <v>160007.79999999999</v>
      </c>
      <c r="CK84">
        <v>2117053.7000000002</v>
      </c>
      <c r="CL84">
        <v>17849</v>
      </c>
      <c r="CN84">
        <v>34054736.399999999</v>
      </c>
      <c r="CO84">
        <v>304366.2</v>
      </c>
      <c r="CQ84">
        <v>61915.199999999997</v>
      </c>
      <c r="CR84">
        <v>645.79999999999995</v>
      </c>
      <c r="CT84">
        <v>155755.29999999999</v>
      </c>
      <c r="CU84">
        <v>2575.9</v>
      </c>
      <c r="CW84">
        <v>7002341.2999999998</v>
      </c>
      <c r="CX84">
        <v>39127</v>
      </c>
      <c r="CZ84">
        <v>377450.7</v>
      </c>
      <c r="DA84">
        <v>3147.4</v>
      </c>
      <c r="DC84">
        <v>2272696.9</v>
      </c>
      <c r="DD84">
        <v>1255.5</v>
      </c>
      <c r="DF84">
        <v>55918.400000000001</v>
      </c>
      <c r="DG84">
        <v>560.6</v>
      </c>
      <c r="DI84">
        <v>345.4</v>
      </c>
      <c r="DJ84">
        <v>22.5</v>
      </c>
      <c r="DL84">
        <v>569.6</v>
      </c>
      <c r="DM84">
        <v>20.100000000000001</v>
      </c>
      <c r="DO84">
        <v>21800.799999999999</v>
      </c>
      <c r="DP84">
        <v>338.2</v>
      </c>
      <c r="DR84">
        <v>113758.5</v>
      </c>
      <c r="DS84">
        <v>3571.6</v>
      </c>
      <c r="DU84">
        <v>763469.2</v>
      </c>
      <c r="DV84">
        <v>10325.299999999999</v>
      </c>
      <c r="DX84">
        <v>30207.599999999999</v>
      </c>
      <c r="DY84">
        <v>159.6</v>
      </c>
      <c r="EA84">
        <v>18326</v>
      </c>
      <c r="EB84">
        <v>901.9</v>
      </c>
      <c r="ED84">
        <v>307233.09999999998</v>
      </c>
      <c r="EE84">
        <v>3074.6</v>
      </c>
      <c r="EG84">
        <v>14254102.800000001</v>
      </c>
      <c r="EH84">
        <v>165484.4</v>
      </c>
      <c r="EJ84">
        <v>1037415</v>
      </c>
      <c r="EK84">
        <v>2886.3</v>
      </c>
      <c r="EM84">
        <v>1470170.7</v>
      </c>
      <c r="EN84">
        <v>7351.2</v>
      </c>
      <c r="EP84">
        <v>59064.9</v>
      </c>
      <c r="EQ84">
        <v>101.5</v>
      </c>
      <c r="ES84">
        <v>20685292.5</v>
      </c>
      <c r="ET84">
        <v>338845.8</v>
      </c>
      <c r="EV84">
        <v>539.79999999999995</v>
      </c>
      <c r="EW84">
        <v>42.2</v>
      </c>
      <c r="EY84">
        <v>343421.2</v>
      </c>
      <c r="EZ84">
        <v>1640.6</v>
      </c>
      <c r="FB84">
        <v>495.9</v>
      </c>
      <c r="FC84">
        <v>63.7</v>
      </c>
      <c r="FE84">
        <v>3325.5</v>
      </c>
      <c r="FF84">
        <v>74.3</v>
      </c>
      <c r="FH84">
        <v>821.3</v>
      </c>
      <c r="FI84">
        <v>34.1</v>
      </c>
      <c r="FK84">
        <v>272778.09999999998</v>
      </c>
      <c r="FL84">
        <v>3323.5</v>
      </c>
      <c r="FN84">
        <v>345291.4</v>
      </c>
      <c r="FO84">
        <v>5771.8</v>
      </c>
      <c r="FQ84">
        <v>15375.8</v>
      </c>
      <c r="FR84">
        <v>79.400000000000006</v>
      </c>
    </row>
    <row r="85" spans="1:174" x14ac:dyDescent="0.2">
      <c r="A85" t="s">
        <v>151</v>
      </c>
      <c r="B85">
        <v>153309.5</v>
      </c>
      <c r="C85">
        <v>751.5</v>
      </c>
      <c r="E85">
        <v>34867.4</v>
      </c>
      <c r="F85">
        <v>75.3</v>
      </c>
      <c r="H85">
        <v>928660</v>
      </c>
      <c r="I85">
        <v>8617.1</v>
      </c>
      <c r="K85">
        <v>1235056.8</v>
      </c>
      <c r="L85">
        <v>359.4</v>
      </c>
      <c r="N85">
        <v>1444776.5</v>
      </c>
      <c r="O85">
        <v>19968.5</v>
      </c>
      <c r="Q85">
        <v>176475.4</v>
      </c>
      <c r="R85">
        <v>1946.2</v>
      </c>
      <c r="T85">
        <v>1364133.8</v>
      </c>
      <c r="U85">
        <v>7573.1</v>
      </c>
      <c r="W85">
        <v>276145.3</v>
      </c>
      <c r="X85">
        <v>2214</v>
      </c>
      <c r="Z85">
        <v>551833.5</v>
      </c>
      <c r="AA85">
        <v>2488.5</v>
      </c>
      <c r="AC85">
        <v>78888.800000000003</v>
      </c>
      <c r="AD85">
        <v>910.4</v>
      </c>
      <c r="AF85" s="27">
        <v>3090748.7</v>
      </c>
      <c r="AG85">
        <v>39306.6</v>
      </c>
      <c r="AI85" s="28">
        <v>316984.5</v>
      </c>
      <c r="AJ85">
        <v>4082</v>
      </c>
      <c r="AL85">
        <v>322030.8</v>
      </c>
      <c r="AM85">
        <v>1347.3</v>
      </c>
      <c r="AO85">
        <v>1559009.7</v>
      </c>
      <c r="AP85">
        <v>17514.3</v>
      </c>
      <c r="AR85">
        <v>653542.19999999995</v>
      </c>
      <c r="AS85">
        <v>10283.299999999999</v>
      </c>
      <c r="AU85">
        <v>1775982.5</v>
      </c>
      <c r="AV85">
        <v>29434.9</v>
      </c>
      <c r="AX85">
        <v>1621687.7</v>
      </c>
      <c r="AY85">
        <v>42088.6</v>
      </c>
      <c r="BA85">
        <v>330875.3</v>
      </c>
      <c r="BB85">
        <v>5797.6</v>
      </c>
      <c r="BD85">
        <v>282835.7</v>
      </c>
      <c r="BE85">
        <v>2350.6</v>
      </c>
      <c r="BG85">
        <v>271226.5</v>
      </c>
      <c r="BH85">
        <v>1223</v>
      </c>
      <c r="BJ85">
        <v>1923373.3</v>
      </c>
      <c r="BK85">
        <v>18658.099999999999</v>
      </c>
      <c r="BM85">
        <v>511249.3</v>
      </c>
      <c r="BN85">
        <v>6376.8</v>
      </c>
      <c r="BP85">
        <v>383624.3</v>
      </c>
      <c r="BQ85">
        <v>4819.3999999999996</v>
      </c>
      <c r="BS85">
        <v>699043.1</v>
      </c>
      <c r="BT85">
        <v>6090.7</v>
      </c>
      <c r="BV85">
        <v>298963</v>
      </c>
      <c r="BW85">
        <v>2364.8000000000002</v>
      </c>
      <c r="BY85">
        <v>1232832.8</v>
      </c>
      <c r="BZ85">
        <v>15349.2</v>
      </c>
      <c r="CB85">
        <v>410366.6</v>
      </c>
      <c r="CC85">
        <v>7062.8</v>
      </c>
      <c r="CE85">
        <v>350196.6</v>
      </c>
      <c r="CF85">
        <v>3441.1</v>
      </c>
      <c r="CH85">
        <v>882420</v>
      </c>
      <c r="CI85">
        <v>11546.1</v>
      </c>
      <c r="CK85">
        <v>1330823.2</v>
      </c>
      <c r="CL85">
        <v>4968.6000000000004</v>
      </c>
      <c r="CN85">
        <v>421949.3</v>
      </c>
      <c r="CO85">
        <v>7228.2</v>
      </c>
      <c r="CQ85">
        <v>252529.9</v>
      </c>
      <c r="CR85">
        <v>1801.2</v>
      </c>
      <c r="CT85">
        <v>199108.4</v>
      </c>
      <c r="CU85">
        <v>1043.8</v>
      </c>
      <c r="CW85">
        <v>719822.1</v>
      </c>
      <c r="CX85">
        <v>5140.3999999999996</v>
      </c>
      <c r="CZ85">
        <v>3714.7</v>
      </c>
      <c r="DA85">
        <v>77.400000000000006</v>
      </c>
      <c r="DC85">
        <v>110506.4</v>
      </c>
      <c r="DD85">
        <v>165.2</v>
      </c>
      <c r="DF85">
        <v>23035.3</v>
      </c>
      <c r="DG85">
        <v>93.5</v>
      </c>
      <c r="DI85">
        <v>5625.5</v>
      </c>
      <c r="DJ85">
        <v>87.9</v>
      </c>
      <c r="DL85">
        <v>78374.600000000006</v>
      </c>
      <c r="DM85">
        <v>1094.9000000000001</v>
      </c>
      <c r="DO85">
        <v>69692.899999999994</v>
      </c>
      <c r="DP85">
        <v>1541.5</v>
      </c>
      <c r="DR85">
        <v>89383.1</v>
      </c>
      <c r="DS85">
        <v>941.5</v>
      </c>
      <c r="DU85">
        <v>286695</v>
      </c>
      <c r="DV85">
        <v>9862.1</v>
      </c>
      <c r="DX85">
        <v>81770.100000000006</v>
      </c>
      <c r="DY85">
        <v>3630.3</v>
      </c>
      <c r="EA85">
        <v>18858.5</v>
      </c>
      <c r="EB85">
        <v>431.8</v>
      </c>
      <c r="ED85">
        <v>38927.9</v>
      </c>
      <c r="EE85">
        <v>1715.3</v>
      </c>
      <c r="EG85">
        <v>19204.599999999999</v>
      </c>
      <c r="EH85">
        <v>440.9</v>
      </c>
      <c r="EJ85">
        <v>261676.79999999999</v>
      </c>
      <c r="EK85">
        <v>6650.4</v>
      </c>
      <c r="EM85">
        <v>32742.2</v>
      </c>
      <c r="EN85">
        <v>317.39999999999998</v>
      </c>
      <c r="EP85">
        <v>60462.400000000001</v>
      </c>
      <c r="EQ85">
        <v>561.1</v>
      </c>
      <c r="ES85">
        <v>191553.6</v>
      </c>
      <c r="ET85">
        <v>1116.0999999999999</v>
      </c>
      <c r="EV85">
        <v>3128.1</v>
      </c>
      <c r="EW85">
        <v>59.5</v>
      </c>
      <c r="EY85">
        <v>2614.6999999999998</v>
      </c>
      <c r="EZ85">
        <v>31.3</v>
      </c>
      <c r="FB85">
        <v>354.2</v>
      </c>
      <c r="FC85">
        <v>43.3</v>
      </c>
      <c r="FE85">
        <v>3694.6</v>
      </c>
      <c r="FF85">
        <v>90.6</v>
      </c>
      <c r="FH85">
        <v>917.6</v>
      </c>
      <c r="FI85">
        <v>97.5</v>
      </c>
      <c r="FK85">
        <v>70083.399999999994</v>
      </c>
      <c r="FL85">
        <v>1650.4</v>
      </c>
      <c r="FN85">
        <v>7630.9</v>
      </c>
      <c r="FO85">
        <v>161.5</v>
      </c>
      <c r="FQ85">
        <v>15170</v>
      </c>
      <c r="FR85">
        <v>198.9</v>
      </c>
    </row>
    <row r="86" spans="1:174" x14ac:dyDescent="0.2">
      <c r="A86" t="s">
        <v>152</v>
      </c>
      <c r="B86">
        <v>9916.9</v>
      </c>
      <c r="C86">
        <v>163.69999999999999</v>
      </c>
      <c r="E86">
        <v>749</v>
      </c>
      <c r="F86">
        <v>87.7</v>
      </c>
      <c r="H86">
        <v>10039.6</v>
      </c>
      <c r="I86">
        <v>186.8</v>
      </c>
      <c r="K86">
        <v>30090.400000000001</v>
      </c>
      <c r="L86">
        <v>542</v>
      </c>
      <c r="N86">
        <v>243.8</v>
      </c>
      <c r="O86">
        <v>25.6</v>
      </c>
      <c r="Q86">
        <v>605.4</v>
      </c>
      <c r="R86">
        <v>53.9</v>
      </c>
      <c r="T86">
        <v>1631.4</v>
      </c>
      <c r="U86">
        <v>153.69999999999999</v>
      </c>
      <c r="W86">
        <v>1396.8</v>
      </c>
      <c r="X86">
        <v>368</v>
      </c>
      <c r="Z86">
        <v>1879.6</v>
      </c>
      <c r="AA86">
        <v>377.5</v>
      </c>
      <c r="AC86">
        <v>55.2</v>
      </c>
      <c r="AD86">
        <v>30.7</v>
      </c>
      <c r="AF86" s="27">
        <v>2951892</v>
      </c>
      <c r="AG86">
        <v>43941.2</v>
      </c>
      <c r="AI86" s="28">
        <v>2523</v>
      </c>
      <c r="AJ86">
        <v>24</v>
      </c>
      <c r="AL86">
        <v>7358.4</v>
      </c>
      <c r="AM86">
        <v>88.2</v>
      </c>
      <c r="AO86">
        <v>2484.5</v>
      </c>
      <c r="AP86">
        <v>34.5</v>
      </c>
      <c r="AR86">
        <v>5646.7</v>
      </c>
      <c r="AS86">
        <v>219.6</v>
      </c>
      <c r="AU86">
        <v>431.3</v>
      </c>
      <c r="AV86">
        <v>78.7</v>
      </c>
      <c r="AX86">
        <v>292.7</v>
      </c>
      <c r="AY86">
        <v>82.8</v>
      </c>
      <c r="BA86">
        <v>128.1</v>
      </c>
      <c r="BB86">
        <v>63.2</v>
      </c>
      <c r="BD86">
        <v>419.9</v>
      </c>
      <c r="BE86">
        <v>3.6</v>
      </c>
      <c r="BG86">
        <v>274</v>
      </c>
      <c r="BH86">
        <v>10</v>
      </c>
      <c r="BJ86">
        <v>377.2</v>
      </c>
      <c r="BK86">
        <v>113.1</v>
      </c>
      <c r="BM86">
        <v>150</v>
      </c>
      <c r="BN86">
        <v>30.1</v>
      </c>
      <c r="BP86">
        <v>1907.8</v>
      </c>
      <c r="BQ86">
        <v>157.6</v>
      </c>
      <c r="BS86">
        <v>673316.9</v>
      </c>
      <c r="BT86">
        <v>18629.599999999999</v>
      </c>
      <c r="BV86">
        <v>2420.8000000000002</v>
      </c>
      <c r="BW86">
        <v>76.900000000000006</v>
      </c>
      <c r="BY86">
        <v>388.6</v>
      </c>
      <c r="BZ86">
        <v>7.9</v>
      </c>
      <c r="CB86">
        <v>575.20000000000005</v>
      </c>
      <c r="CC86">
        <v>84.6</v>
      </c>
      <c r="CE86">
        <v>580.4</v>
      </c>
      <c r="CF86">
        <v>30.1</v>
      </c>
      <c r="CH86">
        <v>1336.3</v>
      </c>
      <c r="CI86">
        <v>46.9</v>
      </c>
      <c r="CK86">
        <v>941.1</v>
      </c>
      <c r="CL86">
        <v>100.7</v>
      </c>
      <c r="CN86">
        <v>41223.5</v>
      </c>
      <c r="CO86">
        <v>714</v>
      </c>
      <c r="CQ86">
        <v>8776.1</v>
      </c>
      <c r="CR86">
        <v>116.8</v>
      </c>
      <c r="CT86">
        <v>12788.1</v>
      </c>
      <c r="CU86">
        <v>286</v>
      </c>
      <c r="CW86">
        <v>483557.5</v>
      </c>
      <c r="CX86">
        <v>1362.7</v>
      </c>
      <c r="CZ86">
        <v>552</v>
      </c>
      <c r="DA86">
        <v>30.6</v>
      </c>
      <c r="DC86">
        <v>24302.400000000001</v>
      </c>
      <c r="DD86">
        <v>314.5</v>
      </c>
      <c r="DF86">
        <v>7724.6</v>
      </c>
      <c r="DG86">
        <v>172.3</v>
      </c>
      <c r="DI86">
        <v>23.1</v>
      </c>
      <c r="DJ86">
        <v>18.5</v>
      </c>
      <c r="DL86">
        <v>154.6</v>
      </c>
      <c r="DM86">
        <v>7</v>
      </c>
      <c r="DO86">
        <v>574.20000000000005</v>
      </c>
      <c r="DP86">
        <v>27</v>
      </c>
      <c r="DR86">
        <v>149.1</v>
      </c>
      <c r="DS86">
        <v>4.2</v>
      </c>
      <c r="DU86">
        <v>2543.9</v>
      </c>
      <c r="DV86">
        <v>96.7</v>
      </c>
      <c r="DX86">
        <v>49.1</v>
      </c>
      <c r="DY86">
        <v>7</v>
      </c>
      <c r="EA86">
        <v>124.1</v>
      </c>
      <c r="EB86">
        <v>35.799999999999997</v>
      </c>
      <c r="ED86">
        <v>303.7</v>
      </c>
      <c r="EE86">
        <v>58.9</v>
      </c>
      <c r="EG86">
        <v>589.1</v>
      </c>
      <c r="EH86">
        <v>28.9</v>
      </c>
      <c r="EJ86">
        <v>257137.8</v>
      </c>
      <c r="EK86">
        <v>1863.2</v>
      </c>
      <c r="EM86">
        <v>246.8</v>
      </c>
      <c r="EN86">
        <v>40.799999999999997</v>
      </c>
      <c r="EP86">
        <v>59704</v>
      </c>
      <c r="EQ86">
        <v>1130</v>
      </c>
      <c r="ES86">
        <v>27586.1</v>
      </c>
      <c r="ET86">
        <v>1102.0999999999999</v>
      </c>
      <c r="EV86">
        <v>2.2999999999999998</v>
      </c>
      <c r="EW86">
        <v>4</v>
      </c>
      <c r="EY86">
        <v>107.8</v>
      </c>
      <c r="EZ86">
        <v>56.8</v>
      </c>
      <c r="FB86">
        <v>157.80000000000001</v>
      </c>
      <c r="FC86">
        <v>6.9</v>
      </c>
      <c r="FE86">
        <v>2451.1999999999998</v>
      </c>
      <c r="FF86">
        <v>98</v>
      </c>
      <c r="FH86">
        <v>909.3</v>
      </c>
      <c r="FI86">
        <v>55.4</v>
      </c>
      <c r="FK86">
        <v>68307.899999999994</v>
      </c>
      <c r="FL86">
        <v>1026.5</v>
      </c>
      <c r="FN86">
        <v>63.9</v>
      </c>
      <c r="FO86">
        <v>5.9</v>
      </c>
      <c r="FQ86">
        <v>15102.2</v>
      </c>
      <c r="FR86">
        <v>463.1</v>
      </c>
    </row>
    <row r="87" spans="1:174" x14ac:dyDescent="0.2">
      <c r="A87" t="s">
        <v>153</v>
      </c>
      <c r="B87">
        <v>35453.5</v>
      </c>
      <c r="C87">
        <v>208.4</v>
      </c>
      <c r="E87">
        <v>761.5</v>
      </c>
      <c r="F87">
        <v>56.6</v>
      </c>
      <c r="H87">
        <v>3025760.3</v>
      </c>
      <c r="I87">
        <v>28533.9</v>
      </c>
      <c r="K87">
        <v>102283.8</v>
      </c>
      <c r="L87">
        <v>370.8</v>
      </c>
      <c r="N87">
        <v>913</v>
      </c>
      <c r="O87">
        <v>108.9</v>
      </c>
      <c r="Q87">
        <v>30730.6</v>
      </c>
      <c r="R87">
        <v>350.6</v>
      </c>
      <c r="T87">
        <v>2285.3000000000002</v>
      </c>
      <c r="U87">
        <v>29.1</v>
      </c>
      <c r="W87">
        <v>1330</v>
      </c>
      <c r="X87">
        <v>28.9</v>
      </c>
      <c r="Z87">
        <v>118971.2</v>
      </c>
      <c r="AA87">
        <v>1660.1</v>
      </c>
      <c r="AC87">
        <v>140447.6</v>
      </c>
      <c r="AD87">
        <v>1886.2</v>
      </c>
      <c r="AF87" s="27">
        <v>10460435.5</v>
      </c>
      <c r="AG87">
        <v>93920</v>
      </c>
      <c r="AI87" s="28">
        <v>14173876.4</v>
      </c>
      <c r="AJ87">
        <v>44448.1</v>
      </c>
      <c r="AL87">
        <v>72928962.400000006</v>
      </c>
      <c r="AM87">
        <v>604289.4</v>
      </c>
      <c r="AO87">
        <v>195515.4</v>
      </c>
      <c r="AP87">
        <v>1297.4000000000001</v>
      </c>
      <c r="AR87">
        <v>589577.4</v>
      </c>
      <c r="AS87">
        <v>4630.2</v>
      </c>
      <c r="AU87">
        <v>28589.599999999999</v>
      </c>
      <c r="AV87">
        <v>881.4</v>
      </c>
      <c r="AX87">
        <v>2974.7</v>
      </c>
      <c r="AY87">
        <v>82</v>
      </c>
      <c r="BA87">
        <v>262.5</v>
      </c>
      <c r="BB87">
        <v>51.6</v>
      </c>
      <c r="BD87">
        <v>310.39999999999998</v>
      </c>
      <c r="BE87">
        <v>51.4</v>
      </c>
      <c r="BG87">
        <v>292.7</v>
      </c>
      <c r="BH87">
        <v>37</v>
      </c>
      <c r="BJ87">
        <v>222.9</v>
      </c>
      <c r="BK87">
        <v>9</v>
      </c>
      <c r="BM87">
        <v>190.6</v>
      </c>
      <c r="BN87">
        <v>33.1</v>
      </c>
      <c r="BP87">
        <v>12972.4</v>
      </c>
      <c r="BQ87">
        <v>166.3</v>
      </c>
      <c r="BS87">
        <v>694238.6</v>
      </c>
      <c r="BT87">
        <v>1177.2</v>
      </c>
      <c r="BV87">
        <v>2381.1999999999998</v>
      </c>
      <c r="BW87">
        <v>83.9</v>
      </c>
      <c r="BY87">
        <v>34854.300000000003</v>
      </c>
      <c r="BZ87">
        <v>506</v>
      </c>
      <c r="CB87">
        <v>4063776.9</v>
      </c>
      <c r="CC87">
        <v>12073.7</v>
      </c>
      <c r="CE87">
        <v>3605291.7</v>
      </c>
      <c r="CF87">
        <v>70342.3</v>
      </c>
      <c r="CH87">
        <v>8310650.5</v>
      </c>
      <c r="CI87">
        <v>61523.9</v>
      </c>
      <c r="CK87">
        <v>1703011.5</v>
      </c>
      <c r="CL87">
        <v>27042.1</v>
      </c>
      <c r="CN87">
        <v>29828021.899999999</v>
      </c>
      <c r="CO87">
        <v>320660.5</v>
      </c>
      <c r="CQ87">
        <v>43814.1</v>
      </c>
      <c r="CR87">
        <v>646.9</v>
      </c>
      <c r="CT87">
        <v>85141.3</v>
      </c>
      <c r="CU87">
        <v>585.29999999999995</v>
      </c>
      <c r="CW87">
        <v>6629315.5999999996</v>
      </c>
      <c r="CX87">
        <v>65258.1</v>
      </c>
      <c r="CZ87">
        <v>468969.3</v>
      </c>
      <c r="DA87">
        <v>2725.4</v>
      </c>
      <c r="DC87">
        <v>1778019.9</v>
      </c>
      <c r="DD87">
        <v>7154.8</v>
      </c>
      <c r="DF87">
        <v>31177.8</v>
      </c>
      <c r="DG87">
        <v>579.29999999999995</v>
      </c>
      <c r="DI87">
        <v>261.10000000000002</v>
      </c>
      <c r="DJ87">
        <v>26.5</v>
      </c>
      <c r="DL87">
        <v>446.4</v>
      </c>
      <c r="DM87">
        <v>32.5</v>
      </c>
      <c r="DO87">
        <v>18467</v>
      </c>
      <c r="DP87">
        <v>678.6</v>
      </c>
      <c r="DR87">
        <v>83567.199999999997</v>
      </c>
      <c r="DS87">
        <v>2558</v>
      </c>
      <c r="DU87">
        <v>733098.4</v>
      </c>
      <c r="DV87">
        <v>24440.799999999999</v>
      </c>
      <c r="DX87">
        <v>29616.2</v>
      </c>
      <c r="DY87">
        <v>830.3</v>
      </c>
      <c r="EA87">
        <v>6892</v>
      </c>
      <c r="EB87">
        <v>221.4</v>
      </c>
      <c r="ED87">
        <v>269997.8</v>
      </c>
      <c r="EE87">
        <v>6631.8</v>
      </c>
      <c r="EG87">
        <v>12958256.300000001</v>
      </c>
      <c r="EH87">
        <v>274691.7</v>
      </c>
      <c r="EJ87">
        <v>1057363</v>
      </c>
      <c r="EK87">
        <v>18971.7</v>
      </c>
      <c r="EM87">
        <v>1652865.2</v>
      </c>
      <c r="EN87">
        <v>18311.3</v>
      </c>
      <c r="EP87">
        <v>59722.9</v>
      </c>
      <c r="EQ87">
        <v>735.9</v>
      </c>
      <c r="ES87">
        <v>16780572.5</v>
      </c>
      <c r="ET87">
        <v>99659.9</v>
      </c>
      <c r="EV87">
        <v>414.1</v>
      </c>
      <c r="EW87">
        <v>8.5</v>
      </c>
      <c r="EY87">
        <v>275190.8</v>
      </c>
      <c r="EZ87">
        <v>2341</v>
      </c>
      <c r="FB87">
        <v>339.9</v>
      </c>
      <c r="FC87">
        <v>8.5</v>
      </c>
      <c r="FE87">
        <v>2394.1999999999998</v>
      </c>
      <c r="FF87">
        <v>35.200000000000003</v>
      </c>
      <c r="FH87">
        <v>857</v>
      </c>
      <c r="FI87">
        <v>38.4</v>
      </c>
      <c r="FK87">
        <v>270158.09999999998</v>
      </c>
      <c r="FL87">
        <v>295.89999999999998</v>
      </c>
      <c r="FN87">
        <v>370236.4</v>
      </c>
      <c r="FO87">
        <v>2020</v>
      </c>
      <c r="FQ87">
        <v>15112.9</v>
      </c>
      <c r="FR87">
        <v>300.2</v>
      </c>
    </row>
    <row r="88" spans="1:174" x14ac:dyDescent="0.2">
      <c r="A88" t="s">
        <v>154</v>
      </c>
      <c r="B88">
        <v>39949.699999999997</v>
      </c>
      <c r="C88">
        <v>523.9</v>
      </c>
      <c r="E88">
        <v>799</v>
      </c>
      <c r="F88">
        <v>46.5</v>
      </c>
      <c r="H88">
        <v>3502870.7</v>
      </c>
      <c r="I88">
        <v>20300.400000000001</v>
      </c>
      <c r="K88">
        <v>125591.6</v>
      </c>
      <c r="L88">
        <v>1625.4</v>
      </c>
      <c r="N88">
        <v>1306.0999999999999</v>
      </c>
      <c r="O88">
        <v>107.2</v>
      </c>
      <c r="Q88">
        <v>31008.400000000001</v>
      </c>
      <c r="R88">
        <v>341.9</v>
      </c>
      <c r="T88">
        <v>2116.3000000000002</v>
      </c>
      <c r="U88">
        <v>123</v>
      </c>
      <c r="W88">
        <v>1508.3</v>
      </c>
      <c r="X88">
        <v>117.8</v>
      </c>
      <c r="Z88">
        <v>167879</v>
      </c>
      <c r="AA88">
        <v>520.1</v>
      </c>
      <c r="AC88">
        <v>157670.20000000001</v>
      </c>
      <c r="AD88">
        <v>821.5</v>
      </c>
      <c r="AF88" s="27">
        <v>12281578.300000001</v>
      </c>
      <c r="AG88">
        <v>74347.3</v>
      </c>
      <c r="AI88" s="28">
        <v>15020438.1</v>
      </c>
      <c r="AJ88">
        <v>156081.9</v>
      </c>
      <c r="AL88">
        <v>79784328.200000003</v>
      </c>
      <c r="AM88">
        <v>483852.9</v>
      </c>
      <c r="AO88">
        <v>226030.9</v>
      </c>
      <c r="AP88">
        <v>2114.6</v>
      </c>
      <c r="AR88">
        <v>555692.30000000005</v>
      </c>
      <c r="AS88">
        <v>5879</v>
      </c>
      <c r="AU88">
        <v>30163.5</v>
      </c>
      <c r="AV88">
        <v>30.4</v>
      </c>
      <c r="AX88">
        <v>2406.3000000000002</v>
      </c>
      <c r="AY88">
        <v>129.30000000000001</v>
      </c>
      <c r="BA88">
        <v>200</v>
      </c>
      <c r="BB88">
        <v>11.3</v>
      </c>
      <c r="BD88">
        <v>337.5</v>
      </c>
      <c r="BE88">
        <v>19</v>
      </c>
      <c r="BG88">
        <v>300</v>
      </c>
      <c r="BH88">
        <v>49.1</v>
      </c>
      <c r="BJ88">
        <v>261.5</v>
      </c>
      <c r="BK88">
        <v>42.6</v>
      </c>
      <c r="BM88">
        <v>249</v>
      </c>
      <c r="BN88">
        <v>65</v>
      </c>
      <c r="BP88">
        <v>15554.1</v>
      </c>
      <c r="BQ88">
        <v>88.8</v>
      </c>
      <c r="BS88">
        <v>695704.2</v>
      </c>
      <c r="BT88">
        <v>4945.7</v>
      </c>
      <c r="BV88">
        <v>2312.4</v>
      </c>
      <c r="BW88">
        <v>13</v>
      </c>
      <c r="BY88">
        <v>55722.7</v>
      </c>
      <c r="BZ88">
        <v>608.4</v>
      </c>
      <c r="CB88">
        <v>4561393.0999999996</v>
      </c>
      <c r="CC88">
        <v>23646.1</v>
      </c>
      <c r="CE88">
        <v>3872859.4</v>
      </c>
      <c r="CF88">
        <v>29239.599999999999</v>
      </c>
      <c r="CH88">
        <v>9378738.6999999993</v>
      </c>
      <c r="CI88">
        <v>141347.79999999999</v>
      </c>
      <c r="CK88">
        <v>1878316.3</v>
      </c>
      <c r="CL88">
        <v>11753.6</v>
      </c>
      <c r="CN88">
        <v>33746481.700000003</v>
      </c>
      <c r="CO88">
        <v>116928.4</v>
      </c>
      <c r="CQ88">
        <v>37038</v>
      </c>
      <c r="CR88">
        <v>74</v>
      </c>
      <c r="CT88">
        <v>119763</v>
      </c>
      <c r="CU88">
        <v>2302.5</v>
      </c>
      <c r="CW88">
        <v>8013518.7999999998</v>
      </c>
      <c r="CX88">
        <v>75680.600000000006</v>
      </c>
      <c r="CZ88">
        <v>402258.2</v>
      </c>
      <c r="DA88">
        <v>4712.5</v>
      </c>
      <c r="DC88">
        <v>1643909.6</v>
      </c>
      <c r="DD88">
        <v>11783.7</v>
      </c>
      <c r="DF88">
        <v>32107</v>
      </c>
      <c r="DG88">
        <v>399.7</v>
      </c>
      <c r="DI88">
        <v>230.6</v>
      </c>
      <c r="DJ88">
        <v>16.899999999999999</v>
      </c>
      <c r="DL88">
        <v>482.5</v>
      </c>
      <c r="DM88">
        <v>53.2</v>
      </c>
      <c r="DO88">
        <v>14160.7</v>
      </c>
      <c r="DP88">
        <v>424.8</v>
      </c>
      <c r="DR88">
        <v>98479.6</v>
      </c>
      <c r="DS88">
        <v>728.4</v>
      </c>
      <c r="DU88">
        <v>349230.3</v>
      </c>
      <c r="DV88">
        <v>3327</v>
      </c>
      <c r="DX88">
        <v>32354.9</v>
      </c>
      <c r="DY88">
        <v>227.4</v>
      </c>
      <c r="EA88">
        <v>3050</v>
      </c>
      <c r="EB88">
        <v>164.7</v>
      </c>
      <c r="ED88">
        <v>328059.40000000002</v>
      </c>
      <c r="EE88">
        <v>2363.1999999999998</v>
      </c>
      <c r="EG88">
        <v>14930273.199999999</v>
      </c>
      <c r="EH88">
        <v>138320.5</v>
      </c>
      <c r="EJ88">
        <v>1305446.2</v>
      </c>
      <c r="EK88">
        <v>6359.8</v>
      </c>
      <c r="EM88">
        <v>1765473.5</v>
      </c>
      <c r="EN88">
        <v>15041.1</v>
      </c>
      <c r="EP88">
        <v>61112.3</v>
      </c>
      <c r="EQ88">
        <v>1213.5999999999999</v>
      </c>
      <c r="ES88">
        <v>17814836.899999999</v>
      </c>
      <c r="ET88">
        <v>304999.2</v>
      </c>
      <c r="EV88">
        <v>380.2</v>
      </c>
      <c r="EW88">
        <v>10.199999999999999</v>
      </c>
      <c r="EY88">
        <v>293458.90000000002</v>
      </c>
      <c r="EZ88">
        <v>3651.2</v>
      </c>
      <c r="FB88">
        <v>788.7</v>
      </c>
      <c r="FC88">
        <v>13.1</v>
      </c>
      <c r="FE88">
        <v>4880.3</v>
      </c>
      <c r="FF88">
        <v>403</v>
      </c>
      <c r="FH88">
        <v>803.5</v>
      </c>
      <c r="FI88">
        <v>33.4</v>
      </c>
      <c r="FK88">
        <v>318308.09999999998</v>
      </c>
      <c r="FL88">
        <v>939.2</v>
      </c>
      <c r="FN88">
        <v>392553.5</v>
      </c>
      <c r="FO88">
        <v>5656.1</v>
      </c>
      <c r="FQ88">
        <v>15321</v>
      </c>
      <c r="FR88">
        <v>131.1</v>
      </c>
    </row>
    <row r="89" spans="1:174" x14ac:dyDescent="0.2">
      <c r="A89" t="s">
        <v>155</v>
      </c>
      <c r="B89">
        <v>32039.599999999999</v>
      </c>
      <c r="C89">
        <v>91.4</v>
      </c>
      <c r="E89">
        <v>694.8</v>
      </c>
      <c r="F89">
        <v>125.2</v>
      </c>
      <c r="H89">
        <v>2207250</v>
      </c>
      <c r="I89">
        <v>23205.1</v>
      </c>
      <c r="K89">
        <v>109281.5</v>
      </c>
      <c r="L89">
        <v>1140.7</v>
      </c>
      <c r="N89">
        <v>812.9</v>
      </c>
      <c r="O89">
        <v>94.7</v>
      </c>
      <c r="Q89">
        <v>26141.7</v>
      </c>
      <c r="R89">
        <v>257.39999999999998</v>
      </c>
      <c r="T89">
        <v>1830.6</v>
      </c>
      <c r="U89">
        <v>136.5</v>
      </c>
      <c r="W89">
        <v>1497.9</v>
      </c>
      <c r="X89">
        <v>62.5</v>
      </c>
      <c r="Z89">
        <v>205507</v>
      </c>
      <c r="AA89">
        <v>3516.2</v>
      </c>
      <c r="AC89">
        <v>180430.4</v>
      </c>
      <c r="AD89">
        <v>3186.4</v>
      </c>
      <c r="AF89" s="27">
        <v>13767522.1</v>
      </c>
      <c r="AG89">
        <v>222332.3</v>
      </c>
      <c r="AI89" s="28">
        <v>17170227.199999999</v>
      </c>
      <c r="AJ89">
        <v>385565.8</v>
      </c>
      <c r="AL89">
        <v>93195961.900000006</v>
      </c>
      <c r="AM89">
        <v>1033375.4</v>
      </c>
      <c r="AO89">
        <v>144273.60000000001</v>
      </c>
      <c r="AP89">
        <v>2692.3</v>
      </c>
      <c r="AR89">
        <v>402606.4</v>
      </c>
      <c r="AS89">
        <v>4055.9</v>
      </c>
      <c r="AU89">
        <v>40126.699999999997</v>
      </c>
      <c r="AV89">
        <v>349.5</v>
      </c>
      <c r="AX89">
        <v>14132.8</v>
      </c>
      <c r="AY89">
        <v>433.7</v>
      </c>
      <c r="BA89">
        <v>955.7</v>
      </c>
      <c r="BB89">
        <v>45.6</v>
      </c>
      <c r="BD89">
        <v>395.9</v>
      </c>
      <c r="BE89">
        <v>50.2</v>
      </c>
      <c r="BG89">
        <v>375</v>
      </c>
      <c r="BH89">
        <v>8.3000000000000007</v>
      </c>
      <c r="BJ89">
        <v>257.3</v>
      </c>
      <c r="BK89">
        <v>23</v>
      </c>
      <c r="BM89">
        <v>301.10000000000002</v>
      </c>
      <c r="BN89">
        <v>18.100000000000001</v>
      </c>
      <c r="BP89">
        <v>8652</v>
      </c>
      <c r="BQ89">
        <v>235.5</v>
      </c>
      <c r="BS89">
        <v>689663.3</v>
      </c>
      <c r="BT89">
        <v>9885.4</v>
      </c>
      <c r="BV89">
        <v>2185.1</v>
      </c>
      <c r="BW89">
        <v>167.6</v>
      </c>
      <c r="BY89">
        <v>31491.8</v>
      </c>
      <c r="BZ89">
        <v>549.20000000000005</v>
      </c>
      <c r="CB89">
        <v>3827473.1</v>
      </c>
      <c r="CC89">
        <v>11272.6</v>
      </c>
      <c r="CE89">
        <v>3627055</v>
      </c>
      <c r="CF89">
        <v>51737.1</v>
      </c>
      <c r="CH89">
        <v>7767174.5999999996</v>
      </c>
      <c r="CI89">
        <v>68546.5</v>
      </c>
      <c r="CK89">
        <v>1661679.3</v>
      </c>
      <c r="CL89">
        <v>20878.8</v>
      </c>
      <c r="CN89">
        <v>27149387.199999999</v>
      </c>
      <c r="CO89">
        <v>340493.6</v>
      </c>
      <c r="CQ89">
        <v>54454.2</v>
      </c>
      <c r="CR89">
        <v>236</v>
      </c>
      <c r="CT89">
        <v>179139.3</v>
      </c>
      <c r="CU89">
        <v>2674.8</v>
      </c>
      <c r="CW89">
        <v>8649390.8000000007</v>
      </c>
      <c r="CX89">
        <v>73474.399999999994</v>
      </c>
      <c r="CZ89">
        <v>498005.2</v>
      </c>
      <c r="DA89">
        <v>6499.3</v>
      </c>
      <c r="DC89">
        <v>918978.8</v>
      </c>
      <c r="DD89">
        <v>5140.2</v>
      </c>
      <c r="DF89">
        <v>60265.4</v>
      </c>
      <c r="DG89">
        <v>792.5</v>
      </c>
      <c r="DI89">
        <v>288.89999999999998</v>
      </c>
      <c r="DJ89">
        <v>10</v>
      </c>
      <c r="DL89">
        <v>490.8</v>
      </c>
      <c r="DM89">
        <v>73.7</v>
      </c>
      <c r="DO89">
        <v>12583.9</v>
      </c>
      <c r="DP89">
        <v>403.5</v>
      </c>
      <c r="DR89">
        <v>84763.7</v>
      </c>
      <c r="DS89">
        <v>903.2</v>
      </c>
      <c r="DU89">
        <v>569505.30000000005</v>
      </c>
      <c r="DV89">
        <v>5934.7</v>
      </c>
      <c r="DX89">
        <v>57413.5</v>
      </c>
      <c r="DY89">
        <v>174.3</v>
      </c>
      <c r="EA89">
        <v>7596.6</v>
      </c>
      <c r="EB89">
        <v>175.5</v>
      </c>
      <c r="ED89">
        <v>280225.5</v>
      </c>
      <c r="EE89">
        <v>4210</v>
      </c>
      <c r="EG89">
        <v>15191570</v>
      </c>
      <c r="EH89">
        <v>42296.800000000003</v>
      </c>
      <c r="EJ89">
        <v>1451326.8</v>
      </c>
      <c r="EK89">
        <v>20055.3</v>
      </c>
      <c r="EM89">
        <v>2001814.5</v>
      </c>
      <c r="EN89">
        <v>17000.8</v>
      </c>
      <c r="EP89">
        <v>62020.1</v>
      </c>
      <c r="EQ89">
        <v>354.2</v>
      </c>
      <c r="ES89">
        <v>12661872.9</v>
      </c>
      <c r="ET89">
        <v>124248</v>
      </c>
      <c r="EV89">
        <v>228.9</v>
      </c>
      <c r="EW89">
        <v>20.100000000000001</v>
      </c>
      <c r="EY89">
        <v>377445.4</v>
      </c>
      <c r="EZ89">
        <v>13146.5</v>
      </c>
      <c r="FB89">
        <v>592.79999999999995</v>
      </c>
      <c r="FC89">
        <v>59</v>
      </c>
      <c r="FE89">
        <v>3336</v>
      </c>
      <c r="FF89">
        <v>178.3</v>
      </c>
      <c r="FH89">
        <v>761.8</v>
      </c>
      <c r="FI89">
        <v>52.9</v>
      </c>
      <c r="FK89">
        <v>361224.7</v>
      </c>
      <c r="FL89">
        <v>7233.4</v>
      </c>
      <c r="FN89">
        <v>448981.6</v>
      </c>
      <c r="FO89">
        <v>10454</v>
      </c>
      <c r="FQ89">
        <v>15212</v>
      </c>
      <c r="FR89">
        <v>65.2</v>
      </c>
    </row>
    <row r="90" spans="1:174" x14ac:dyDescent="0.2">
      <c r="A90" t="s">
        <v>156</v>
      </c>
      <c r="B90">
        <v>17635.5</v>
      </c>
      <c r="C90">
        <v>210.2</v>
      </c>
      <c r="E90">
        <v>822.7</v>
      </c>
      <c r="F90">
        <v>78.099999999999994</v>
      </c>
      <c r="H90">
        <v>855775</v>
      </c>
      <c r="I90">
        <v>10259</v>
      </c>
      <c r="K90">
        <v>94916.7</v>
      </c>
      <c r="L90">
        <v>1190.7</v>
      </c>
      <c r="N90">
        <v>1536.5</v>
      </c>
      <c r="O90">
        <v>75.099999999999994</v>
      </c>
      <c r="Q90">
        <v>10865.8</v>
      </c>
      <c r="R90">
        <v>108.6</v>
      </c>
      <c r="T90">
        <v>1696.1</v>
      </c>
      <c r="U90">
        <v>60.8</v>
      </c>
      <c r="W90">
        <v>1358.2</v>
      </c>
      <c r="X90">
        <v>48.5</v>
      </c>
      <c r="Z90">
        <v>44165.2</v>
      </c>
      <c r="AA90">
        <v>430.1</v>
      </c>
      <c r="AC90">
        <v>85088.5</v>
      </c>
      <c r="AD90">
        <v>35.6</v>
      </c>
      <c r="AF90" s="27">
        <v>8681828.8000000007</v>
      </c>
      <c r="AG90">
        <v>25068.400000000001</v>
      </c>
      <c r="AI90" s="28">
        <v>8746723.1999999993</v>
      </c>
      <c r="AJ90">
        <v>104134.8</v>
      </c>
      <c r="AL90">
        <v>46809248.299999997</v>
      </c>
      <c r="AM90">
        <v>635290</v>
      </c>
      <c r="AO90">
        <v>69081.100000000006</v>
      </c>
      <c r="AP90">
        <v>1202.5</v>
      </c>
      <c r="AR90">
        <v>157024.29999999999</v>
      </c>
      <c r="AS90">
        <v>1185.7</v>
      </c>
      <c r="AU90">
        <v>78319.600000000006</v>
      </c>
      <c r="AV90">
        <v>904.4</v>
      </c>
      <c r="AX90">
        <v>166561.20000000001</v>
      </c>
      <c r="AY90">
        <v>1430.5</v>
      </c>
      <c r="BA90">
        <v>9541.7999999999993</v>
      </c>
      <c r="BB90">
        <v>344.9</v>
      </c>
      <c r="BD90">
        <v>417.8</v>
      </c>
      <c r="BE90">
        <v>79.2</v>
      </c>
      <c r="BG90">
        <v>833.7</v>
      </c>
      <c r="BH90">
        <v>83.8</v>
      </c>
      <c r="BJ90">
        <v>400</v>
      </c>
      <c r="BK90">
        <v>21.9</v>
      </c>
      <c r="BM90">
        <v>709.6</v>
      </c>
      <c r="BN90">
        <v>68.2</v>
      </c>
      <c r="BP90">
        <v>6048.3</v>
      </c>
      <c r="BQ90">
        <v>145.4</v>
      </c>
      <c r="BS90">
        <v>684869.5</v>
      </c>
      <c r="BT90">
        <v>7635.7</v>
      </c>
      <c r="BV90">
        <v>2176.8000000000002</v>
      </c>
      <c r="BW90">
        <v>58</v>
      </c>
      <c r="BY90">
        <v>32343</v>
      </c>
      <c r="BZ90">
        <v>539.6</v>
      </c>
      <c r="CB90">
        <v>1750694.5</v>
      </c>
      <c r="CC90">
        <v>24287.3</v>
      </c>
      <c r="CE90">
        <v>1475261.8</v>
      </c>
      <c r="CF90">
        <v>14884.7</v>
      </c>
      <c r="CH90">
        <v>3683741.4</v>
      </c>
      <c r="CI90">
        <v>175734.9</v>
      </c>
      <c r="CK90">
        <v>750371.9</v>
      </c>
      <c r="CL90">
        <v>12180.6</v>
      </c>
      <c r="CN90">
        <v>11841710.4</v>
      </c>
      <c r="CO90">
        <v>197032.8</v>
      </c>
      <c r="CQ90">
        <v>30831.7</v>
      </c>
      <c r="CR90">
        <v>341.1</v>
      </c>
      <c r="CT90">
        <v>162416.29999999999</v>
      </c>
      <c r="CU90">
        <v>4235</v>
      </c>
      <c r="CW90">
        <v>4198074.2</v>
      </c>
      <c r="CX90">
        <v>34196.300000000003</v>
      </c>
      <c r="CZ90">
        <v>217505.1</v>
      </c>
      <c r="DA90">
        <v>2729.2</v>
      </c>
      <c r="DC90">
        <v>373861.5</v>
      </c>
      <c r="DD90">
        <v>3499.4</v>
      </c>
      <c r="DF90">
        <v>36127.9</v>
      </c>
      <c r="DG90">
        <v>299.7</v>
      </c>
      <c r="DI90">
        <v>154.6</v>
      </c>
      <c r="DJ90">
        <v>21.6</v>
      </c>
      <c r="DL90">
        <v>296.3</v>
      </c>
      <c r="DM90">
        <v>30</v>
      </c>
      <c r="DO90">
        <v>8491.4</v>
      </c>
      <c r="DP90">
        <v>85</v>
      </c>
      <c r="DR90">
        <v>47016.3</v>
      </c>
      <c r="DS90">
        <v>551.4</v>
      </c>
      <c r="DU90">
        <v>509198.5</v>
      </c>
      <c r="DV90">
        <v>6666.5</v>
      </c>
      <c r="DX90">
        <v>25252.6</v>
      </c>
      <c r="DY90">
        <v>314.2</v>
      </c>
      <c r="EA90">
        <v>4653.8</v>
      </c>
      <c r="EB90">
        <v>205.8</v>
      </c>
      <c r="ED90">
        <v>184994.5</v>
      </c>
      <c r="EE90">
        <v>1020.6</v>
      </c>
      <c r="EG90">
        <v>6430216.4000000004</v>
      </c>
      <c r="EH90">
        <v>107161.5</v>
      </c>
      <c r="EJ90">
        <v>887758.5</v>
      </c>
      <c r="EK90">
        <v>16126.8</v>
      </c>
      <c r="EM90">
        <v>996915.3</v>
      </c>
      <c r="EN90">
        <v>2294.6999999999998</v>
      </c>
      <c r="EP90">
        <v>59609.3</v>
      </c>
      <c r="EQ90">
        <v>511.4</v>
      </c>
      <c r="ES90">
        <v>5230719.7</v>
      </c>
      <c r="ET90">
        <v>43935.6</v>
      </c>
      <c r="EV90">
        <v>98.3</v>
      </c>
      <c r="EW90">
        <v>25.9</v>
      </c>
      <c r="EY90">
        <v>155895.1</v>
      </c>
      <c r="EZ90">
        <v>3263.4</v>
      </c>
      <c r="FB90">
        <v>452.5</v>
      </c>
      <c r="FC90">
        <v>29.5</v>
      </c>
      <c r="FE90">
        <v>3473.6</v>
      </c>
      <c r="FF90">
        <v>222.3</v>
      </c>
      <c r="FH90">
        <v>747.9</v>
      </c>
      <c r="FI90">
        <v>33.799999999999997</v>
      </c>
      <c r="FK90">
        <v>225797.8</v>
      </c>
      <c r="FL90">
        <v>2664.8</v>
      </c>
      <c r="FN90">
        <v>229115.6</v>
      </c>
      <c r="FO90">
        <v>5461.6</v>
      </c>
      <c r="FQ90">
        <v>14988.3</v>
      </c>
      <c r="FR90">
        <v>293.60000000000002</v>
      </c>
    </row>
    <row r="91" spans="1:174" x14ac:dyDescent="0.2">
      <c r="A91" t="s">
        <v>157</v>
      </c>
      <c r="B91">
        <v>10441</v>
      </c>
      <c r="C91">
        <v>342.5</v>
      </c>
      <c r="E91">
        <v>834.7</v>
      </c>
      <c r="F91">
        <v>93.1</v>
      </c>
      <c r="H91">
        <v>155623</v>
      </c>
      <c r="I91">
        <v>1670.5</v>
      </c>
      <c r="K91">
        <v>50522.9</v>
      </c>
      <c r="L91">
        <v>110.8</v>
      </c>
      <c r="N91">
        <v>782.7</v>
      </c>
      <c r="O91">
        <v>80.3</v>
      </c>
      <c r="Q91">
        <v>4253.3</v>
      </c>
      <c r="R91">
        <v>134.69999999999999</v>
      </c>
      <c r="T91">
        <v>1429.1</v>
      </c>
      <c r="U91">
        <v>93.3</v>
      </c>
      <c r="W91">
        <v>1130.9000000000001</v>
      </c>
      <c r="X91">
        <v>65.900000000000006</v>
      </c>
      <c r="Z91">
        <v>12065.7</v>
      </c>
      <c r="AA91">
        <v>277</v>
      </c>
      <c r="AC91">
        <v>18947.099999999999</v>
      </c>
      <c r="AD91">
        <v>697.9</v>
      </c>
      <c r="AF91" s="27">
        <v>4124017.8</v>
      </c>
      <c r="AG91">
        <v>15698</v>
      </c>
      <c r="AI91" s="28">
        <v>4295859.5</v>
      </c>
      <c r="AJ91">
        <v>40328.1</v>
      </c>
      <c r="AL91">
        <v>11356408.800000001</v>
      </c>
      <c r="AM91">
        <v>94214.9</v>
      </c>
      <c r="AO91">
        <v>14333.2</v>
      </c>
      <c r="AP91">
        <v>302.7</v>
      </c>
      <c r="AR91">
        <v>74592.7</v>
      </c>
      <c r="AS91">
        <v>428.4</v>
      </c>
      <c r="AU91">
        <v>5781.3</v>
      </c>
      <c r="AV91">
        <v>185</v>
      </c>
      <c r="AX91">
        <v>3395</v>
      </c>
      <c r="AY91">
        <v>52.4</v>
      </c>
      <c r="BA91">
        <v>238.6</v>
      </c>
      <c r="BB91">
        <v>15.7</v>
      </c>
      <c r="BD91">
        <v>366.7</v>
      </c>
      <c r="BE91">
        <v>102.8</v>
      </c>
      <c r="BG91">
        <v>292.7</v>
      </c>
      <c r="BH91">
        <v>14.8</v>
      </c>
      <c r="BJ91">
        <v>207.3</v>
      </c>
      <c r="BK91">
        <v>17.2</v>
      </c>
      <c r="BM91">
        <v>146.9</v>
      </c>
      <c r="BN91">
        <v>6.3</v>
      </c>
      <c r="BP91">
        <v>2031.8</v>
      </c>
      <c r="BQ91">
        <v>53.9</v>
      </c>
      <c r="BS91">
        <v>682583.4</v>
      </c>
      <c r="BT91">
        <v>10296.299999999999</v>
      </c>
      <c r="BV91">
        <v>2206</v>
      </c>
      <c r="BW91">
        <v>40.700000000000003</v>
      </c>
      <c r="BY91">
        <v>6297.5</v>
      </c>
      <c r="BZ91">
        <v>209.5</v>
      </c>
      <c r="CB91">
        <v>271465</v>
      </c>
      <c r="CC91">
        <v>7977.6</v>
      </c>
      <c r="CE91">
        <v>232487.5</v>
      </c>
      <c r="CF91">
        <v>2640.4</v>
      </c>
      <c r="CH91">
        <v>577856.4</v>
      </c>
      <c r="CI91">
        <v>5785.2</v>
      </c>
      <c r="CK91">
        <v>129541.7</v>
      </c>
      <c r="CL91">
        <v>1226.5999999999999</v>
      </c>
      <c r="CN91">
        <v>3422289.8</v>
      </c>
      <c r="CO91">
        <v>11902.3</v>
      </c>
      <c r="CQ91">
        <v>34995.9</v>
      </c>
      <c r="CR91">
        <v>346.9</v>
      </c>
      <c r="CT91">
        <v>111238.6</v>
      </c>
      <c r="CU91">
        <v>456.4</v>
      </c>
      <c r="CW91">
        <v>1253329.2</v>
      </c>
      <c r="CX91">
        <v>5656.1</v>
      </c>
      <c r="CZ91">
        <v>177405.5</v>
      </c>
      <c r="DA91">
        <v>1271.9000000000001</v>
      </c>
      <c r="DC91">
        <v>95933.6</v>
      </c>
      <c r="DD91">
        <v>360.2</v>
      </c>
      <c r="DF91">
        <v>22225.200000000001</v>
      </c>
      <c r="DG91">
        <v>576</v>
      </c>
      <c r="DI91">
        <v>179.6</v>
      </c>
      <c r="DJ91">
        <v>17.899999999999999</v>
      </c>
      <c r="DL91">
        <v>285.2</v>
      </c>
      <c r="DM91">
        <v>68.599999999999994</v>
      </c>
      <c r="DO91">
        <v>11919.8</v>
      </c>
      <c r="DP91">
        <v>227.2</v>
      </c>
      <c r="DR91">
        <v>14881.4</v>
      </c>
      <c r="DS91">
        <v>187.5</v>
      </c>
      <c r="DU91">
        <v>596619.4</v>
      </c>
      <c r="DV91">
        <v>11798.6</v>
      </c>
      <c r="DX91">
        <v>3625.8</v>
      </c>
      <c r="DY91">
        <v>137.30000000000001</v>
      </c>
      <c r="EA91">
        <v>3284.6</v>
      </c>
      <c r="EB91">
        <v>112</v>
      </c>
      <c r="ED91">
        <v>38925.4</v>
      </c>
      <c r="EE91">
        <v>332.6</v>
      </c>
      <c r="EG91">
        <v>1024520.3</v>
      </c>
      <c r="EH91">
        <v>19755.7</v>
      </c>
      <c r="EJ91">
        <v>412532.9</v>
      </c>
      <c r="EK91">
        <v>6162.2</v>
      </c>
      <c r="EM91">
        <v>469699.3</v>
      </c>
      <c r="EN91">
        <v>8697.2999999999993</v>
      </c>
      <c r="EP91">
        <v>60043.3</v>
      </c>
      <c r="EQ91">
        <v>1227.5</v>
      </c>
      <c r="ES91">
        <v>1213246.8</v>
      </c>
      <c r="ET91">
        <v>17310.7</v>
      </c>
      <c r="EV91">
        <v>26.1</v>
      </c>
      <c r="EW91">
        <v>1</v>
      </c>
      <c r="EY91">
        <v>20717.2</v>
      </c>
      <c r="EZ91">
        <v>541.9</v>
      </c>
      <c r="FB91">
        <v>123.5</v>
      </c>
      <c r="FC91">
        <v>41.5</v>
      </c>
      <c r="FE91">
        <v>1670.6</v>
      </c>
      <c r="FF91">
        <v>28.3</v>
      </c>
      <c r="FH91">
        <v>789.6</v>
      </c>
      <c r="FI91">
        <v>40</v>
      </c>
      <c r="FK91">
        <v>107277.9</v>
      </c>
      <c r="FL91">
        <v>740.4</v>
      </c>
      <c r="FN91">
        <v>110276</v>
      </c>
      <c r="FO91">
        <v>2076.8000000000002</v>
      </c>
      <c r="FQ91">
        <v>14600</v>
      </c>
      <c r="FR91">
        <v>192.9</v>
      </c>
    </row>
    <row r="92" spans="1:174" x14ac:dyDescent="0.2">
      <c r="A92" t="s">
        <v>158</v>
      </c>
      <c r="B92">
        <v>42030.5</v>
      </c>
      <c r="C92">
        <v>349.3</v>
      </c>
      <c r="E92">
        <v>778.1</v>
      </c>
      <c r="F92">
        <v>108.3</v>
      </c>
      <c r="H92">
        <v>3613122.9</v>
      </c>
      <c r="I92">
        <v>40822.6</v>
      </c>
      <c r="K92">
        <v>133243.9</v>
      </c>
      <c r="L92">
        <v>565.4</v>
      </c>
      <c r="N92">
        <v>1087.0999999999999</v>
      </c>
      <c r="O92">
        <v>28.1</v>
      </c>
      <c r="Q92">
        <v>36767.9</v>
      </c>
      <c r="R92">
        <v>389.5</v>
      </c>
      <c r="T92">
        <v>2154.9</v>
      </c>
      <c r="U92">
        <v>60.4</v>
      </c>
      <c r="W92">
        <v>1339.4</v>
      </c>
      <c r="X92">
        <v>167.7</v>
      </c>
      <c r="Z92">
        <v>148898.1</v>
      </c>
      <c r="AA92">
        <v>856.4</v>
      </c>
      <c r="AC92">
        <v>155291.79999999999</v>
      </c>
      <c r="AD92">
        <v>2452.5</v>
      </c>
      <c r="AF92" s="27">
        <v>10221861.9</v>
      </c>
      <c r="AG92">
        <v>217319.8</v>
      </c>
      <c r="AI92" s="28">
        <v>12978179.699999999</v>
      </c>
      <c r="AJ92">
        <v>280018.90000000002</v>
      </c>
      <c r="AL92">
        <v>71960604.400000006</v>
      </c>
      <c r="AM92">
        <v>1219048.5</v>
      </c>
      <c r="AO92">
        <v>253770.8</v>
      </c>
      <c r="AP92">
        <v>3074.5</v>
      </c>
      <c r="AR92">
        <v>1070864.7</v>
      </c>
      <c r="AS92">
        <v>15417.8</v>
      </c>
      <c r="AU92">
        <v>28041.4</v>
      </c>
      <c r="AV92">
        <v>491.4</v>
      </c>
      <c r="AX92">
        <v>3859</v>
      </c>
      <c r="AY92">
        <v>211.7</v>
      </c>
      <c r="BA92">
        <v>361.5</v>
      </c>
      <c r="BB92">
        <v>33.4</v>
      </c>
      <c r="BD92">
        <v>407.3</v>
      </c>
      <c r="BE92">
        <v>53.9</v>
      </c>
      <c r="BG92">
        <v>279.2</v>
      </c>
      <c r="BH92">
        <v>21.9</v>
      </c>
      <c r="BJ92">
        <v>265.60000000000002</v>
      </c>
      <c r="BK92">
        <v>37.9</v>
      </c>
      <c r="BM92">
        <v>254.2</v>
      </c>
      <c r="BN92">
        <v>29</v>
      </c>
      <c r="BP92">
        <v>13801.9</v>
      </c>
      <c r="BQ92">
        <v>90.8</v>
      </c>
      <c r="BS92">
        <v>683161.1</v>
      </c>
      <c r="BT92">
        <v>9166.9</v>
      </c>
      <c r="BV92">
        <v>2140.3000000000002</v>
      </c>
      <c r="BW92">
        <v>156.6</v>
      </c>
      <c r="BY92">
        <v>48662.5</v>
      </c>
      <c r="BZ92">
        <v>790.6</v>
      </c>
      <c r="CB92">
        <v>4980963</v>
      </c>
      <c r="CC92">
        <v>73104.399999999994</v>
      </c>
      <c r="CE92">
        <v>4173326.2</v>
      </c>
      <c r="CF92">
        <v>92627.9</v>
      </c>
      <c r="CH92">
        <v>10088278.699999999</v>
      </c>
      <c r="CI92">
        <v>179148.2</v>
      </c>
      <c r="CK92">
        <v>2148563</v>
      </c>
      <c r="CL92">
        <v>10922.8</v>
      </c>
      <c r="CN92">
        <v>34384512.5</v>
      </c>
      <c r="CO92">
        <v>372161.8</v>
      </c>
      <c r="CQ92">
        <v>61414.9</v>
      </c>
      <c r="CR92">
        <v>1794.4</v>
      </c>
      <c r="CT92">
        <v>154492.6</v>
      </c>
      <c r="CU92">
        <v>7265.6</v>
      </c>
      <c r="CW92">
        <v>7046096.4000000004</v>
      </c>
      <c r="CX92">
        <v>112434.7</v>
      </c>
      <c r="CZ92">
        <v>376835.4</v>
      </c>
      <c r="DA92">
        <v>15027</v>
      </c>
      <c r="DC92">
        <v>2279400</v>
      </c>
      <c r="DD92">
        <v>44046.6</v>
      </c>
      <c r="DF92">
        <v>57192.7</v>
      </c>
      <c r="DG92">
        <v>1367.6</v>
      </c>
      <c r="DI92">
        <v>343.6</v>
      </c>
      <c r="DJ92">
        <v>46.3</v>
      </c>
      <c r="DL92">
        <v>600.1</v>
      </c>
      <c r="DM92">
        <v>35.5</v>
      </c>
      <c r="DO92">
        <v>21900.1</v>
      </c>
      <c r="DP92">
        <v>150.5</v>
      </c>
      <c r="DR92">
        <v>113951.3</v>
      </c>
      <c r="DS92">
        <v>538.6</v>
      </c>
      <c r="DU92">
        <v>762650.8</v>
      </c>
      <c r="DV92">
        <v>5278.6</v>
      </c>
      <c r="DX92">
        <v>30952.2</v>
      </c>
      <c r="DY92">
        <v>336.9</v>
      </c>
      <c r="EA92">
        <v>18707.099999999999</v>
      </c>
      <c r="EB92">
        <v>310.39999999999998</v>
      </c>
      <c r="ED92">
        <v>309319.09999999998</v>
      </c>
      <c r="EE92">
        <v>1607.3</v>
      </c>
      <c r="EG92">
        <v>14538674.300000001</v>
      </c>
      <c r="EH92">
        <v>131182.9</v>
      </c>
      <c r="EJ92">
        <v>1057238.7</v>
      </c>
      <c r="EK92">
        <v>8911.9</v>
      </c>
      <c r="EM92">
        <v>1493475.9</v>
      </c>
      <c r="EN92">
        <v>11054</v>
      </c>
      <c r="EP92">
        <v>60312.4</v>
      </c>
      <c r="EQ92">
        <v>318.7</v>
      </c>
      <c r="ES92">
        <v>20294036.899999999</v>
      </c>
      <c r="ET92">
        <v>165215.29999999999</v>
      </c>
      <c r="EV92">
        <v>518.1</v>
      </c>
      <c r="EW92">
        <v>22.7</v>
      </c>
      <c r="EY92">
        <v>334723.7</v>
      </c>
      <c r="EZ92">
        <v>3633.4</v>
      </c>
      <c r="FB92">
        <v>510</v>
      </c>
      <c r="FC92">
        <v>88.1</v>
      </c>
      <c r="FE92">
        <v>3466.5</v>
      </c>
      <c r="FF92">
        <v>70.2</v>
      </c>
      <c r="FH92">
        <v>802.5</v>
      </c>
      <c r="FI92">
        <v>14.4</v>
      </c>
      <c r="FK92">
        <v>264861.40000000002</v>
      </c>
      <c r="FL92">
        <v>2197.5</v>
      </c>
      <c r="FN92">
        <v>335550.2</v>
      </c>
      <c r="FO92">
        <v>2076.3000000000002</v>
      </c>
      <c r="FQ92">
        <v>14997.6</v>
      </c>
      <c r="FR92">
        <v>82.7</v>
      </c>
    </row>
    <row r="93" spans="1:174" x14ac:dyDescent="0.2">
      <c r="A93" t="s">
        <v>159</v>
      </c>
      <c r="B93">
        <v>9856.7999999999993</v>
      </c>
      <c r="C93">
        <v>280.3</v>
      </c>
      <c r="E93">
        <v>749</v>
      </c>
      <c r="F93">
        <v>80.2</v>
      </c>
      <c r="H93">
        <v>106703.4</v>
      </c>
      <c r="I93">
        <v>732.7</v>
      </c>
      <c r="K93">
        <v>75213.7</v>
      </c>
      <c r="L93">
        <v>683.5</v>
      </c>
      <c r="N93">
        <v>828.5</v>
      </c>
      <c r="O93">
        <v>109</v>
      </c>
      <c r="Q93">
        <v>2780.6</v>
      </c>
      <c r="R93">
        <v>176.2</v>
      </c>
      <c r="T93">
        <v>1468.8</v>
      </c>
      <c r="U93">
        <v>138.80000000000001</v>
      </c>
      <c r="W93">
        <v>1117.4000000000001</v>
      </c>
      <c r="X93">
        <v>56.3</v>
      </c>
      <c r="Z93">
        <v>29306.1</v>
      </c>
      <c r="AA93">
        <v>415.1</v>
      </c>
      <c r="AC93">
        <v>6087.9</v>
      </c>
      <c r="AD93">
        <v>62.6</v>
      </c>
      <c r="AF93" s="27">
        <v>3444084.3</v>
      </c>
      <c r="AG93">
        <v>22170.2</v>
      </c>
      <c r="AI93" s="28">
        <v>1471887.5</v>
      </c>
      <c r="AJ93">
        <v>10002.700000000001</v>
      </c>
      <c r="AL93">
        <v>3042215.3</v>
      </c>
      <c r="AM93">
        <v>8470.1</v>
      </c>
      <c r="AO93">
        <v>8799</v>
      </c>
      <c r="AP93">
        <v>274</v>
      </c>
      <c r="AR93">
        <v>295051.09999999998</v>
      </c>
      <c r="AS93">
        <v>1482.6</v>
      </c>
      <c r="AU93">
        <v>3043.5</v>
      </c>
      <c r="AV93">
        <v>221.7</v>
      </c>
      <c r="AX93">
        <v>4133.3</v>
      </c>
      <c r="AY93">
        <v>186.3</v>
      </c>
      <c r="BA93">
        <v>364.6</v>
      </c>
      <c r="BB93">
        <v>55.1</v>
      </c>
      <c r="BD93">
        <v>442.8</v>
      </c>
      <c r="BE93">
        <v>34.5</v>
      </c>
      <c r="BG93">
        <v>275</v>
      </c>
      <c r="BH93">
        <v>63.8</v>
      </c>
      <c r="BJ93">
        <v>226</v>
      </c>
      <c r="BK93">
        <v>24.3</v>
      </c>
      <c r="BM93">
        <v>156.30000000000001</v>
      </c>
      <c r="BN93">
        <v>14.3</v>
      </c>
      <c r="BP93">
        <v>2416.6</v>
      </c>
      <c r="BQ93">
        <v>57</v>
      </c>
      <c r="BS93">
        <v>682278.8</v>
      </c>
      <c r="BT93">
        <v>5228.3999999999996</v>
      </c>
      <c r="BV93">
        <v>2094.4</v>
      </c>
      <c r="BW93">
        <v>44.4</v>
      </c>
      <c r="BY93">
        <v>3319.8</v>
      </c>
      <c r="BZ93">
        <v>169.4</v>
      </c>
      <c r="CB93">
        <v>165792.70000000001</v>
      </c>
      <c r="CC93">
        <v>1157.3</v>
      </c>
      <c r="CE93">
        <v>140153.29999999999</v>
      </c>
      <c r="CF93">
        <v>1270.8</v>
      </c>
      <c r="CH93">
        <v>342924.9</v>
      </c>
      <c r="CI93">
        <v>3252.2</v>
      </c>
      <c r="CK93">
        <v>63851.8</v>
      </c>
      <c r="CL93">
        <v>717.3</v>
      </c>
      <c r="CN93">
        <v>1320290.7</v>
      </c>
      <c r="CO93">
        <v>8362.1</v>
      </c>
      <c r="CQ93">
        <v>37936.400000000001</v>
      </c>
      <c r="CR93">
        <v>598.6</v>
      </c>
      <c r="CT93">
        <v>270855.59999999998</v>
      </c>
      <c r="CU93">
        <v>5162.3999999999996</v>
      </c>
      <c r="CW93">
        <v>781540.4</v>
      </c>
      <c r="CX93">
        <v>3320.9</v>
      </c>
      <c r="CZ93">
        <v>25810.799999999999</v>
      </c>
      <c r="DA93">
        <v>31.6</v>
      </c>
      <c r="DC93">
        <v>75667.199999999997</v>
      </c>
      <c r="DD93">
        <v>751.9</v>
      </c>
      <c r="DF93">
        <v>33632.699999999997</v>
      </c>
      <c r="DG93">
        <v>142.4</v>
      </c>
      <c r="DI93">
        <v>139.80000000000001</v>
      </c>
      <c r="DJ93">
        <v>15.3</v>
      </c>
      <c r="DL93">
        <v>275</v>
      </c>
      <c r="DM93">
        <v>37.4</v>
      </c>
      <c r="DO93">
        <v>7805.3</v>
      </c>
      <c r="DP93">
        <v>110.9</v>
      </c>
      <c r="DR93">
        <v>29574.6</v>
      </c>
      <c r="DS93">
        <v>483.3</v>
      </c>
      <c r="DU93">
        <v>557898.4</v>
      </c>
      <c r="DV93">
        <v>9388.7000000000007</v>
      </c>
      <c r="DX93">
        <v>2005.3</v>
      </c>
      <c r="DY93">
        <v>15.8</v>
      </c>
      <c r="EA93">
        <v>7492.8</v>
      </c>
      <c r="EB93">
        <v>337.6</v>
      </c>
      <c r="ED93">
        <v>22005.8</v>
      </c>
      <c r="EE93">
        <v>253.7</v>
      </c>
      <c r="EG93">
        <v>537781</v>
      </c>
      <c r="EH93">
        <v>9350.2000000000007</v>
      </c>
      <c r="EJ93">
        <v>297227.40000000002</v>
      </c>
      <c r="EK93">
        <v>3812.5</v>
      </c>
      <c r="EM93">
        <v>146216</v>
      </c>
      <c r="EN93">
        <v>690.9</v>
      </c>
      <c r="EP93">
        <v>60109.5</v>
      </c>
      <c r="EQ93">
        <v>832.7</v>
      </c>
      <c r="ES93">
        <v>609490.5</v>
      </c>
      <c r="ET93">
        <v>7921.1</v>
      </c>
      <c r="EV93">
        <v>16.8</v>
      </c>
      <c r="EW93">
        <v>7.5</v>
      </c>
      <c r="EY93">
        <v>7462.5</v>
      </c>
      <c r="EZ93">
        <v>126.2</v>
      </c>
      <c r="FB93">
        <v>454.6</v>
      </c>
      <c r="FC93">
        <v>125.5</v>
      </c>
      <c r="FE93">
        <v>3761.4</v>
      </c>
      <c r="FF93">
        <v>258.2</v>
      </c>
      <c r="FH93">
        <v>803.5</v>
      </c>
      <c r="FI93">
        <v>53.5</v>
      </c>
      <c r="FK93">
        <v>74573</v>
      </c>
      <c r="FL93">
        <v>968.9</v>
      </c>
      <c r="FN93">
        <v>34430.800000000003</v>
      </c>
      <c r="FO93">
        <v>221.6</v>
      </c>
      <c r="FQ93">
        <v>14744.9</v>
      </c>
      <c r="FR93">
        <v>302</v>
      </c>
    </row>
    <row r="94" spans="1:174" x14ac:dyDescent="0.2">
      <c r="A94" t="s">
        <v>160</v>
      </c>
      <c r="B94">
        <v>9232.2000000000007</v>
      </c>
      <c r="C94">
        <v>506.6</v>
      </c>
      <c r="E94">
        <v>718.5</v>
      </c>
      <c r="F94">
        <v>54.3</v>
      </c>
      <c r="H94">
        <v>30869</v>
      </c>
      <c r="I94">
        <v>642.79999999999995</v>
      </c>
      <c r="K94">
        <v>75928.100000000006</v>
      </c>
      <c r="L94">
        <v>635.9</v>
      </c>
      <c r="N94">
        <v>1042.3</v>
      </c>
      <c r="O94">
        <v>115.6</v>
      </c>
      <c r="Q94">
        <v>3252</v>
      </c>
      <c r="R94">
        <v>107.2</v>
      </c>
      <c r="T94">
        <v>1394.7</v>
      </c>
      <c r="U94">
        <v>116.8</v>
      </c>
      <c r="W94">
        <v>1075.5999999999999</v>
      </c>
      <c r="X94">
        <v>61</v>
      </c>
      <c r="Z94">
        <v>3924.7</v>
      </c>
      <c r="AA94">
        <v>49.1</v>
      </c>
      <c r="AC94">
        <v>1701.3</v>
      </c>
      <c r="AD94">
        <v>92.1</v>
      </c>
      <c r="AF94" s="27">
        <v>3109838</v>
      </c>
      <c r="AG94">
        <v>13080.1</v>
      </c>
      <c r="AI94" s="28">
        <v>1905715</v>
      </c>
      <c r="AJ94">
        <v>7888.8</v>
      </c>
      <c r="AL94">
        <v>1026112.3</v>
      </c>
      <c r="AM94">
        <v>8838.1</v>
      </c>
      <c r="AO94">
        <v>3293.8</v>
      </c>
      <c r="AP94">
        <v>251</v>
      </c>
      <c r="AR94">
        <v>22045.599999999999</v>
      </c>
      <c r="AS94">
        <v>252.2</v>
      </c>
      <c r="AU94">
        <v>2341.6</v>
      </c>
      <c r="AV94">
        <v>86.1</v>
      </c>
      <c r="AX94">
        <v>3794.4</v>
      </c>
      <c r="AY94">
        <v>193.6</v>
      </c>
      <c r="BA94">
        <v>386.5</v>
      </c>
      <c r="BB94">
        <v>23.5</v>
      </c>
      <c r="BD94">
        <v>385.5</v>
      </c>
      <c r="BE94">
        <v>31.6</v>
      </c>
      <c r="BG94">
        <v>274</v>
      </c>
      <c r="BH94">
        <v>33.1</v>
      </c>
      <c r="BJ94">
        <v>230.2</v>
      </c>
      <c r="BK94">
        <v>19.100000000000001</v>
      </c>
      <c r="BM94">
        <v>153.1</v>
      </c>
      <c r="BN94">
        <v>8.3000000000000007</v>
      </c>
      <c r="BP94">
        <v>3081</v>
      </c>
      <c r="BQ94">
        <v>84</v>
      </c>
      <c r="BS94">
        <v>679290.3</v>
      </c>
      <c r="BT94">
        <v>1949.8</v>
      </c>
      <c r="BV94">
        <v>1948.4</v>
      </c>
      <c r="BW94">
        <v>30.2</v>
      </c>
      <c r="BY94">
        <v>938</v>
      </c>
      <c r="BZ94">
        <v>13.6</v>
      </c>
      <c r="CB94">
        <v>72864.100000000006</v>
      </c>
      <c r="CC94">
        <v>586.5</v>
      </c>
      <c r="CE94">
        <v>61945</v>
      </c>
      <c r="CF94">
        <v>468.4</v>
      </c>
      <c r="CH94">
        <v>153246.1</v>
      </c>
      <c r="CI94">
        <v>1476.8</v>
      </c>
      <c r="CK94">
        <v>94226.9</v>
      </c>
      <c r="CL94">
        <v>584.29999999999995</v>
      </c>
      <c r="CN94">
        <v>532715.69999999995</v>
      </c>
      <c r="CO94">
        <v>7993</v>
      </c>
      <c r="CQ94">
        <v>51810.7</v>
      </c>
      <c r="CR94">
        <v>1382.4</v>
      </c>
      <c r="CT94">
        <v>187892.5</v>
      </c>
      <c r="CU94">
        <v>5426</v>
      </c>
      <c r="CW94">
        <v>810178.4</v>
      </c>
      <c r="CX94">
        <v>1025.5999999999999</v>
      </c>
      <c r="CZ94">
        <v>16229.3</v>
      </c>
      <c r="DA94">
        <v>243.6</v>
      </c>
      <c r="DC94">
        <v>47406.3</v>
      </c>
      <c r="DD94">
        <v>383</v>
      </c>
      <c r="DF94">
        <v>49706.2</v>
      </c>
      <c r="DG94">
        <v>652.29999999999995</v>
      </c>
      <c r="DI94">
        <v>435.3</v>
      </c>
      <c r="DJ94">
        <v>27.9</v>
      </c>
      <c r="DL94">
        <v>285.2</v>
      </c>
      <c r="DM94">
        <v>52.5</v>
      </c>
      <c r="DO94">
        <v>32343.4</v>
      </c>
      <c r="DP94">
        <v>973.5</v>
      </c>
      <c r="DR94">
        <v>24906.799999999999</v>
      </c>
      <c r="DS94">
        <v>1036.2</v>
      </c>
      <c r="DU94">
        <v>321079.90000000002</v>
      </c>
      <c r="DV94">
        <v>12406.4</v>
      </c>
      <c r="DX94">
        <v>2537.4</v>
      </c>
      <c r="DY94">
        <v>123.5</v>
      </c>
      <c r="EA94">
        <v>98268.6</v>
      </c>
      <c r="EB94">
        <v>2493.8000000000002</v>
      </c>
      <c r="ED94">
        <v>52462.6</v>
      </c>
      <c r="EE94">
        <v>1501.6</v>
      </c>
      <c r="EG94">
        <v>152679.1</v>
      </c>
      <c r="EH94">
        <v>4279</v>
      </c>
      <c r="EJ94">
        <v>275420.90000000002</v>
      </c>
      <c r="EK94">
        <v>7110.2</v>
      </c>
      <c r="EM94">
        <v>184950.6</v>
      </c>
      <c r="EN94">
        <v>6949.2</v>
      </c>
      <c r="EP94">
        <v>59013.5</v>
      </c>
      <c r="EQ94">
        <v>2589.6</v>
      </c>
      <c r="ES94">
        <v>199284.7</v>
      </c>
      <c r="ET94">
        <v>1785.6</v>
      </c>
      <c r="EV94">
        <v>3.1</v>
      </c>
      <c r="EW94">
        <v>0.5</v>
      </c>
      <c r="EY94">
        <v>1752.3</v>
      </c>
      <c r="EZ94">
        <v>63.5</v>
      </c>
      <c r="FB94">
        <v>121.6</v>
      </c>
      <c r="FC94">
        <v>10</v>
      </c>
      <c r="FE94">
        <v>1657.8</v>
      </c>
      <c r="FF94">
        <v>262.2</v>
      </c>
      <c r="FH94">
        <v>745.1</v>
      </c>
      <c r="FI94">
        <v>35</v>
      </c>
      <c r="FK94">
        <v>70822.5</v>
      </c>
      <c r="FL94">
        <v>925.3</v>
      </c>
      <c r="FN94">
        <v>42638.5</v>
      </c>
      <c r="FO94">
        <v>392.6</v>
      </c>
      <c r="FQ94">
        <v>14535.1</v>
      </c>
      <c r="FR94">
        <v>230.9</v>
      </c>
    </row>
    <row r="95" spans="1:174" x14ac:dyDescent="0.2">
      <c r="A95" t="s">
        <v>161</v>
      </c>
      <c r="B95">
        <v>9774.2000000000007</v>
      </c>
      <c r="C95">
        <v>362.7</v>
      </c>
      <c r="E95">
        <v>683.6</v>
      </c>
      <c r="F95">
        <v>82</v>
      </c>
      <c r="H95">
        <v>60583.4</v>
      </c>
      <c r="I95">
        <v>701.5</v>
      </c>
      <c r="K95">
        <v>78463.399999999994</v>
      </c>
      <c r="L95">
        <v>714.9</v>
      </c>
      <c r="N95">
        <v>1112.0999999999999</v>
      </c>
      <c r="O95">
        <v>164.6</v>
      </c>
      <c r="Q95">
        <v>7389.7</v>
      </c>
      <c r="R95">
        <v>204</v>
      </c>
      <c r="T95">
        <v>1168.4000000000001</v>
      </c>
      <c r="U95">
        <v>109.9</v>
      </c>
      <c r="W95">
        <v>1081.9000000000001</v>
      </c>
      <c r="X95">
        <v>40</v>
      </c>
      <c r="Z95">
        <v>14831</v>
      </c>
      <c r="AA95">
        <v>246.3</v>
      </c>
      <c r="AC95">
        <v>3765.2</v>
      </c>
      <c r="AD95">
        <v>128.80000000000001</v>
      </c>
      <c r="AF95" s="27">
        <v>3339948</v>
      </c>
      <c r="AG95">
        <v>36084.1</v>
      </c>
      <c r="AI95" s="28">
        <v>2167982.7000000002</v>
      </c>
      <c r="AJ95">
        <v>5785.7</v>
      </c>
      <c r="AL95">
        <v>2629770.2999999998</v>
      </c>
      <c r="AM95">
        <v>18172.400000000001</v>
      </c>
      <c r="AO95">
        <v>4775.8</v>
      </c>
      <c r="AP95">
        <v>80.7</v>
      </c>
      <c r="AR95">
        <v>44106.9</v>
      </c>
      <c r="AS95">
        <v>272.7</v>
      </c>
      <c r="AU95">
        <v>3254.1</v>
      </c>
      <c r="AV95">
        <v>193.2</v>
      </c>
      <c r="AX95">
        <v>3546.1</v>
      </c>
      <c r="AY95">
        <v>18.8</v>
      </c>
      <c r="BA95">
        <v>425.1</v>
      </c>
      <c r="BB95">
        <v>48.1</v>
      </c>
      <c r="BD95">
        <v>412.6</v>
      </c>
      <c r="BE95">
        <v>21.7</v>
      </c>
      <c r="BG95">
        <v>326.10000000000002</v>
      </c>
      <c r="BH95">
        <v>31.5</v>
      </c>
      <c r="BJ95">
        <v>247.9</v>
      </c>
      <c r="BK95">
        <v>21.9</v>
      </c>
      <c r="BM95">
        <v>163.6</v>
      </c>
      <c r="BN95">
        <v>22.6</v>
      </c>
      <c r="BP95">
        <v>1459.3</v>
      </c>
      <c r="BQ95">
        <v>80.400000000000006</v>
      </c>
      <c r="BS95">
        <v>683764.5</v>
      </c>
      <c r="BT95">
        <v>3579.6</v>
      </c>
      <c r="BV95">
        <v>2125.6999999999998</v>
      </c>
      <c r="BW95">
        <v>143.6</v>
      </c>
      <c r="BY95">
        <v>2188.3000000000002</v>
      </c>
      <c r="BZ95">
        <v>90.5</v>
      </c>
      <c r="CB95">
        <v>124875.6</v>
      </c>
      <c r="CC95">
        <v>768.9</v>
      </c>
      <c r="CE95">
        <v>105895.6</v>
      </c>
      <c r="CF95">
        <v>984.1</v>
      </c>
      <c r="CH95">
        <v>260598.39999999999</v>
      </c>
      <c r="CI95">
        <v>1333.5</v>
      </c>
      <c r="CK95">
        <v>87572.2</v>
      </c>
      <c r="CL95">
        <v>1079.7</v>
      </c>
      <c r="CN95">
        <v>1008696.4</v>
      </c>
      <c r="CO95">
        <v>11570</v>
      </c>
      <c r="CQ95">
        <v>75127.8</v>
      </c>
      <c r="CR95">
        <v>1580.9</v>
      </c>
      <c r="CT95">
        <v>150769.9</v>
      </c>
      <c r="CU95">
        <v>2023.9</v>
      </c>
      <c r="CW95">
        <v>885778.1</v>
      </c>
      <c r="CX95">
        <v>4432.8999999999996</v>
      </c>
      <c r="CZ95">
        <v>22971.8</v>
      </c>
      <c r="DA95">
        <v>499.1</v>
      </c>
      <c r="DC95">
        <v>78136.600000000006</v>
      </c>
      <c r="DD95">
        <v>1219.7</v>
      </c>
      <c r="DF95">
        <v>43026.5</v>
      </c>
      <c r="DG95">
        <v>1008.4</v>
      </c>
      <c r="DI95">
        <v>473.2</v>
      </c>
      <c r="DJ95">
        <v>32.200000000000003</v>
      </c>
      <c r="DL95">
        <v>424.1</v>
      </c>
      <c r="DM95">
        <v>52.8</v>
      </c>
      <c r="DO95">
        <v>91434.3</v>
      </c>
      <c r="DP95">
        <v>1312.8</v>
      </c>
      <c r="DR95">
        <v>67340.899999999994</v>
      </c>
      <c r="DS95">
        <v>1166</v>
      </c>
      <c r="DU95">
        <v>569517.80000000005</v>
      </c>
      <c r="DV95">
        <v>12642.6</v>
      </c>
      <c r="DX95">
        <v>2949.9</v>
      </c>
      <c r="DY95">
        <v>132.5</v>
      </c>
      <c r="EA95">
        <v>30259.8</v>
      </c>
      <c r="EB95">
        <v>533.9</v>
      </c>
      <c r="ED95">
        <v>37587.199999999997</v>
      </c>
      <c r="EE95">
        <v>377.2</v>
      </c>
      <c r="EG95">
        <v>279031.59999999998</v>
      </c>
      <c r="EH95">
        <v>5811</v>
      </c>
      <c r="EJ95">
        <v>285024.3</v>
      </c>
      <c r="EK95">
        <v>3679.4</v>
      </c>
      <c r="EM95">
        <v>210022.9</v>
      </c>
      <c r="EN95">
        <v>3095.3</v>
      </c>
      <c r="EP95">
        <v>59851.9</v>
      </c>
      <c r="EQ95">
        <v>747.4</v>
      </c>
      <c r="ES95">
        <v>557655.30000000005</v>
      </c>
      <c r="ET95">
        <v>11080.2</v>
      </c>
      <c r="EV95">
        <v>7.7</v>
      </c>
      <c r="EW95">
        <v>3.5</v>
      </c>
      <c r="EY95">
        <v>6222.4</v>
      </c>
      <c r="EZ95">
        <v>261.60000000000002</v>
      </c>
      <c r="FB95">
        <v>254.6</v>
      </c>
      <c r="FC95">
        <v>9.1</v>
      </c>
      <c r="FE95">
        <v>3203.4</v>
      </c>
      <c r="FF95">
        <v>238.6</v>
      </c>
      <c r="FH95">
        <v>780.2</v>
      </c>
      <c r="FI95">
        <v>74.900000000000006</v>
      </c>
      <c r="FK95">
        <v>74295.8</v>
      </c>
      <c r="FL95">
        <v>403.1</v>
      </c>
      <c r="FN95">
        <v>49350.9</v>
      </c>
      <c r="FO95">
        <v>884.8</v>
      </c>
      <c r="FQ95">
        <v>14816.3</v>
      </c>
      <c r="FR95">
        <v>270.2</v>
      </c>
    </row>
    <row r="96" spans="1:174" x14ac:dyDescent="0.2">
      <c r="A96" t="s">
        <v>162</v>
      </c>
      <c r="B96">
        <v>11254</v>
      </c>
      <c r="C96">
        <v>87.8</v>
      </c>
      <c r="E96">
        <v>707.3</v>
      </c>
      <c r="F96">
        <v>30.7</v>
      </c>
      <c r="H96">
        <v>306946.90000000002</v>
      </c>
      <c r="I96">
        <v>1010.9</v>
      </c>
      <c r="K96">
        <v>724441.2</v>
      </c>
      <c r="L96">
        <v>6268.9</v>
      </c>
      <c r="N96">
        <v>2527.1999999999998</v>
      </c>
      <c r="O96">
        <v>89.5</v>
      </c>
      <c r="Q96">
        <v>10804.2</v>
      </c>
      <c r="R96">
        <v>250</v>
      </c>
      <c r="T96">
        <v>1622</v>
      </c>
      <c r="U96">
        <v>48.9</v>
      </c>
      <c r="W96">
        <v>1334.2</v>
      </c>
      <c r="X96">
        <v>111.5</v>
      </c>
      <c r="Z96">
        <v>18709.3</v>
      </c>
      <c r="AA96">
        <v>432.5</v>
      </c>
      <c r="AC96">
        <v>9045.2999999999993</v>
      </c>
      <c r="AD96">
        <v>94</v>
      </c>
      <c r="AF96" s="27">
        <v>2952994</v>
      </c>
      <c r="AG96">
        <v>40477.9</v>
      </c>
      <c r="AI96" s="28">
        <v>1117863.2</v>
      </c>
      <c r="AJ96">
        <v>4663</v>
      </c>
      <c r="AL96">
        <v>697370.7</v>
      </c>
      <c r="AM96">
        <v>3929.8</v>
      </c>
      <c r="AO96">
        <v>27875.200000000001</v>
      </c>
      <c r="AP96">
        <v>844.8</v>
      </c>
      <c r="AR96">
        <v>462725.8</v>
      </c>
      <c r="AS96">
        <v>2219.4</v>
      </c>
      <c r="AU96">
        <v>6968.3</v>
      </c>
      <c r="AV96">
        <v>56.3</v>
      </c>
      <c r="AX96">
        <v>7969.6</v>
      </c>
      <c r="AY96">
        <v>435.5</v>
      </c>
      <c r="BA96">
        <v>692</v>
      </c>
      <c r="BB96">
        <v>41.3</v>
      </c>
      <c r="BD96">
        <v>400.1</v>
      </c>
      <c r="BE96">
        <v>51.4</v>
      </c>
      <c r="BG96">
        <v>330.2</v>
      </c>
      <c r="BH96">
        <v>18.100000000000001</v>
      </c>
      <c r="BJ96">
        <v>268.8</v>
      </c>
      <c r="BK96">
        <v>36.1</v>
      </c>
      <c r="BM96">
        <v>246.9</v>
      </c>
      <c r="BN96">
        <v>50.3</v>
      </c>
      <c r="BP96">
        <v>5430.8</v>
      </c>
      <c r="BQ96">
        <v>205.2</v>
      </c>
      <c r="BS96">
        <v>677424.3</v>
      </c>
      <c r="BT96">
        <v>13682.1</v>
      </c>
      <c r="BV96">
        <v>2159</v>
      </c>
      <c r="BW96">
        <v>180.9</v>
      </c>
      <c r="BY96">
        <v>25635</v>
      </c>
      <c r="BZ96">
        <v>301</v>
      </c>
      <c r="CB96">
        <v>590230.6</v>
      </c>
      <c r="CC96">
        <v>5291.9</v>
      </c>
      <c r="CE96">
        <v>484522.6</v>
      </c>
      <c r="CF96">
        <v>7873.7</v>
      </c>
      <c r="CH96">
        <v>1224924</v>
      </c>
      <c r="CI96">
        <v>20833.099999999999</v>
      </c>
      <c r="CK96">
        <v>84740.5</v>
      </c>
      <c r="CL96">
        <v>1215.5</v>
      </c>
      <c r="CN96">
        <v>1580431.1</v>
      </c>
      <c r="CO96">
        <v>15162.5</v>
      </c>
      <c r="CQ96">
        <v>396569.9</v>
      </c>
      <c r="CR96">
        <v>6055.9</v>
      </c>
      <c r="CT96">
        <v>190827.7</v>
      </c>
      <c r="CU96">
        <v>2563.6</v>
      </c>
      <c r="CW96">
        <v>926265.8</v>
      </c>
      <c r="CX96">
        <v>6086.7</v>
      </c>
      <c r="CZ96">
        <v>14211.8</v>
      </c>
      <c r="DA96">
        <v>384</v>
      </c>
      <c r="DC96">
        <v>541267.30000000005</v>
      </c>
      <c r="DD96">
        <v>4387.5</v>
      </c>
      <c r="DF96">
        <v>115615.9</v>
      </c>
      <c r="DG96">
        <v>2651.8</v>
      </c>
      <c r="DI96">
        <v>1647.5</v>
      </c>
      <c r="DJ96">
        <v>18.399999999999999</v>
      </c>
      <c r="DL96">
        <v>724.3</v>
      </c>
      <c r="DM96">
        <v>54.7</v>
      </c>
      <c r="DO96">
        <v>23823</v>
      </c>
      <c r="DP96">
        <v>769.8</v>
      </c>
      <c r="DR96">
        <v>203787.8</v>
      </c>
      <c r="DS96">
        <v>1186.5</v>
      </c>
      <c r="DU96">
        <v>970411.6</v>
      </c>
      <c r="DV96">
        <v>12664.1</v>
      </c>
      <c r="DX96">
        <v>1261.9000000000001</v>
      </c>
      <c r="DY96">
        <v>26.6</v>
      </c>
      <c r="EA96">
        <v>56552.9</v>
      </c>
      <c r="EB96">
        <v>1091.7</v>
      </c>
      <c r="ED96">
        <v>72506</v>
      </c>
      <c r="EE96">
        <v>1248.3</v>
      </c>
      <c r="EG96">
        <v>132268.5</v>
      </c>
      <c r="EH96">
        <v>908.5</v>
      </c>
      <c r="EJ96">
        <v>260389.9</v>
      </c>
      <c r="EK96">
        <v>1336</v>
      </c>
      <c r="EM96">
        <v>110401.4</v>
      </c>
      <c r="EN96">
        <v>1277</v>
      </c>
      <c r="EP96">
        <v>58602.400000000001</v>
      </c>
      <c r="EQ96">
        <v>640.70000000000005</v>
      </c>
      <c r="ES96">
        <v>2438245.9</v>
      </c>
      <c r="ET96">
        <v>16774.599999999999</v>
      </c>
      <c r="EV96">
        <v>8.6999999999999993</v>
      </c>
      <c r="EW96">
        <v>7.9</v>
      </c>
      <c r="EY96">
        <v>507735.8</v>
      </c>
      <c r="EZ96">
        <v>5788.7</v>
      </c>
      <c r="FB96">
        <v>367.3</v>
      </c>
      <c r="FC96">
        <v>49.4</v>
      </c>
      <c r="FE96">
        <v>2873.3</v>
      </c>
      <c r="FF96">
        <v>73.7</v>
      </c>
      <c r="FH96">
        <v>771.3</v>
      </c>
      <c r="FI96">
        <v>11.9</v>
      </c>
      <c r="FK96">
        <v>67069.8</v>
      </c>
      <c r="FL96">
        <v>215.8</v>
      </c>
      <c r="FN96">
        <v>25899.9</v>
      </c>
      <c r="FO96">
        <v>81.400000000000006</v>
      </c>
      <c r="FQ96">
        <v>14538.8</v>
      </c>
      <c r="FR96">
        <v>206.6</v>
      </c>
    </row>
    <row r="97" spans="1:174" x14ac:dyDescent="0.2">
      <c r="A97" t="s">
        <v>163</v>
      </c>
      <c r="B97">
        <v>14832.4</v>
      </c>
      <c r="C97">
        <v>441.4</v>
      </c>
      <c r="E97">
        <v>729.5</v>
      </c>
      <c r="F97">
        <v>74.599999999999994</v>
      </c>
      <c r="H97">
        <v>650782.9</v>
      </c>
      <c r="I97">
        <v>4674.8999999999996</v>
      </c>
      <c r="K97">
        <v>282991.5</v>
      </c>
      <c r="L97">
        <v>3062.7</v>
      </c>
      <c r="N97">
        <v>1195.5</v>
      </c>
      <c r="O97">
        <v>101.3</v>
      </c>
      <c r="Q97">
        <v>13736.2</v>
      </c>
      <c r="R97">
        <v>179.9</v>
      </c>
      <c r="T97">
        <v>1793</v>
      </c>
      <c r="U97">
        <v>76.900000000000006</v>
      </c>
      <c r="W97">
        <v>1249.8</v>
      </c>
      <c r="X97">
        <v>26.6</v>
      </c>
      <c r="Z97">
        <v>34459</v>
      </c>
      <c r="AA97">
        <v>335.6</v>
      </c>
      <c r="AC97">
        <v>20221.7</v>
      </c>
      <c r="AD97">
        <v>214</v>
      </c>
      <c r="AF97" s="27">
        <v>3059289</v>
      </c>
      <c r="AG97">
        <v>25756.2</v>
      </c>
      <c r="AI97" s="28">
        <v>2211704.7000000002</v>
      </c>
      <c r="AJ97">
        <v>15946.1</v>
      </c>
      <c r="AL97">
        <v>1148726.2</v>
      </c>
      <c r="AM97">
        <v>13900.7</v>
      </c>
      <c r="AO97">
        <v>61401.9</v>
      </c>
      <c r="AP97">
        <v>315.10000000000002</v>
      </c>
      <c r="AR97">
        <v>279620.2</v>
      </c>
      <c r="AS97">
        <v>1867.6</v>
      </c>
      <c r="AU97">
        <v>30819.8</v>
      </c>
      <c r="AV97">
        <v>66.099999999999994</v>
      </c>
      <c r="AX97">
        <v>29123.200000000001</v>
      </c>
      <c r="AY97">
        <v>384.8</v>
      </c>
      <c r="BA97">
        <v>3330.3</v>
      </c>
      <c r="BB97">
        <v>197.3</v>
      </c>
      <c r="BD97">
        <v>479.3</v>
      </c>
      <c r="BE97">
        <v>61</v>
      </c>
      <c r="BG97">
        <v>404.2</v>
      </c>
      <c r="BH97">
        <v>39.6</v>
      </c>
      <c r="BJ97">
        <v>303.2</v>
      </c>
      <c r="BK97">
        <v>36.799999999999997</v>
      </c>
      <c r="BM97">
        <v>135.4</v>
      </c>
      <c r="BN97">
        <v>4.8</v>
      </c>
      <c r="BP97">
        <v>3600.3</v>
      </c>
      <c r="BQ97">
        <v>166.6</v>
      </c>
      <c r="BS97">
        <v>674637</v>
      </c>
      <c r="BT97">
        <v>9296.1</v>
      </c>
      <c r="BV97">
        <v>2305.1</v>
      </c>
      <c r="BW97">
        <v>93.3</v>
      </c>
      <c r="BY97">
        <v>60409.1</v>
      </c>
      <c r="BZ97">
        <v>478.5</v>
      </c>
      <c r="CB97">
        <v>1379735.7</v>
      </c>
      <c r="CC97">
        <v>21506.1</v>
      </c>
      <c r="CE97">
        <v>1129404.7</v>
      </c>
      <c r="CF97">
        <v>13598</v>
      </c>
      <c r="CH97">
        <v>2967378.3</v>
      </c>
      <c r="CI97">
        <v>11155.3</v>
      </c>
      <c r="CK97">
        <v>180449.5</v>
      </c>
      <c r="CL97">
        <v>365.4</v>
      </c>
      <c r="CN97">
        <v>3409556.7</v>
      </c>
      <c r="CO97">
        <v>9392</v>
      </c>
      <c r="CQ97">
        <v>163446.1</v>
      </c>
      <c r="CR97">
        <v>2207.6999999999998</v>
      </c>
      <c r="CT97">
        <v>173323.8</v>
      </c>
      <c r="CU97">
        <v>3089.3</v>
      </c>
      <c r="CW97">
        <v>1359612.1</v>
      </c>
      <c r="CX97">
        <v>11132.7</v>
      </c>
      <c r="CZ97">
        <v>12748.1</v>
      </c>
      <c r="DA97">
        <v>553.20000000000005</v>
      </c>
      <c r="DC97">
        <v>1079526.5</v>
      </c>
      <c r="DD97">
        <v>6578.3</v>
      </c>
      <c r="DF97">
        <v>60581.1</v>
      </c>
      <c r="DG97">
        <v>851.3</v>
      </c>
      <c r="DI97">
        <v>708.6</v>
      </c>
      <c r="DJ97">
        <v>40.4</v>
      </c>
      <c r="DL97">
        <v>653</v>
      </c>
      <c r="DM97">
        <v>43.4</v>
      </c>
      <c r="DO97">
        <v>16936.2</v>
      </c>
      <c r="DP97">
        <v>464.2</v>
      </c>
      <c r="DR97">
        <v>104846.6</v>
      </c>
      <c r="DS97">
        <v>2233.3000000000002</v>
      </c>
      <c r="DU97">
        <v>817404.9</v>
      </c>
      <c r="DV97">
        <v>18768.400000000001</v>
      </c>
      <c r="DX97">
        <v>952.4</v>
      </c>
      <c r="DY97">
        <v>13.7</v>
      </c>
      <c r="EA97">
        <v>3940.9</v>
      </c>
      <c r="EB97">
        <v>93.1</v>
      </c>
      <c r="ED97">
        <v>117523.3</v>
      </c>
      <c r="EE97">
        <v>2309.5</v>
      </c>
      <c r="EG97">
        <v>231862.3</v>
      </c>
      <c r="EH97">
        <v>4662</v>
      </c>
      <c r="EJ97">
        <v>264207.3</v>
      </c>
      <c r="EK97">
        <v>4795.3</v>
      </c>
      <c r="EM97">
        <v>213518.3</v>
      </c>
      <c r="EN97">
        <v>5779</v>
      </c>
      <c r="EP97">
        <v>58356.2</v>
      </c>
      <c r="EQ97">
        <v>1234.5</v>
      </c>
      <c r="ES97">
        <v>4916655.0999999996</v>
      </c>
      <c r="ET97">
        <v>52160.9</v>
      </c>
      <c r="EV97">
        <v>15.6</v>
      </c>
      <c r="EW97">
        <v>2.5</v>
      </c>
      <c r="EY97">
        <v>337216.3</v>
      </c>
      <c r="EZ97">
        <v>2253.5</v>
      </c>
      <c r="FB97">
        <v>510.8</v>
      </c>
      <c r="FC97">
        <v>23.2</v>
      </c>
      <c r="FE97">
        <v>3235.6</v>
      </c>
      <c r="FF97">
        <v>137.5</v>
      </c>
      <c r="FH97">
        <v>731.8</v>
      </c>
      <c r="FI97">
        <v>39.200000000000003</v>
      </c>
      <c r="FK97">
        <v>66929</v>
      </c>
      <c r="FL97">
        <v>1082.2</v>
      </c>
      <c r="FN97">
        <v>49031.1</v>
      </c>
      <c r="FO97">
        <v>1434.3</v>
      </c>
      <c r="FQ97">
        <v>14494.3</v>
      </c>
      <c r="FR97">
        <v>239.9</v>
      </c>
    </row>
    <row r="98" spans="1:174" x14ac:dyDescent="0.2">
      <c r="A98" t="s">
        <v>164</v>
      </c>
      <c r="B98">
        <v>152068.20000000001</v>
      </c>
      <c r="C98">
        <v>1042.8</v>
      </c>
      <c r="E98">
        <v>34921.699999999997</v>
      </c>
      <c r="F98">
        <v>213.3</v>
      </c>
      <c r="H98">
        <v>921622.8</v>
      </c>
      <c r="I98">
        <v>5770.7</v>
      </c>
      <c r="K98">
        <v>1213242.5</v>
      </c>
      <c r="L98">
        <v>16164.9</v>
      </c>
      <c r="N98">
        <v>1414908.5</v>
      </c>
      <c r="O98">
        <v>13703.8</v>
      </c>
      <c r="Q98">
        <v>174865.6</v>
      </c>
      <c r="R98">
        <v>2465.6</v>
      </c>
      <c r="T98">
        <v>1338751</v>
      </c>
      <c r="U98">
        <v>5831.6</v>
      </c>
      <c r="W98">
        <v>271459</v>
      </c>
      <c r="X98">
        <v>2036.4</v>
      </c>
      <c r="Z98">
        <v>542245.30000000005</v>
      </c>
      <c r="AA98">
        <v>5931.2</v>
      </c>
      <c r="AC98">
        <v>78240.800000000003</v>
      </c>
      <c r="AD98">
        <v>403.9</v>
      </c>
      <c r="AF98" s="27">
        <v>3028245</v>
      </c>
      <c r="AG98">
        <v>50242</v>
      </c>
      <c r="AI98" s="28">
        <v>311156.8</v>
      </c>
      <c r="AJ98">
        <v>5709.6</v>
      </c>
      <c r="AL98">
        <v>310950</v>
      </c>
      <c r="AM98">
        <v>2781.8</v>
      </c>
      <c r="AO98">
        <v>1539171.7</v>
      </c>
      <c r="AP98">
        <v>37028.9</v>
      </c>
      <c r="AR98">
        <v>637358.9</v>
      </c>
      <c r="AS98">
        <v>7856.7</v>
      </c>
      <c r="AU98">
        <v>1711073.7</v>
      </c>
      <c r="AV98">
        <v>26967.599999999999</v>
      </c>
      <c r="AX98">
        <v>1581084.2</v>
      </c>
      <c r="AY98">
        <v>12438.8</v>
      </c>
      <c r="BA98">
        <v>323034.8</v>
      </c>
      <c r="BB98">
        <v>1780.6</v>
      </c>
      <c r="BD98">
        <v>276830.59999999998</v>
      </c>
      <c r="BE98">
        <v>4301.3</v>
      </c>
      <c r="BG98">
        <v>262203.5</v>
      </c>
      <c r="BH98">
        <v>1184.9000000000001</v>
      </c>
      <c r="BJ98">
        <v>1853327.3</v>
      </c>
      <c r="BK98">
        <v>7410.1</v>
      </c>
      <c r="BM98">
        <v>494057.1</v>
      </c>
      <c r="BN98">
        <v>4720.8999999999996</v>
      </c>
      <c r="BP98">
        <v>373485.3</v>
      </c>
      <c r="BQ98">
        <v>4803.7</v>
      </c>
      <c r="BS98">
        <v>698318.2</v>
      </c>
      <c r="BT98">
        <v>20457.3</v>
      </c>
      <c r="BV98">
        <v>295431.8</v>
      </c>
      <c r="BW98">
        <v>876.8</v>
      </c>
      <c r="BY98">
        <v>1226429.8</v>
      </c>
      <c r="BZ98">
        <v>24385.4</v>
      </c>
      <c r="CB98">
        <v>402960</v>
      </c>
      <c r="CC98">
        <v>2956.2</v>
      </c>
      <c r="CE98">
        <v>346769.2</v>
      </c>
      <c r="CF98">
        <v>4468.5</v>
      </c>
      <c r="CH98">
        <v>855330.5</v>
      </c>
      <c r="CI98">
        <v>15413.4</v>
      </c>
      <c r="CK98">
        <v>1326020.8</v>
      </c>
      <c r="CL98">
        <v>6764.4</v>
      </c>
      <c r="CN98">
        <v>414638.1</v>
      </c>
      <c r="CO98">
        <v>5717.7</v>
      </c>
      <c r="CQ98">
        <v>254375.5</v>
      </c>
      <c r="CR98">
        <v>5024.1000000000004</v>
      </c>
      <c r="CT98">
        <v>199553.3</v>
      </c>
      <c r="CU98">
        <v>5724.3</v>
      </c>
      <c r="CW98">
        <v>683002.7</v>
      </c>
      <c r="CX98">
        <v>3633.1</v>
      </c>
      <c r="CZ98">
        <v>3564.6</v>
      </c>
      <c r="DA98">
        <v>207.8</v>
      </c>
      <c r="DC98">
        <v>111430.5</v>
      </c>
      <c r="DD98">
        <v>892.3</v>
      </c>
      <c r="DF98">
        <v>23269</v>
      </c>
      <c r="DG98">
        <v>248.5</v>
      </c>
      <c r="DI98">
        <v>5563.4</v>
      </c>
      <c r="DJ98">
        <v>62.1</v>
      </c>
      <c r="DL98">
        <v>79541.899999999994</v>
      </c>
      <c r="DM98">
        <v>2584.4</v>
      </c>
      <c r="DO98">
        <v>69912.100000000006</v>
      </c>
      <c r="DP98">
        <v>1786</v>
      </c>
      <c r="DR98">
        <v>89253.1</v>
      </c>
      <c r="DS98">
        <v>1433.5</v>
      </c>
      <c r="DU98">
        <v>284131</v>
      </c>
      <c r="DV98">
        <v>5787.6</v>
      </c>
      <c r="DX98">
        <v>82949.3</v>
      </c>
      <c r="DY98">
        <v>1632.6</v>
      </c>
      <c r="EA98">
        <v>18768.5</v>
      </c>
      <c r="EB98">
        <v>298.7</v>
      </c>
      <c r="ED98">
        <v>38886.300000000003</v>
      </c>
      <c r="EE98">
        <v>157.5</v>
      </c>
      <c r="EG98">
        <v>19260.099999999999</v>
      </c>
      <c r="EH98">
        <v>179.8</v>
      </c>
      <c r="EJ98">
        <v>264271.59999999998</v>
      </c>
      <c r="EK98">
        <v>6770.1</v>
      </c>
      <c r="EM98">
        <v>31831.4</v>
      </c>
      <c r="EN98">
        <v>229.1</v>
      </c>
      <c r="EP98">
        <v>60601.2</v>
      </c>
      <c r="EQ98">
        <v>471.1</v>
      </c>
      <c r="ES98">
        <v>175771.9</v>
      </c>
      <c r="ET98">
        <v>605.29999999999995</v>
      </c>
      <c r="EV98">
        <v>2861.5</v>
      </c>
      <c r="EW98">
        <v>46.9</v>
      </c>
      <c r="EY98">
        <v>2671.5</v>
      </c>
      <c r="EZ98">
        <v>94.7</v>
      </c>
      <c r="FB98">
        <v>753.5</v>
      </c>
      <c r="FC98">
        <v>77.900000000000006</v>
      </c>
      <c r="FE98">
        <v>5423</v>
      </c>
      <c r="FF98">
        <v>228.9</v>
      </c>
      <c r="FH98">
        <v>825.8</v>
      </c>
      <c r="FI98">
        <v>62.8</v>
      </c>
      <c r="FK98">
        <v>63282.6</v>
      </c>
      <c r="FL98">
        <v>1413.2</v>
      </c>
      <c r="FN98">
        <v>7218.8</v>
      </c>
      <c r="FO98">
        <v>121.4</v>
      </c>
      <c r="FQ98">
        <v>14132.2</v>
      </c>
      <c r="FR98">
        <v>173.9</v>
      </c>
    </row>
    <row r="99" spans="1:174" x14ac:dyDescent="0.2">
      <c r="A99" t="s">
        <v>165</v>
      </c>
      <c r="B99">
        <v>10109.6</v>
      </c>
      <c r="C99">
        <v>57.6</v>
      </c>
      <c r="E99">
        <v>867</v>
      </c>
      <c r="F99">
        <v>109.5</v>
      </c>
      <c r="H99">
        <v>8823.1</v>
      </c>
      <c r="I99">
        <v>321.39999999999998</v>
      </c>
      <c r="K99">
        <v>26863.4</v>
      </c>
      <c r="L99">
        <v>530.29999999999995</v>
      </c>
      <c r="N99">
        <v>246.9</v>
      </c>
      <c r="O99">
        <v>19.5</v>
      </c>
      <c r="Q99">
        <v>560.6</v>
      </c>
      <c r="R99">
        <v>25.1</v>
      </c>
      <c r="T99">
        <v>1585.6</v>
      </c>
      <c r="U99">
        <v>73.5</v>
      </c>
      <c r="W99">
        <v>1128.8</v>
      </c>
      <c r="X99">
        <v>170.5</v>
      </c>
      <c r="Z99">
        <v>1641.8</v>
      </c>
      <c r="AA99">
        <v>67.900000000000006</v>
      </c>
      <c r="AC99">
        <v>34.4</v>
      </c>
      <c r="AD99">
        <v>16.5</v>
      </c>
      <c r="AF99" s="27">
        <v>2937347</v>
      </c>
      <c r="AG99">
        <v>9574.1</v>
      </c>
      <c r="AI99" s="28">
        <v>1893.1</v>
      </c>
      <c r="AJ99">
        <v>75.099999999999994</v>
      </c>
      <c r="AL99">
        <v>6154.6</v>
      </c>
      <c r="AM99">
        <v>61.8</v>
      </c>
      <c r="AO99">
        <v>2255</v>
      </c>
      <c r="AP99">
        <v>174.2</v>
      </c>
      <c r="AR99">
        <v>5608.2</v>
      </c>
      <c r="AS99">
        <v>104.3</v>
      </c>
      <c r="AU99">
        <v>406.3</v>
      </c>
      <c r="AV99">
        <v>43.3</v>
      </c>
      <c r="AX99">
        <v>243.8</v>
      </c>
      <c r="AY99">
        <v>38.4</v>
      </c>
      <c r="BA99">
        <v>135.4</v>
      </c>
      <c r="BB99">
        <v>20.8</v>
      </c>
      <c r="BD99">
        <v>433.4</v>
      </c>
      <c r="BE99">
        <v>63.2</v>
      </c>
      <c r="BG99">
        <v>269.8</v>
      </c>
      <c r="BH99">
        <v>11</v>
      </c>
      <c r="BJ99">
        <v>435.5</v>
      </c>
      <c r="BK99">
        <v>36.6</v>
      </c>
      <c r="BM99">
        <v>164.6</v>
      </c>
      <c r="BN99">
        <v>14.8</v>
      </c>
      <c r="BP99">
        <v>1793</v>
      </c>
      <c r="BQ99">
        <v>152.69999999999999</v>
      </c>
      <c r="BS99">
        <v>676590.6</v>
      </c>
      <c r="BT99">
        <v>5205.7</v>
      </c>
      <c r="BV99">
        <v>2392.6</v>
      </c>
      <c r="BW99">
        <v>153.80000000000001</v>
      </c>
      <c r="BY99">
        <v>341.7</v>
      </c>
      <c r="BZ99">
        <v>53.9</v>
      </c>
      <c r="CB99">
        <v>616.79999999999995</v>
      </c>
      <c r="CC99">
        <v>20.8</v>
      </c>
      <c r="CE99">
        <v>645</v>
      </c>
      <c r="CF99">
        <v>47.1</v>
      </c>
      <c r="CH99">
        <v>1366.5</v>
      </c>
      <c r="CI99">
        <v>43</v>
      </c>
      <c r="CK99">
        <v>984.9</v>
      </c>
      <c r="CL99">
        <v>35.299999999999997</v>
      </c>
      <c r="CN99">
        <v>37470</v>
      </c>
      <c r="CO99">
        <v>685</v>
      </c>
      <c r="CQ99">
        <v>8427.5</v>
      </c>
      <c r="CR99">
        <v>359</v>
      </c>
      <c r="CT99">
        <v>12766.7</v>
      </c>
      <c r="CU99">
        <v>223.2</v>
      </c>
      <c r="CW99">
        <v>460449</v>
      </c>
      <c r="CX99">
        <v>2579.1999999999998</v>
      </c>
      <c r="CZ99">
        <v>539.9</v>
      </c>
      <c r="DA99">
        <v>20.5</v>
      </c>
      <c r="DC99">
        <v>23834.6</v>
      </c>
      <c r="DD99">
        <v>33.5</v>
      </c>
      <c r="DF99">
        <v>7541</v>
      </c>
      <c r="DG99">
        <v>199.3</v>
      </c>
      <c r="DI99">
        <v>20.399999999999999</v>
      </c>
      <c r="DJ99">
        <v>6.4</v>
      </c>
      <c r="DL99">
        <v>132.4</v>
      </c>
      <c r="DM99">
        <v>11.2</v>
      </c>
      <c r="DO99">
        <v>504.7</v>
      </c>
      <c r="DP99">
        <v>27.3</v>
      </c>
      <c r="DR99">
        <v>111.1</v>
      </c>
      <c r="DS99">
        <v>4.8</v>
      </c>
      <c r="DU99">
        <v>2633.8</v>
      </c>
      <c r="DV99">
        <v>101.6</v>
      </c>
      <c r="DX99">
        <v>41.7</v>
      </c>
      <c r="DY99">
        <v>24.1</v>
      </c>
      <c r="EA99">
        <v>153.69999999999999</v>
      </c>
      <c r="EB99">
        <v>37</v>
      </c>
      <c r="ED99">
        <v>252.8</v>
      </c>
      <c r="EE99">
        <v>39.200000000000003</v>
      </c>
      <c r="EG99">
        <v>589</v>
      </c>
      <c r="EH99">
        <v>27.3</v>
      </c>
      <c r="EJ99">
        <v>260084</v>
      </c>
      <c r="EK99">
        <v>2984.2</v>
      </c>
      <c r="EM99">
        <v>211.6</v>
      </c>
      <c r="EN99">
        <v>13.9</v>
      </c>
      <c r="EP99">
        <v>59957.1</v>
      </c>
      <c r="EQ99">
        <v>855.5</v>
      </c>
      <c r="ES99">
        <v>22382.799999999999</v>
      </c>
      <c r="ET99">
        <v>266</v>
      </c>
      <c r="EV99">
        <v>1.1000000000000001</v>
      </c>
      <c r="EW99">
        <v>1.9</v>
      </c>
      <c r="EY99">
        <v>122.4</v>
      </c>
      <c r="EZ99">
        <v>10.7</v>
      </c>
      <c r="FB99">
        <v>72.8</v>
      </c>
      <c r="FC99">
        <v>24.9</v>
      </c>
      <c r="FE99">
        <v>1531.3</v>
      </c>
      <c r="FF99">
        <v>124.3</v>
      </c>
      <c r="FH99">
        <v>862</v>
      </c>
      <c r="FI99">
        <v>62.8</v>
      </c>
      <c r="FK99">
        <v>67270</v>
      </c>
      <c r="FL99">
        <v>865.8</v>
      </c>
      <c r="FN99">
        <v>48.1</v>
      </c>
      <c r="FO99">
        <v>5.3</v>
      </c>
      <c r="FQ99">
        <v>14329.8</v>
      </c>
      <c r="FR99">
        <v>55.2</v>
      </c>
    </row>
    <row r="100" spans="1:174" x14ac:dyDescent="0.2">
      <c r="A100" t="s">
        <v>166</v>
      </c>
      <c r="B100">
        <v>20238.599999999999</v>
      </c>
      <c r="C100">
        <v>422.2</v>
      </c>
      <c r="E100">
        <v>744.8</v>
      </c>
      <c r="F100">
        <v>59.9</v>
      </c>
      <c r="H100">
        <v>1168983.8</v>
      </c>
      <c r="I100">
        <v>11463.3</v>
      </c>
      <c r="K100">
        <v>139981.1</v>
      </c>
      <c r="L100">
        <v>1305.5</v>
      </c>
      <c r="N100">
        <v>581.5</v>
      </c>
      <c r="O100">
        <v>24.4</v>
      </c>
      <c r="Q100">
        <v>18975.400000000001</v>
      </c>
      <c r="R100">
        <v>108.1</v>
      </c>
      <c r="T100">
        <v>2369.8000000000002</v>
      </c>
      <c r="U100">
        <v>116.7</v>
      </c>
      <c r="W100">
        <v>1170.5</v>
      </c>
      <c r="X100">
        <v>153.1</v>
      </c>
      <c r="Z100">
        <v>43833.599999999999</v>
      </c>
      <c r="AA100">
        <v>952.8</v>
      </c>
      <c r="AC100">
        <v>33996.1</v>
      </c>
      <c r="AD100">
        <v>527.29999999999995</v>
      </c>
      <c r="AF100" s="27">
        <v>3091851.7</v>
      </c>
      <c r="AG100">
        <v>43341.7</v>
      </c>
      <c r="AI100" s="28">
        <v>3204477.3</v>
      </c>
      <c r="AJ100">
        <v>27888.1</v>
      </c>
      <c r="AL100">
        <v>1562584.8</v>
      </c>
      <c r="AM100">
        <v>22774.7</v>
      </c>
      <c r="AO100">
        <v>99058.3</v>
      </c>
      <c r="AP100">
        <v>902.9</v>
      </c>
      <c r="AR100">
        <v>166809.29999999999</v>
      </c>
      <c r="AS100">
        <v>2757.4</v>
      </c>
      <c r="AU100">
        <v>1977.6</v>
      </c>
      <c r="AV100">
        <v>6.5</v>
      </c>
      <c r="AX100">
        <v>1996.3</v>
      </c>
      <c r="AY100">
        <v>159.6</v>
      </c>
      <c r="BA100">
        <v>167.7</v>
      </c>
      <c r="BB100">
        <v>14.4</v>
      </c>
      <c r="BD100">
        <v>382.4</v>
      </c>
      <c r="BE100">
        <v>9.5</v>
      </c>
      <c r="BG100">
        <v>265.7</v>
      </c>
      <c r="BH100">
        <v>23.6</v>
      </c>
      <c r="BJ100">
        <v>175</v>
      </c>
      <c r="BK100">
        <v>13.6</v>
      </c>
      <c r="BM100">
        <v>124</v>
      </c>
      <c r="BN100">
        <v>16</v>
      </c>
      <c r="BP100">
        <v>5405.7</v>
      </c>
      <c r="BQ100">
        <v>21.6</v>
      </c>
      <c r="BS100">
        <v>674377.3</v>
      </c>
      <c r="BT100">
        <v>10528.2</v>
      </c>
      <c r="BV100">
        <v>2330.1</v>
      </c>
      <c r="BW100">
        <v>26.7</v>
      </c>
      <c r="BY100">
        <v>121972.5</v>
      </c>
      <c r="BZ100">
        <v>708.9</v>
      </c>
      <c r="CB100">
        <v>2359065.7000000002</v>
      </c>
      <c r="CC100">
        <v>43281.1</v>
      </c>
      <c r="CE100">
        <v>1943289.3</v>
      </c>
      <c r="CF100">
        <v>9996.4</v>
      </c>
      <c r="CH100">
        <v>4483933.8</v>
      </c>
      <c r="CI100">
        <v>57832.5</v>
      </c>
      <c r="CK100">
        <v>235820.7</v>
      </c>
      <c r="CL100">
        <v>1507.9</v>
      </c>
      <c r="CN100">
        <v>5510013.2999999998</v>
      </c>
      <c r="CO100">
        <v>79144.7</v>
      </c>
      <c r="CQ100">
        <v>44497.7</v>
      </c>
      <c r="CR100">
        <v>1121</v>
      </c>
      <c r="CT100">
        <v>163932.6</v>
      </c>
      <c r="CU100">
        <v>6659.3</v>
      </c>
      <c r="CW100">
        <v>1730341.3</v>
      </c>
      <c r="CX100">
        <v>21927.5</v>
      </c>
      <c r="CZ100">
        <v>14666.3</v>
      </c>
      <c r="DA100">
        <v>443.4</v>
      </c>
      <c r="DC100">
        <v>2086655.7</v>
      </c>
      <c r="DD100">
        <v>1988.5</v>
      </c>
      <c r="DF100">
        <v>28566.1</v>
      </c>
      <c r="DG100">
        <v>946.5</v>
      </c>
      <c r="DI100">
        <v>267.60000000000002</v>
      </c>
      <c r="DJ100">
        <v>18.100000000000001</v>
      </c>
      <c r="DL100">
        <v>758.7</v>
      </c>
      <c r="DM100">
        <v>29.4</v>
      </c>
      <c r="DO100">
        <v>18500.400000000001</v>
      </c>
      <c r="DP100">
        <v>369.2</v>
      </c>
      <c r="DR100">
        <v>74882.3</v>
      </c>
      <c r="DS100">
        <v>614.20000000000005</v>
      </c>
      <c r="DU100">
        <v>388454</v>
      </c>
      <c r="DV100">
        <v>2030.9</v>
      </c>
      <c r="DX100">
        <v>645.5</v>
      </c>
      <c r="DY100">
        <v>58</v>
      </c>
      <c r="EA100">
        <v>4263.5</v>
      </c>
      <c r="EB100">
        <v>108.7</v>
      </c>
      <c r="ED100">
        <v>169590.5</v>
      </c>
      <c r="EE100">
        <v>1754.2</v>
      </c>
      <c r="EG100">
        <v>383358.5</v>
      </c>
      <c r="EH100">
        <v>1138.5</v>
      </c>
      <c r="EJ100">
        <v>271506.90000000002</v>
      </c>
      <c r="EK100">
        <v>1222.5999999999999</v>
      </c>
      <c r="EM100">
        <v>307437.09999999998</v>
      </c>
      <c r="EN100">
        <v>1946.9</v>
      </c>
      <c r="EP100">
        <v>60783.5</v>
      </c>
      <c r="EQ100">
        <v>1144.9000000000001</v>
      </c>
      <c r="ES100">
        <v>8418232.3000000007</v>
      </c>
      <c r="ET100">
        <v>47054.400000000001</v>
      </c>
      <c r="EV100">
        <v>19.399999999999999</v>
      </c>
      <c r="EW100">
        <v>9.5</v>
      </c>
      <c r="EY100">
        <v>158847.9</v>
      </c>
      <c r="EZ100">
        <v>1397.2</v>
      </c>
      <c r="FB100">
        <v>589.4</v>
      </c>
      <c r="FC100">
        <v>16.7</v>
      </c>
      <c r="FE100">
        <v>3069</v>
      </c>
      <c r="FF100">
        <v>31.5</v>
      </c>
      <c r="FH100">
        <v>794.1</v>
      </c>
      <c r="FI100">
        <v>30.9</v>
      </c>
      <c r="FK100">
        <v>69066.399999999994</v>
      </c>
      <c r="FL100">
        <v>1558</v>
      </c>
      <c r="FN100">
        <v>68459.199999999997</v>
      </c>
      <c r="FO100">
        <v>634.29999999999995</v>
      </c>
      <c r="FQ100">
        <v>14662</v>
      </c>
      <c r="FR100">
        <v>433.8</v>
      </c>
    </row>
    <row r="101" spans="1:174" x14ac:dyDescent="0.2">
      <c r="A101" t="s">
        <v>167</v>
      </c>
      <c r="B101">
        <v>24843.8</v>
      </c>
      <c r="C101">
        <v>427.2</v>
      </c>
      <c r="E101">
        <v>755.9</v>
      </c>
      <c r="F101">
        <v>106.8</v>
      </c>
      <c r="H101">
        <v>1675299.8</v>
      </c>
      <c r="I101">
        <v>23891.3</v>
      </c>
      <c r="K101">
        <v>167151.9</v>
      </c>
      <c r="L101">
        <v>471.3</v>
      </c>
      <c r="N101">
        <v>689.8</v>
      </c>
      <c r="O101">
        <v>66.400000000000006</v>
      </c>
      <c r="Q101">
        <v>27583.8</v>
      </c>
      <c r="R101">
        <v>87.4</v>
      </c>
      <c r="T101">
        <v>2190.4</v>
      </c>
      <c r="U101">
        <v>115.5</v>
      </c>
      <c r="W101">
        <v>1183</v>
      </c>
      <c r="X101">
        <v>43.9</v>
      </c>
      <c r="Z101">
        <v>62360.7</v>
      </c>
      <c r="AA101">
        <v>931.9</v>
      </c>
      <c r="AC101">
        <v>41406.5</v>
      </c>
      <c r="AD101">
        <v>339.1</v>
      </c>
      <c r="AF101" s="27">
        <v>3084258.3</v>
      </c>
      <c r="AG101">
        <v>25603.599999999999</v>
      </c>
      <c r="AI101" s="28">
        <v>3577221</v>
      </c>
      <c r="AJ101">
        <v>27893.200000000001</v>
      </c>
      <c r="AL101">
        <v>1616980.3</v>
      </c>
      <c r="AM101">
        <v>10660.2</v>
      </c>
      <c r="AO101">
        <v>141708.20000000001</v>
      </c>
      <c r="AP101">
        <v>1999.8</v>
      </c>
      <c r="AR101">
        <v>219633.3</v>
      </c>
      <c r="AS101">
        <v>3461.8</v>
      </c>
      <c r="AU101">
        <v>31624.2</v>
      </c>
      <c r="AV101">
        <v>96.7</v>
      </c>
      <c r="AX101">
        <v>34504.6</v>
      </c>
      <c r="AY101">
        <v>567.5</v>
      </c>
      <c r="BA101">
        <v>289.60000000000002</v>
      </c>
      <c r="BB101">
        <v>35.1</v>
      </c>
      <c r="BD101">
        <v>406.3</v>
      </c>
      <c r="BE101">
        <v>66.900000000000006</v>
      </c>
      <c r="BG101">
        <v>241.7</v>
      </c>
      <c r="BH101">
        <v>48.8</v>
      </c>
      <c r="BJ101">
        <v>197.9</v>
      </c>
      <c r="BK101">
        <v>10.1</v>
      </c>
      <c r="BM101">
        <v>140.6</v>
      </c>
      <c r="BN101">
        <v>33.799999999999997</v>
      </c>
      <c r="BP101">
        <v>10849</v>
      </c>
      <c r="BQ101">
        <v>177.2</v>
      </c>
      <c r="BS101">
        <v>681101.6</v>
      </c>
      <c r="BT101">
        <v>9726.2000000000007</v>
      </c>
      <c r="BV101">
        <v>2069.4</v>
      </c>
      <c r="BW101">
        <v>120</v>
      </c>
      <c r="BY101">
        <v>179955.1</v>
      </c>
      <c r="BZ101">
        <v>4038</v>
      </c>
      <c r="CB101">
        <v>3202232.7</v>
      </c>
      <c r="CC101">
        <v>18963.900000000001</v>
      </c>
      <c r="CE101">
        <v>2594970.2999999998</v>
      </c>
      <c r="CF101">
        <v>33789.4</v>
      </c>
      <c r="CH101">
        <v>5837475.2999999998</v>
      </c>
      <c r="CI101">
        <v>49955.1</v>
      </c>
      <c r="CK101">
        <v>378335.9</v>
      </c>
      <c r="CL101">
        <v>1528.4</v>
      </c>
      <c r="CN101">
        <v>7251234.0999999996</v>
      </c>
      <c r="CO101">
        <v>84145.2</v>
      </c>
      <c r="CQ101">
        <v>62268.3</v>
      </c>
      <c r="CR101">
        <v>1106.2</v>
      </c>
      <c r="CT101">
        <v>289744.40000000002</v>
      </c>
      <c r="CU101">
        <v>4317.3999999999996</v>
      </c>
      <c r="CW101">
        <v>1654667.9</v>
      </c>
      <c r="CX101">
        <v>9928</v>
      </c>
      <c r="CZ101">
        <v>15092.9</v>
      </c>
      <c r="DA101">
        <v>513.5</v>
      </c>
      <c r="DC101">
        <v>2996948.1</v>
      </c>
      <c r="DD101">
        <v>29072.9</v>
      </c>
      <c r="DF101">
        <v>53605</v>
      </c>
      <c r="DG101">
        <v>630.4</v>
      </c>
      <c r="DI101">
        <v>263</v>
      </c>
      <c r="DJ101">
        <v>22.3</v>
      </c>
      <c r="DL101">
        <v>924.5</v>
      </c>
      <c r="DM101">
        <v>37</v>
      </c>
      <c r="DO101">
        <v>21660.6</v>
      </c>
      <c r="DP101">
        <v>979.8</v>
      </c>
      <c r="DR101">
        <v>84806.2</v>
      </c>
      <c r="DS101">
        <v>1748.5</v>
      </c>
      <c r="DU101">
        <v>486253</v>
      </c>
      <c r="DV101">
        <v>445.9</v>
      </c>
      <c r="DX101">
        <v>564</v>
      </c>
      <c r="DY101">
        <v>31</v>
      </c>
      <c r="EA101">
        <v>2739.5</v>
      </c>
      <c r="EB101">
        <v>104.5</v>
      </c>
      <c r="ED101">
        <v>205716</v>
      </c>
      <c r="EE101">
        <v>1730.2</v>
      </c>
      <c r="EG101">
        <v>525731.1</v>
      </c>
      <c r="EH101">
        <v>10545.6</v>
      </c>
      <c r="EJ101">
        <v>268916.59999999998</v>
      </c>
      <c r="EK101">
        <v>5340.7</v>
      </c>
      <c r="EM101">
        <v>348491.9</v>
      </c>
      <c r="EN101">
        <v>5605.4</v>
      </c>
      <c r="EP101">
        <v>59485.3</v>
      </c>
      <c r="EQ101">
        <v>704.8</v>
      </c>
      <c r="ES101">
        <v>11551621.5</v>
      </c>
      <c r="ET101">
        <v>123501.1</v>
      </c>
      <c r="EV101">
        <v>17.8</v>
      </c>
      <c r="EW101">
        <v>5.9</v>
      </c>
      <c r="EY101">
        <v>86544.6</v>
      </c>
      <c r="EZ101">
        <v>455.6</v>
      </c>
      <c r="FB101">
        <v>805.8</v>
      </c>
      <c r="FC101">
        <v>55.6</v>
      </c>
      <c r="FE101">
        <v>3863.8</v>
      </c>
      <c r="FF101">
        <v>57.7</v>
      </c>
      <c r="FH101">
        <v>721.8</v>
      </c>
      <c r="FI101">
        <v>35.1</v>
      </c>
      <c r="FK101">
        <v>67755.600000000006</v>
      </c>
      <c r="FL101">
        <v>859.7</v>
      </c>
      <c r="FN101">
        <v>80019.899999999994</v>
      </c>
      <c r="FO101">
        <v>500.8</v>
      </c>
      <c r="FQ101">
        <v>14451.7</v>
      </c>
      <c r="FR101">
        <v>84.4</v>
      </c>
    </row>
    <row r="102" spans="1:174" x14ac:dyDescent="0.2">
      <c r="A102" t="s">
        <v>168</v>
      </c>
      <c r="B102">
        <v>26216.799999999999</v>
      </c>
      <c r="C102">
        <v>284.2</v>
      </c>
      <c r="E102">
        <v>779.6</v>
      </c>
      <c r="F102">
        <v>69.400000000000006</v>
      </c>
      <c r="H102">
        <v>1941056.5</v>
      </c>
      <c r="I102">
        <v>20489</v>
      </c>
      <c r="K102">
        <v>169406</v>
      </c>
      <c r="L102">
        <v>250.6</v>
      </c>
      <c r="N102">
        <v>890</v>
      </c>
      <c r="O102">
        <v>44.7</v>
      </c>
      <c r="Q102">
        <v>33633.5</v>
      </c>
      <c r="R102">
        <v>219.2</v>
      </c>
      <c r="T102">
        <v>2126.8000000000002</v>
      </c>
      <c r="U102">
        <v>95.2</v>
      </c>
      <c r="W102">
        <v>1194.5</v>
      </c>
      <c r="X102">
        <v>17.399999999999999</v>
      </c>
      <c r="Z102">
        <v>61677.2</v>
      </c>
      <c r="AA102">
        <v>558.4</v>
      </c>
      <c r="AC102">
        <v>45114.7</v>
      </c>
      <c r="AD102">
        <v>448.9</v>
      </c>
      <c r="AF102" s="27">
        <v>3160007</v>
      </c>
      <c r="AG102">
        <v>25902.7</v>
      </c>
      <c r="AI102" s="28">
        <v>5089284.9000000004</v>
      </c>
      <c r="AJ102">
        <v>61501.5</v>
      </c>
      <c r="AL102">
        <v>1489893.7</v>
      </c>
      <c r="AM102">
        <v>8815.2000000000007</v>
      </c>
      <c r="AO102">
        <v>157674</v>
      </c>
      <c r="AP102">
        <v>1315.6</v>
      </c>
      <c r="AR102">
        <v>274287</v>
      </c>
      <c r="AS102">
        <v>1164.0999999999999</v>
      </c>
      <c r="AU102">
        <v>2309.3000000000002</v>
      </c>
      <c r="AV102">
        <v>85.4</v>
      </c>
      <c r="AX102">
        <v>3096.6</v>
      </c>
      <c r="AY102">
        <v>173.9</v>
      </c>
      <c r="BA102">
        <v>246.9</v>
      </c>
      <c r="BB102">
        <v>54.1</v>
      </c>
      <c r="BD102">
        <v>423</v>
      </c>
      <c r="BE102">
        <v>74.599999999999994</v>
      </c>
      <c r="BG102">
        <v>291.7</v>
      </c>
      <c r="BH102">
        <v>41.3</v>
      </c>
      <c r="BJ102">
        <v>213.6</v>
      </c>
      <c r="BK102">
        <v>36.200000000000003</v>
      </c>
      <c r="BM102">
        <v>167.7</v>
      </c>
      <c r="BN102">
        <v>23.7</v>
      </c>
      <c r="BP102">
        <v>12480.9</v>
      </c>
      <c r="BQ102">
        <v>476.3</v>
      </c>
      <c r="BS102">
        <v>680725.1</v>
      </c>
      <c r="BT102">
        <v>3229.2</v>
      </c>
      <c r="BV102">
        <v>2107.9</v>
      </c>
      <c r="BW102">
        <v>144.30000000000001</v>
      </c>
      <c r="BY102">
        <v>218593.9</v>
      </c>
      <c r="BZ102">
        <v>845.4</v>
      </c>
      <c r="CB102">
        <v>3261692</v>
      </c>
      <c r="CC102">
        <v>58780.4</v>
      </c>
      <c r="CE102">
        <v>2659929.7000000002</v>
      </c>
      <c r="CF102">
        <v>9213.2000000000007</v>
      </c>
      <c r="CH102">
        <v>6001259.4000000004</v>
      </c>
      <c r="CI102">
        <v>47905.4</v>
      </c>
      <c r="CK102">
        <v>364077.4</v>
      </c>
      <c r="CL102">
        <v>5742.6</v>
      </c>
      <c r="CN102">
        <v>8016231.5999999996</v>
      </c>
      <c r="CO102">
        <v>26489.9</v>
      </c>
      <c r="CQ102">
        <v>39563.199999999997</v>
      </c>
      <c r="CR102">
        <v>402.7</v>
      </c>
      <c r="CT102">
        <v>952166.1</v>
      </c>
      <c r="CU102">
        <v>5973.3</v>
      </c>
      <c r="CW102">
        <v>1981159.7</v>
      </c>
      <c r="CX102">
        <v>8474.1</v>
      </c>
      <c r="CZ102">
        <v>15179.2</v>
      </c>
      <c r="DA102">
        <v>359.8</v>
      </c>
      <c r="DC102">
        <v>3494001</v>
      </c>
      <c r="DD102">
        <v>45242.2</v>
      </c>
      <c r="DF102">
        <v>33228</v>
      </c>
      <c r="DG102">
        <v>656.3</v>
      </c>
      <c r="DI102">
        <v>511.2</v>
      </c>
      <c r="DJ102">
        <v>36.5</v>
      </c>
      <c r="DL102">
        <v>1355.5</v>
      </c>
      <c r="DM102">
        <v>69.599999999999994</v>
      </c>
      <c r="DO102">
        <v>44275.8</v>
      </c>
      <c r="DP102">
        <v>531.79999999999995</v>
      </c>
      <c r="DR102">
        <v>101131.1</v>
      </c>
      <c r="DS102">
        <v>714.7</v>
      </c>
      <c r="DU102">
        <v>509910.4</v>
      </c>
      <c r="DV102">
        <v>3271.7</v>
      </c>
      <c r="DX102">
        <v>722.5</v>
      </c>
      <c r="DY102">
        <v>38.200000000000003</v>
      </c>
      <c r="EA102">
        <v>3982.6</v>
      </c>
      <c r="EB102">
        <v>19.8</v>
      </c>
      <c r="ED102">
        <v>216512.7</v>
      </c>
      <c r="EE102">
        <v>4405.8999999999996</v>
      </c>
      <c r="EG102">
        <v>517429.9</v>
      </c>
      <c r="EH102">
        <v>4883.5</v>
      </c>
      <c r="EJ102">
        <v>269912</v>
      </c>
      <c r="EK102">
        <v>3449.5</v>
      </c>
      <c r="EM102">
        <v>540046.1</v>
      </c>
      <c r="EN102">
        <v>3395.7</v>
      </c>
      <c r="EP102">
        <v>60713.8</v>
      </c>
      <c r="EQ102">
        <v>627.70000000000005</v>
      </c>
      <c r="ES102">
        <v>16711763.5</v>
      </c>
      <c r="ET102">
        <v>341182.6</v>
      </c>
      <c r="EV102">
        <v>23.9</v>
      </c>
      <c r="EW102">
        <v>5.9</v>
      </c>
      <c r="EY102">
        <v>37505.1</v>
      </c>
      <c r="EZ102">
        <v>506.5</v>
      </c>
      <c r="FB102">
        <v>971</v>
      </c>
      <c r="FC102">
        <v>75.400000000000006</v>
      </c>
      <c r="FE102">
        <v>4595.8</v>
      </c>
      <c r="FF102">
        <v>20.399999999999999</v>
      </c>
      <c r="FH102">
        <v>776.9</v>
      </c>
      <c r="FI102">
        <v>20.8</v>
      </c>
      <c r="FK102">
        <v>69896.399999999994</v>
      </c>
      <c r="FL102">
        <v>1948.7</v>
      </c>
      <c r="FN102">
        <v>120787.4</v>
      </c>
      <c r="FO102">
        <v>2131.1999999999998</v>
      </c>
      <c r="FQ102">
        <v>14704.2</v>
      </c>
      <c r="FR102">
        <v>231.3</v>
      </c>
    </row>
    <row r="103" spans="1:174" x14ac:dyDescent="0.2">
      <c r="A103" t="s">
        <v>169</v>
      </c>
      <c r="B103">
        <v>23419.599999999999</v>
      </c>
      <c r="C103">
        <v>230.8</v>
      </c>
      <c r="E103">
        <v>797.6</v>
      </c>
      <c r="F103">
        <v>46.1</v>
      </c>
      <c r="H103">
        <v>1596810</v>
      </c>
      <c r="I103">
        <v>9180.1</v>
      </c>
      <c r="K103">
        <v>178512.6</v>
      </c>
      <c r="L103">
        <v>330.2</v>
      </c>
      <c r="N103">
        <v>408.4</v>
      </c>
      <c r="O103">
        <v>88.1</v>
      </c>
      <c r="Q103">
        <v>29397.9</v>
      </c>
      <c r="R103">
        <v>616.6</v>
      </c>
      <c r="T103">
        <v>2000.6</v>
      </c>
      <c r="U103">
        <v>53.8</v>
      </c>
      <c r="W103">
        <v>1114.2</v>
      </c>
      <c r="X103">
        <v>118.5</v>
      </c>
      <c r="Z103">
        <v>70237.600000000006</v>
      </c>
      <c r="AA103">
        <v>1197.0999999999999</v>
      </c>
      <c r="AC103">
        <v>46538.6</v>
      </c>
      <c r="AD103">
        <v>674.2</v>
      </c>
      <c r="AF103" s="27">
        <v>3114400</v>
      </c>
      <c r="AG103">
        <v>20271.3</v>
      </c>
      <c r="AI103" s="28">
        <v>3814439.4</v>
      </c>
      <c r="AJ103">
        <v>55190.3</v>
      </c>
      <c r="AL103">
        <v>1389284.3</v>
      </c>
      <c r="AM103">
        <v>12691.2</v>
      </c>
      <c r="AO103">
        <v>131048.1</v>
      </c>
      <c r="AP103">
        <v>2243.3000000000002</v>
      </c>
      <c r="AR103">
        <v>270422.5</v>
      </c>
      <c r="AS103">
        <v>5594.7</v>
      </c>
      <c r="AU103">
        <v>1436.4</v>
      </c>
      <c r="AV103">
        <v>79.2</v>
      </c>
      <c r="AX103">
        <v>1300.8</v>
      </c>
      <c r="AY103">
        <v>30.1</v>
      </c>
      <c r="BA103">
        <v>139.6</v>
      </c>
      <c r="BB103">
        <v>10</v>
      </c>
      <c r="BD103">
        <v>367.8</v>
      </c>
      <c r="BE103">
        <v>46.9</v>
      </c>
      <c r="BG103">
        <v>232.3</v>
      </c>
      <c r="BH103">
        <v>11</v>
      </c>
      <c r="BJ103">
        <v>160.4</v>
      </c>
      <c r="BK103">
        <v>7.9</v>
      </c>
      <c r="BM103">
        <v>86.5</v>
      </c>
      <c r="BN103">
        <v>12.6</v>
      </c>
      <c r="BP103">
        <v>5955.4</v>
      </c>
      <c r="BQ103">
        <v>146.1</v>
      </c>
      <c r="BS103">
        <v>690560.3</v>
      </c>
      <c r="BT103">
        <v>7325.6</v>
      </c>
      <c r="BV103">
        <v>2216.4</v>
      </c>
      <c r="BW103">
        <v>76.3</v>
      </c>
      <c r="BY103">
        <v>155957.20000000001</v>
      </c>
      <c r="BZ103">
        <v>893.9</v>
      </c>
      <c r="CB103">
        <v>2983066.3</v>
      </c>
      <c r="CC103">
        <v>41308.400000000001</v>
      </c>
      <c r="CE103">
        <v>2477656</v>
      </c>
      <c r="CF103">
        <v>26284.5</v>
      </c>
      <c r="CH103">
        <v>5509241.4000000004</v>
      </c>
      <c r="CI103">
        <v>39566.5</v>
      </c>
      <c r="CK103">
        <v>315006.7</v>
      </c>
      <c r="CL103">
        <v>4777.3</v>
      </c>
      <c r="CN103">
        <v>6899820.2999999998</v>
      </c>
      <c r="CO103">
        <v>49799.3</v>
      </c>
      <c r="CQ103">
        <v>33617.1</v>
      </c>
      <c r="CR103">
        <v>368.9</v>
      </c>
      <c r="CT103">
        <v>52131.9</v>
      </c>
      <c r="CU103">
        <v>290.8</v>
      </c>
      <c r="CW103">
        <v>1716772.1</v>
      </c>
      <c r="CX103">
        <v>4048.8</v>
      </c>
      <c r="CZ103">
        <v>16053</v>
      </c>
      <c r="DA103">
        <v>493.9</v>
      </c>
      <c r="DC103">
        <v>2416010.1</v>
      </c>
      <c r="DD103">
        <v>32137.3</v>
      </c>
      <c r="DF103">
        <v>27291.599999999999</v>
      </c>
      <c r="DG103">
        <v>735.5</v>
      </c>
      <c r="DI103">
        <v>234.3</v>
      </c>
      <c r="DJ103">
        <v>8.9</v>
      </c>
      <c r="DL103">
        <v>1050.5999999999999</v>
      </c>
      <c r="DM103">
        <v>12.8</v>
      </c>
      <c r="DO103">
        <v>38028.9</v>
      </c>
      <c r="DP103">
        <v>859.2</v>
      </c>
      <c r="DR103">
        <v>85590.5</v>
      </c>
      <c r="DS103">
        <v>1457.9</v>
      </c>
      <c r="DU103">
        <v>221663</v>
      </c>
      <c r="DV103">
        <v>3796.2</v>
      </c>
      <c r="DX103">
        <v>559.4</v>
      </c>
      <c r="DY103">
        <v>88.9</v>
      </c>
      <c r="EA103">
        <v>1789.3</v>
      </c>
      <c r="EB103">
        <v>17.7</v>
      </c>
      <c r="ED103">
        <v>214080.4</v>
      </c>
      <c r="EE103">
        <v>524.70000000000005</v>
      </c>
      <c r="EG103">
        <v>542231.4</v>
      </c>
      <c r="EH103">
        <v>5819.7</v>
      </c>
      <c r="EJ103">
        <v>278806.40000000002</v>
      </c>
      <c r="EK103">
        <v>4356.2</v>
      </c>
      <c r="EM103">
        <v>390639</v>
      </c>
      <c r="EN103">
        <v>9107.4</v>
      </c>
      <c r="EP103">
        <v>61308.4</v>
      </c>
      <c r="EQ103">
        <v>1096.8</v>
      </c>
      <c r="ES103">
        <v>15328931</v>
      </c>
      <c r="ET103">
        <v>329808</v>
      </c>
      <c r="EV103">
        <v>195.8</v>
      </c>
      <c r="EW103">
        <v>303.10000000000002</v>
      </c>
      <c r="EY103">
        <v>25312.1</v>
      </c>
      <c r="EZ103">
        <v>360.7</v>
      </c>
      <c r="FB103">
        <v>779.1</v>
      </c>
      <c r="FC103">
        <v>69.8</v>
      </c>
      <c r="FE103">
        <v>3906.9</v>
      </c>
      <c r="FF103">
        <v>226.4</v>
      </c>
      <c r="FH103">
        <v>784.1</v>
      </c>
      <c r="FI103">
        <v>36.1</v>
      </c>
      <c r="FK103">
        <v>67688.800000000003</v>
      </c>
      <c r="FL103">
        <v>781.8</v>
      </c>
      <c r="FN103">
        <v>90293.2</v>
      </c>
      <c r="FO103">
        <v>453.8</v>
      </c>
      <c r="FQ103">
        <v>14290.7</v>
      </c>
      <c r="FR103">
        <v>89.8</v>
      </c>
    </row>
    <row r="104" spans="1:174" x14ac:dyDescent="0.2">
      <c r="A104" t="s">
        <v>170</v>
      </c>
      <c r="B104">
        <v>26201.3</v>
      </c>
      <c r="C104">
        <v>212.5</v>
      </c>
      <c r="E104">
        <v>719.3</v>
      </c>
      <c r="F104">
        <v>88.4</v>
      </c>
      <c r="H104">
        <v>1878635.5</v>
      </c>
      <c r="I104">
        <v>11592.5</v>
      </c>
      <c r="K104">
        <v>244674.1</v>
      </c>
      <c r="L104">
        <v>2520.1</v>
      </c>
      <c r="N104">
        <v>531.4</v>
      </c>
      <c r="O104">
        <v>87.6</v>
      </c>
      <c r="Q104">
        <v>36141</v>
      </c>
      <c r="R104">
        <v>473.1</v>
      </c>
      <c r="T104">
        <v>1997.4</v>
      </c>
      <c r="U104">
        <v>83.2</v>
      </c>
      <c r="W104">
        <v>1195.5</v>
      </c>
      <c r="X104">
        <v>13</v>
      </c>
      <c r="Z104">
        <v>72770.600000000006</v>
      </c>
      <c r="AA104">
        <v>632.20000000000005</v>
      </c>
      <c r="AC104">
        <v>50747.9</v>
      </c>
      <c r="AD104">
        <v>558.5</v>
      </c>
      <c r="AF104" s="27">
        <v>3073302.7</v>
      </c>
      <c r="AG104">
        <v>38255</v>
      </c>
      <c r="AI104" s="28">
        <v>3018767.7</v>
      </c>
      <c r="AJ104">
        <v>41675.300000000003</v>
      </c>
      <c r="AL104">
        <v>1116209.7</v>
      </c>
      <c r="AM104">
        <v>15721.2</v>
      </c>
      <c r="AO104">
        <v>158963.29999999999</v>
      </c>
      <c r="AP104">
        <v>910.1</v>
      </c>
      <c r="AR104">
        <v>398858.9</v>
      </c>
      <c r="AS104">
        <v>5781.9</v>
      </c>
      <c r="AU104">
        <v>1238.3</v>
      </c>
      <c r="AV104">
        <v>136.1</v>
      </c>
      <c r="AX104">
        <v>1145.5</v>
      </c>
      <c r="AY104">
        <v>46.8</v>
      </c>
      <c r="BA104">
        <v>160.4</v>
      </c>
      <c r="BB104">
        <v>51.4</v>
      </c>
      <c r="BD104">
        <v>344.8</v>
      </c>
      <c r="BE104">
        <v>15.8</v>
      </c>
      <c r="BG104">
        <v>267.7</v>
      </c>
      <c r="BH104">
        <v>17.2</v>
      </c>
      <c r="BJ104">
        <v>163.5</v>
      </c>
      <c r="BK104">
        <v>35.9</v>
      </c>
      <c r="BM104">
        <v>124</v>
      </c>
      <c r="BN104">
        <v>9.5</v>
      </c>
      <c r="BP104">
        <v>22962</v>
      </c>
      <c r="BQ104">
        <v>234.7</v>
      </c>
      <c r="BS104">
        <v>683982.2</v>
      </c>
      <c r="BT104">
        <v>9099.1</v>
      </c>
      <c r="BV104">
        <v>1937</v>
      </c>
      <c r="BW104">
        <v>122.3</v>
      </c>
      <c r="BY104">
        <v>198883.3</v>
      </c>
      <c r="BZ104">
        <v>1222.5999999999999</v>
      </c>
      <c r="CB104">
        <v>3414310.7</v>
      </c>
      <c r="CC104">
        <v>37515.800000000003</v>
      </c>
      <c r="CE104">
        <v>2786111</v>
      </c>
      <c r="CF104">
        <v>6519.5</v>
      </c>
      <c r="CH104">
        <v>6206696.5</v>
      </c>
      <c r="CI104">
        <v>20581.900000000001</v>
      </c>
      <c r="CK104">
        <v>342387.20000000001</v>
      </c>
      <c r="CL104">
        <v>3552</v>
      </c>
      <c r="CN104">
        <v>8187800.0999999996</v>
      </c>
      <c r="CO104">
        <v>52400.5</v>
      </c>
      <c r="CQ104">
        <v>40202.400000000001</v>
      </c>
      <c r="CR104">
        <v>283</v>
      </c>
      <c r="CT104">
        <v>69627.600000000006</v>
      </c>
      <c r="CU104">
        <v>969.4</v>
      </c>
      <c r="CW104">
        <v>1439217.5</v>
      </c>
      <c r="CX104">
        <v>8683.7000000000007</v>
      </c>
      <c r="CZ104">
        <v>13946.5</v>
      </c>
      <c r="DA104">
        <v>362.3</v>
      </c>
      <c r="DC104">
        <v>2609563.9</v>
      </c>
      <c r="DD104">
        <v>48491.3</v>
      </c>
      <c r="DF104">
        <v>27396.400000000001</v>
      </c>
      <c r="DG104">
        <v>348.4</v>
      </c>
      <c r="DI104">
        <v>141.69999999999999</v>
      </c>
      <c r="DJ104">
        <v>22.7</v>
      </c>
      <c r="DL104">
        <v>1112.7</v>
      </c>
      <c r="DM104">
        <v>13.2</v>
      </c>
      <c r="DO104">
        <v>38265</v>
      </c>
      <c r="DP104">
        <v>1383.7</v>
      </c>
      <c r="DR104">
        <v>99321.3</v>
      </c>
      <c r="DS104">
        <v>2347.1</v>
      </c>
      <c r="DU104">
        <v>219418.8</v>
      </c>
      <c r="DV104">
        <v>6410.6</v>
      </c>
      <c r="DX104">
        <v>559.4</v>
      </c>
      <c r="DY104">
        <v>15.8</v>
      </c>
      <c r="EA104">
        <v>1759.6</v>
      </c>
      <c r="EB104">
        <v>34.799999999999997</v>
      </c>
      <c r="ED104">
        <v>295848.7</v>
      </c>
      <c r="EE104">
        <v>3315</v>
      </c>
      <c r="EG104">
        <v>659744.30000000005</v>
      </c>
      <c r="EH104">
        <v>9732.7000000000007</v>
      </c>
      <c r="EJ104">
        <v>264645.8</v>
      </c>
      <c r="EK104">
        <v>2813</v>
      </c>
      <c r="EM104">
        <v>282052.59999999998</v>
      </c>
      <c r="EN104">
        <v>3664.5</v>
      </c>
      <c r="EP104">
        <v>60318.3</v>
      </c>
      <c r="EQ104">
        <v>1032.7</v>
      </c>
      <c r="ES104">
        <v>16560874.4</v>
      </c>
      <c r="ET104">
        <v>154683.1</v>
      </c>
      <c r="EV104">
        <v>183.2</v>
      </c>
      <c r="EW104">
        <v>279.89999999999998</v>
      </c>
      <c r="EY104">
        <v>20075.599999999999</v>
      </c>
      <c r="EZ104">
        <v>320.7</v>
      </c>
      <c r="FB104">
        <v>846.4</v>
      </c>
      <c r="FC104">
        <v>49.2</v>
      </c>
      <c r="FE104">
        <v>3850.4</v>
      </c>
      <c r="FF104">
        <v>191.9</v>
      </c>
      <c r="FH104">
        <v>750.7</v>
      </c>
      <c r="FI104">
        <v>24.6</v>
      </c>
      <c r="FK104">
        <v>68580.7</v>
      </c>
      <c r="FL104">
        <v>2519.3000000000002</v>
      </c>
      <c r="FN104">
        <v>64508</v>
      </c>
      <c r="FO104">
        <v>786.9</v>
      </c>
      <c r="FQ104">
        <v>14396.7</v>
      </c>
      <c r="FR104">
        <v>167.3</v>
      </c>
    </row>
    <row r="105" spans="1:174" x14ac:dyDescent="0.2">
      <c r="A105" t="s">
        <v>171</v>
      </c>
      <c r="B105">
        <v>14747.9</v>
      </c>
      <c r="C105">
        <v>134.9</v>
      </c>
      <c r="E105">
        <v>700.3</v>
      </c>
      <c r="F105">
        <v>66.7</v>
      </c>
      <c r="H105">
        <v>645340.4</v>
      </c>
      <c r="I105">
        <v>2926.1</v>
      </c>
      <c r="K105">
        <v>282854.8</v>
      </c>
      <c r="L105">
        <v>3751.9</v>
      </c>
      <c r="N105">
        <v>1225.8</v>
      </c>
      <c r="O105">
        <v>27.8</v>
      </c>
      <c r="Q105">
        <v>13694.6</v>
      </c>
      <c r="R105">
        <v>262.10000000000002</v>
      </c>
      <c r="T105">
        <v>1824.3</v>
      </c>
      <c r="U105">
        <v>127.1</v>
      </c>
      <c r="W105">
        <v>1218.4000000000001</v>
      </c>
      <c r="X105">
        <v>22.6</v>
      </c>
      <c r="Z105">
        <v>34047.300000000003</v>
      </c>
      <c r="AA105">
        <v>463.2</v>
      </c>
      <c r="AC105">
        <v>20311.5</v>
      </c>
      <c r="AD105">
        <v>447.4</v>
      </c>
      <c r="AF105" s="27">
        <v>3018753</v>
      </c>
      <c r="AG105">
        <v>41156</v>
      </c>
      <c r="AI105" s="28">
        <v>2225419</v>
      </c>
      <c r="AJ105">
        <v>11502.7</v>
      </c>
      <c r="AL105">
        <v>1132592.2</v>
      </c>
      <c r="AM105">
        <v>8569.6</v>
      </c>
      <c r="AO105">
        <v>61014.8</v>
      </c>
      <c r="AP105">
        <v>673.4</v>
      </c>
      <c r="AR105">
        <v>275117.5</v>
      </c>
      <c r="AS105">
        <v>1913.9</v>
      </c>
      <c r="AU105">
        <v>30906.3</v>
      </c>
      <c r="AV105">
        <v>156.69999999999999</v>
      </c>
      <c r="AX105">
        <v>28446.6</v>
      </c>
      <c r="AY105">
        <v>442.5</v>
      </c>
      <c r="BA105">
        <v>3215.6</v>
      </c>
      <c r="BB105">
        <v>144</v>
      </c>
      <c r="BD105">
        <v>413.6</v>
      </c>
      <c r="BE105">
        <v>90.7</v>
      </c>
      <c r="BG105">
        <v>470.9</v>
      </c>
      <c r="BH105">
        <v>21.3</v>
      </c>
      <c r="BJ105">
        <v>234.4</v>
      </c>
      <c r="BK105">
        <v>49.6</v>
      </c>
      <c r="BM105">
        <v>145.80000000000001</v>
      </c>
      <c r="BN105">
        <v>12.6</v>
      </c>
      <c r="BP105">
        <v>3697.3</v>
      </c>
      <c r="BQ105">
        <v>60.4</v>
      </c>
      <c r="BS105">
        <v>677347.4</v>
      </c>
      <c r="BT105">
        <v>9258.7999999999993</v>
      </c>
      <c r="BV105">
        <v>2272.6999999999998</v>
      </c>
      <c r="BW105">
        <v>201.4</v>
      </c>
      <c r="BY105">
        <v>57796.9</v>
      </c>
      <c r="BZ105">
        <v>613.6</v>
      </c>
      <c r="CB105">
        <v>1365513.8</v>
      </c>
      <c r="CC105">
        <v>13989.4</v>
      </c>
      <c r="CE105">
        <v>1115781.7</v>
      </c>
      <c r="CF105">
        <v>10191.700000000001</v>
      </c>
      <c r="CH105">
        <v>2923486.7</v>
      </c>
      <c r="CI105">
        <v>17041.900000000001</v>
      </c>
      <c r="CK105">
        <v>177959.9</v>
      </c>
      <c r="CL105">
        <v>1758.7</v>
      </c>
      <c r="CN105">
        <v>3367167.4</v>
      </c>
      <c r="CO105">
        <v>44754.7</v>
      </c>
      <c r="CQ105">
        <v>159662.6</v>
      </c>
      <c r="CR105">
        <v>2101</v>
      </c>
      <c r="CT105">
        <v>169388.79999999999</v>
      </c>
      <c r="CU105">
        <v>1976.9</v>
      </c>
      <c r="CW105">
        <v>1324360.3</v>
      </c>
      <c r="CX105">
        <v>16759</v>
      </c>
      <c r="CZ105">
        <v>12595.1</v>
      </c>
      <c r="DA105">
        <v>179.4</v>
      </c>
      <c r="DC105">
        <v>1061952.8999999999</v>
      </c>
      <c r="DD105">
        <v>3833.8</v>
      </c>
      <c r="DF105">
        <v>59501.4</v>
      </c>
      <c r="DG105">
        <v>541.4</v>
      </c>
      <c r="DI105">
        <v>678</v>
      </c>
      <c r="DJ105">
        <v>32.799999999999997</v>
      </c>
      <c r="DL105">
        <v>685.4</v>
      </c>
      <c r="DM105">
        <v>17</v>
      </c>
      <c r="DO105">
        <v>16596.599999999999</v>
      </c>
      <c r="DP105">
        <v>555.5</v>
      </c>
      <c r="DR105">
        <v>103330.9</v>
      </c>
      <c r="DS105">
        <v>1418.7</v>
      </c>
      <c r="DU105">
        <v>786828.3</v>
      </c>
      <c r="DV105">
        <v>13326.3</v>
      </c>
      <c r="DX105">
        <v>918</v>
      </c>
      <c r="DY105">
        <v>55.2</v>
      </c>
      <c r="EA105">
        <v>3765.7</v>
      </c>
      <c r="EB105">
        <v>217</v>
      </c>
      <c r="ED105">
        <v>113847.7</v>
      </c>
      <c r="EE105">
        <v>1436.1</v>
      </c>
      <c r="EG105">
        <v>227849.2</v>
      </c>
      <c r="EH105">
        <v>3548.4</v>
      </c>
      <c r="EJ105">
        <v>262248</v>
      </c>
      <c r="EK105">
        <v>4093.3</v>
      </c>
      <c r="EM105">
        <v>209256</v>
      </c>
      <c r="EN105">
        <v>2130.8000000000002</v>
      </c>
      <c r="EP105">
        <v>59213.3</v>
      </c>
      <c r="EQ105">
        <v>2274.1999999999998</v>
      </c>
      <c r="ES105">
        <v>4844773.8</v>
      </c>
      <c r="ET105">
        <v>88294.5</v>
      </c>
      <c r="EV105">
        <v>8.9</v>
      </c>
      <c r="EW105">
        <v>6.3</v>
      </c>
      <c r="EY105">
        <v>321295</v>
      </c>
      <c r="EZ105">
        <v>7019.1</v>
      </c>
      <c r="FB105">
        <v>487.7</v>
      </c>
      <c r="FC105">
        <v>61.3</v>
      </c>
      <c r="FE105">
        <v>3076.5</v>
      </c>
      <c r="FF105">
        <v>251.6</v>
      </c>
      <c r="FH105">
        <v>769</v>
      </c>
      <c r="FI105">
        <v>26.9</v>
      </c>
      <c r="FK105">
        <v>66389</v>
      </c>
      <c r="FL105">
        <v>751.4</v>
      </c>
      <c r="FN105">
        <v>48307</v>
      </c>
      <c r="FO105">
        <v>562.6</v>
      </c>
      <c r="FQ105">
        <v>14342</v>
      </c>
      <c r="FR105">
        <v>499.2</v>
      </c>
    </row>
    <row r="106" spans="1:174" x14ac:dyDescent="0.2">
      <c r="A106" t="s">
        <v>172</v>
      </c>
      <c r="B106">
        <v>10141.6</v>
      </c>
      <c r="C106">
        <v>82.8</v>
      </c>
      <c r="E106">
        <v>793.4</v>
      </c>
      <c r="F106">
        <v>46.3</v>
      </c>
      <c r="H106">
        <v>232526.8</v>
      </c>
      <c r="I106">
        <v>2211.4</v>
      </c>
      <c r="K106">
        <v>71559</v>
      </c>
      <c r="L106">
        <v>893.8</v>
      </c>
      <c r="N106">
        <v>386.5</v>
      </c>
      <c r="O106">
        <v>46.9</v>
      </c>
      <c r="Q106">
        <v>6539.6</v>
      </c>
      <c r="R106">
        <v>137.80000000000001</v>
      </c>
      <c r="T106">
        <v>1347.8</v>
      </c>
      <c r="U106">
        <v>117.8</v>
      </c>
      <c r="W106">
        <v>970.3</v>
      </c>
      <c r="X106">
        <v>93</v>
      </c>
      <c r="Z106">
        <v>18445.099999999999</v>
      </c>
      <c r="AA106">
        <v>125.2</v>
      </c>
      <c r="AC106">
        <v>6994.4</v>
      </c>
      <c r="AD106">
        <v>205.1</v>
      </c>
      <c r="AF106" s="27">
        <v>2942341.3</v>
      </c>
      <c r="AG106">
        <v>11386.1</v>
      </c>
      <c r="AI106" s="28">
        <v>639815.9</v>
      </c>
      <c r="AJ106">
        <v>5225.6000000000004</v>
      </c>
      <c r="AL106">
        <v>221606</v>
      </c>
      <c r="AM106">
        <v>3030.8</v>
      </c>
      <c r="AO106">
        <v>21853.5</v>
      </c>
      <c r="AP106">
        <v>289</v>
      </c>
      <c r="AR106">
        <v>88036.4</v>
      </c>
      <c r="AS106">
        <v>1658.7</v>
      </c>
      <c r="AU106">
        <v>920.3</v>
      </c>
      <c r="AV106">
        <v>161.4</v>
      </c>
      <c r="AX106">
        <v>1345.7</v>
      </c>
      <c r="AY106">
        <v>127.3</v>
      </c>
      <c r="BA106">
        <v>640.9</v>
      </c>
      <c r="BB106">
        <v>127.4</v>
      </c>
      <c r="BD106">
        <v>336.5</v>
      </c>
      <c r="BE106">
        <v>47.5</v>
      </c>
      <c r="BG106">
        <v>200</v>
      </c>
      <c r="BH106">
        <v>43.3</v>
      </c>
      <c r="BJ106">
        <v>197.9</v>
      </c>
      <c r="BK106">
        <v>50.9</v>
      </c>
      <c r="BM106">
        <v>290.60000000000002</v>
      </c>
      <c r="BN106">
        <v>62.3</v>
      </c>
      <c r="BP106">
        <v>3092.4</v>
      </c>
      <c r="BQ106">
        <v>142.30000000000001</v>
      </c>
      <c r="BS106">
        <v>674019.4</v>
      </c>
      <c r="BT106">
        <v>8642.6</v>
      </c>
      <c r="BV106">
        <v>2043.3</v>
      </c>
      <c r="BW106">
        <v>178</v>
      </c>
      <c r="BY106">
        <v>33364.5</v>
      </c>
      <c r="BZ106">
        <v>447.9</v>
      </c>
      <c r="CB106">
        <v>391829.7</v>
      </c>
      <c r="CC106">
        <v>5825.8</v>
      </c>
      <c r="CE106">
        <v>323211.5</v>
      </c>
      <c r="CF106">
        <v>4810.2</v>
      </c>
      <c r="CH106">
        <v>808667.7</v>
      </c>
      <c r="CI106">
        <v>5064.6000000000004</v>
      </c>
      <c r="CK106">
        <v>48782.8</v>
      </c>
      <c r="CL106">
        <v>737.7</v>
      </c>
      <c r="CN106">
        <v>1114035</v>
      </c>
      <c r="CO106">
        <v>11114.8</v>
      </c>
      <c r="CQ106">
        <v>25478.5</v>
      </c>
      <c r="CR106">
        <v>422.3</v>
      </c>
      <c r="CT106">
        <v>312937.90000000002</v>
      </c>
      <c r="CU106">
        <v>8085.5</v>
      </c>
      <c r="CW106">
        <v>655824.69999999995</v>
      </c>
      <c r="CX106">
        <v>5770.5</v>
      </c>
      <c r="CZ106">
        <v>10331.200000000001</v>
      </c>
      <c r="DA106">
        <v>212</v>
      </c>
      <c r="DC106">
        <v>410212.3</v>
      </c>
      <c r="DD106">
        <v>8511.2000000000007</v>
      </c>
      <c r="DF106">
        <v>21671.1</v>
      </c>
      <c r="DG106">
        <v>583.20000000000005</v>
      </c>
      <c r="DI106">
        <v>100.9</v>
      </c>
      <c r="DJ106">
        <v>9.8000000000000007</v>
      </c>
      <c r="DL106">
        <v>357.4</v>
      </c>
      <c r="DM106">
        <v>28.4</v>
      </c>
      <c r="DO106">
        <v>9728.5</v>
      </c>
      <c r="DP106">
        <v>13.9</v>
      </c>
      <c r="DR106">
        <v>15439</v>
      </c>
      <c r="DS106">
        <v>532.6</v>
      </c>
      <c r="DU106">
        <v>166150.5</v>
      </c>
      <c r="DV106">
        <v>2630.7</v>
      </c>
      <c r="DX106">
        <v>464</v>
      </c>
      <c r="DY106">
        <v>61</v>
      </c>
      <c r="EA106">
        <v>1300.9000000000001</v>
      </c>
      <c r="EB106">
        <v>68.900000000000006</v>
      </c>
      <c r="ED106">
        <v>38177.800000000003</v>
      </c>
      <c r="EE106">
        <v>123.1</v>
      </c>
      <c r="EG106">
        <v>84317.2</v>
      </c>
      <c r="EH106">
        <v>448.8</v>
      </c>
      <c r="EJ106">
        <v>257442.6</v>
      </c>
      <c r="EK106">
        <v>2577</v>
      </c>
      <c r="EM106">
        <v>64531.5</v>
      </c>
      <c r="EN106">
        <v>506.5</v>
      </c>
      <c r="EP106">
        <v>59645.7</v>
      </c>
      <c r="EQ106">
        <v>824.1</v>
      </c>
      <c r="ES106">
        <v>2191288.9</v>
      </c>
      <c r="ET106">
        <v>11959.2</v>
      </c>
      <c r="EV106">
        <v>4.8</v>
      </c>
      <c r="EW106">
        <v>1.7</v>
      </c>
      <c r="EY106">
        <v>2455.1</v>
      </c>
      <c r="EZ106">
        <v>39.299999999999997</v>
      </c>
      <c r="FB106">
        <v>323.39999999999998</v>
      </c>
      <c r="FC106">
        <v>51.9</v>
      </c>
      <c r="FE106">
        <v>2699.7</v>
      </c>
      <c r="FF106">
        <v>89.8</v>
      </c>
      <c r="FH106">
        <v>754</v>
      </c>
      <c r="FI106">
        <v>86.2</v>
      </c>
      <c r="FK106">
        <v>64817.3</v>
      </c>
      <c r="FL106">
        <v>193.8</v>
      </c>
      <c r="FN106">
        <v>14898.6</v>
      </c>
      <c r="FO106">
        <v>140.6</v>
      </c>
      <c r="FQ106">
        <v>14115.1</v>
      </c>
      <c r="FR106">
        <v>389.9</v>
      </c>
    </row>
    <row r="107" spans="1:174" x14ac:dyDescent="0.2">
      <c r="A107" t="s">
        <v>173</v>
      </c>
      <c r="B107">
        <v>8888.6</v>
      </c>
      <c r="C107">
        <v>526.20000000000005</v>
      </c>
      <c r="E107">
        <v>691.1</v>
      </c>
      <c r="F107">
        <v>67.099999999999994</v>
      </c>
      <c r="H107">
        <v>59198.9</v>
      </c>
      <c r="I107">
        <v>840.4</v>
      </c>
      <c r="K107">
        <v>42703.4</v>
      </c>
      <c r="L107">
        <v>141.5</v>
      </c>
      <c r="N107">
        <v>425</v>
      </c>
      <c r="O107">
        <v>35.5</v>
      </c>
      <c r="Q107">
        <v>2491.6999999999998</v>
      </c>
      <c r="R107">
        <v>45</v>
      </c>
      <c r="T107">
        <v>1289.4000000000001</v>
      </c>
      <c r="U107">
        <v>116.4</v>
      </c>
      <c r="W107">
        <v>976.6</v>
      </c>
      <c r="X107">
        <v>68.900000000000006</v>
      </c>
      <c r="Z107">
        <v>5310.8</v>
      </c>
      <c r="AA107">
        <v>36.200000000000003</v>
      </c>
      <c r="AC107">
        <v>1531.3</v>
      </c>
      <c r="AD107">
        <v>94.2</v>
      </c>
      <c r="AF107" s="27">
        <v>2912359.3</v>
      </c>
      <c r="AG107">
        <v>20865.400000000001</v>
      </c>
      <c r="AI107" s="28">
        <v>271241.3</v>
      </c>
      <c r="AJ107">
        <v>1946.2</v>
      </c>
      <c r="AL107">
        <v>98904.7</v>
      </c>
      <c r="AM107">
        <v>787.7</v>
      </c>
      <c r="AO107">
        <v>6333</v>
      </c>
      <c r="AP107">
        <v>255</v>
      </c>
      <c r="AR107">
        <v>21756.400000000001</v>
      </c>
      <c r="AS107">
        <v>591.4</v>
      </c>
      <c r="AU107">
        <v>805.6</v>
      </c>
      <c r="AV107">
        <v>56.4</v>
      </c>
      <c r="AX107">
        <v>1225.8</v>
      </c>
      <c r="AY107">
        <v>19</v>
      </c>
      <c r="BA107">
        <v>137.5</v>
      </c>
      <c r="BB107">
        <v>17.399999999999999</v>
      </c>
      <c r="BD107">
        <v>369.8</v>
      </c>
      <c r="BE107">
        <v>39.799999999999997</v>
      </c>
      <c r="BG107">
        <v>247.9</v>
      </c>
      <c r="BH107">
        <v>55.1</v>
      </c>
      <c r="BJ107">
        <v>172.9</v>
      </c>
      <c r="BK107">
        <v>3.6</v>
      </c>
      <c r="BM107">
        <v>131.30000000000001</v>
      </c>
      <c r="BN107">
        <v>42</v>
      </c>
      <c r="BP107">
        <v>1555.2</v>
      </c>
      <c r="BQ107">
        <v>47.5</v>
      </c>
      <c r="BS107">
        <v>661307</v>
      </c>
      <c r="BT107">
        <v>6122.2</v>
      </c>
      <c r="BV107">
        <v>2141.3000000000002</v>
      </c>
      <c r="BW107">
        <v>49.9</v>
      </c>
      <c r="BY107">
        <v>9777.6</v>
      </c>
      <c r="BZ107">
        <v>118.8</v>
      </c>
      <c r="CB107">
        <v>82553</v>
      </c>
      <c r="CC107">
        <v>1448.2</v>
      </c>
      <c r="CE107">
        <v>69518</v>
      </c>
      <c r="CF107">
        <v>677.7</v>
      </c>
      <c r="CH107">
        <v>171392.9</v>
      </c>
      <c r="CI107">
        <v>1272.9000000000001</v>
      </c>
      <c r="CK107">
        <v>13771.7</v>
      </c>
      <c r="CL107">
        <v>189.6</v>
      </c>
      <c r="CN107">
        <v>425457.7</v>
      </c>
      <c r="CO107">
        <v>3063.6</v>
      </c>
      <c r="CQ107">
        <v>17938.099999999999</v>
      </c>
      <c r="CR107">
        <v>422.8</v>
      </c>
      <c r="CT107">
        <v>238166.1</v>
      </c>
      <c r="CU107">
        <v>7335.4</v>
      </c>
      <c r="CW107">
        <v>607891.9</v>
      </c>
      <c r="CX107">
        <v>8590.2000000000007</v>
      </c>
      <c r="CZ107">
        <v>9347.2999999999993</v>
      </c>
      <c r="DA107">
        <v>183.7</v>
      </c>
      <c r="DC107">
        <v>121772.5</v>
      </c>
      <c r="DD107">
        <v>1478.7</v>
      </c>
      <c r="DF107">
        <v>21930.1</v>
      </c>
      <c r="DG107">
        <v>396.2</v>
      </c>
      <c r="DI107">
        <v>90.7</v>
      </c>
      <c r="DJ107">
        <v>6.4</v>
      </c>
      <c r="DL107">
        <v>242.6</v>
      </c>
      <c r="DM107">
        <v>34.299999999999997</v>
      </c>
      <c r="DO107">
        <v>4773.3999999999996</v>
      </c>
      <c r="DP107">
        <v>313.2</v>
      </c>
      <c r="DR107">
        <v>5216.6000000000004</v>
      </c>
      <c r="DS107">
        <v>148.1</v>
      </c>
      <c r="DU107">
        <v>87144.5</v>
      </c>
      <c r="DV107">
        <v>1248.0999999999999</v>
      </c>
      <c r="DX107">
        <v>920.9</v>
      </c>
      <c r="DY107">
        <v>56.2</v>
      </c>
      <c r="EA107">
        <v>1152.5</v>
      </c>
      <c r="EB107">
        <v>138.9</v>
      </c>
      <c r="ED107">
        <v>14192.3</v>
      </c>
      <c r="EE107">
        <v>428</v>
      </c>
      <c r="EG107">
        <v>29430.7</v>
      </c>
      <c r="EH107">
        <v>178.5</v>
      </c>
      <c r="EJ107">
        <v>249228.5</v>
      </c>
      <c r="EK107">
        <v>3447.4</v>
      </c>
      <c r="EM107">
        <v>27513</v>
      </c>
      <c r="EN107">
        <v>266</v>
      </c>
      <c r="EP107">
        <v>57186.9</v>
      </c>
      <c r="EQ107">
        <v>1066.5</v>
      </c>
      <c r="ES107">
        <v>521107.1</v>
      </c>
      <c r="ET107">
        <v>5458.2</v>
      </c>
      <c r="EV107">
        <v>4.8</v>
      </c>
      <c r="EW107">
        <v>1.3</v>
      </c>
      <c r="EY107">
        <v>887.9</v>
      </c>
      <c r="EZ107">
        <v>42</v>
      </c>
      <c r="FB107">
        <v>692.9</v>
      </c>
      <c r="FC107">
        <v>84</v>
      </c>
      <c r="FE107">
        <v>4950.1000000000004</v>
      </c>
      <c r="FF107">
        <v>335</v>
      </c>
      <c r="FH107">
        <v>715.6</v>
      </c>
      <c r="FI107">
        <v>47.1</v>
      </c>
      <c r="FK107">
        <v>62075.199999999997</v>
      </c>
      <c r="FL107">
        <v>2245.6</v>
      </c>
      <c r="FN107">
        <v>6458.3</v>
      </c>
      <c r="FO107">
        <v>122.6</v>
      </c>
      <c r="FQ107">
        <v>13612.4</v>
      </c>
      <c r="FR107">
        <v>257.5</v>
      </c>
    </row>
    <row r="108" spans="1:174" x14ac:dyDescent="0.2">
      <c r="A108" t="s">
        <v>174</v>
      </c>
      <c r="B108">
        <v>9499.7000000000007</v>
      </c>
      <c r="C108">
        <v>54.4</v>
      </c>
      <c r="E108">
        <v>798.5</v>
      </c>
      <c r="F108">
        <v>46</v>
      </c>
      <c r="H108">
        <v>92644.4</v>
      </c>
      <c r="I108">
        <v>304.7</v>
      </c>
      <c r="K108">
        <v>94452.1</v>
      </c>
      <c r="L108">
        <v>279.7</v>
      </c>
      <c r="N108">
        <v>1485.4</v>
      </c>
      <c r="O108">
        <v>76.400000000000006</v>
      </c>
      <c r="Q108">
        <v>10576.8</v>
      </c>
      <c r="R108">
        <v>194.1</v>
      </c>
      <c r="T108">
        <v>1324.9</v>
      </c>
      <c r="U108">
        <v>116.4</v>
      </c>
      <c r="W108">
        <v>1062.0999999999999</v>
      </c>
      <c r="X108">
        <v>102</v>
      </c>
      <c r="Z108">
        <v>17979.7</v>
      </c>
      <c r="AA108">
        <v>237</v>
      </c>
      <c r="AC108">
        <v>4406.5</v>
      </c>
      <c r="AD108">
        <v>112.9</v>
      </c>
      <c r="AF108" s="27">
        <v>3184762.3</v>
      </c>
      <c r="AG108">
        <v>47965</v>
      </c>
      <c r="AI108" s="28">
        <v>3203364.7</v>
      </c>
      <c r="AJ108">
        <v>45058.6</v>
      </c>
      <c r="AL108">
        <v>2414267</v>
      </c>
      <c r="AM108">
        <v>51906.7</v>
      </c>
      <c r="AO108">
        <v>8202.2999999999993</v>
      </c>
      <c r="AP108">
        <v>244.9</v>
      </c>
      <c r="AR108">
        <v>53264.6</v>
      </c>
      <c r="AS108">
        <v>672.9</v>
      </c>
      <c r="AU108">
        <v>4178.2</v>
      </c>
      <c r="AV108">
        <v>111.8</v>
      </c>
      <c r="AX108">
        <v>5152.3</v>
      </c>
      <c r="AY108">
        <v>219.5</v>
      </c>
      <c r="BA108">
        <v>419.8</v>
      </c>
      <c r="BB108">
        <v>17.7</v>
      </c>
      <c r="BD108">
        <v>410.5</v>
      </c>
      <c r="BE108">
        <v>15.4</v>
      </c>
      <c r="BG108">
        <v>227.1</v>
      </c>
      <c r="BH108">
        <v>22.2</v>
      </c>
      <c r="BJ108">
        <v>345.9</v>
      </c>
      <c r="BK108">
        <v>57</v>
      </c>
      <c r="BM108">
        <v>149</v>
      </c>
      <c r="BN108">
        <v>37.299999999999997</v>
      </c>
      <c r="BP108">
        <v>6236</v>
      </c>
      <c r="BQ108">
        <v>103.3</v>
      </c>
      <c r="BS108">
        <v>681507.7</v>
      </c>
      <c r="BT108">
        <v>4265.5</v>
      </c>
      <c r="BV108">
        <v>2208.1</v>
      </c>
      <c r="BW108">
        <v>125</v>
      </c>
      <c r="BY108">
        <v>1688.8</v>
      </c>
      <c r="BZ108">
        <v>73</v>
      </c>
      <c r="CB108">
        <v>134539.4</v>
      </c>
      <c r="CC108">
        <v>2024.2</v>
      </c>
      <c r="CE108">
        <v>113580.2</v>
      </c>
      <c r="CF108">
        <v>2798.7</v>
      </c>
      <c r="CH108">
        <v>281297.5</v>
      </c>
      <c r="CI108">
        <v>5338.6</v>
      </c>
      <c r="CK108">
        <v>45081.9</v>
      </c>
      <c r="CL108">
        <v>603.70000000000005</v>
      </c>
      <c r="CN108">
        <v>2381952</v>
      </c>
      <c r="CO108">
        <v>19912.7</v>
      </c>
      <c r="CQ108">
        <v>107718</v>
      </c>
      <c r="CR108">
        <v>584.4</v>
      </c>
      <c r="CT108">
        <v>506558.5</v>
      </c>
      <c r="CU108">
        <v>4400.3</v>
      </c>
      <c r="CW108">
        <v>1003196.3</v>
      </c>
      <c r="CX108">
        <v>5784.8</v>
      </c>
      <c r="CZ108">
        <v>167988.3</v>
      </c>
      <c r="DA108">
        <v>1613.7</v>
      </c>
      <c r="DC108">
        <v>111348.4</v>
      </c>
      <c r="DD108">
        <v>499.2</v>
      </c>
      <c r="DF108">
        <v>61959.3</v>
      </c>
      <c r="DG108">
        <v>1757.5</v>
      </c>
      <c r="DI108">
        <v>879.1</v>
      </c>
      <c r="DJ108">
        <v>12.6</v>
      </c>
      <c r="DL108">
        <v>766</v>
      </c>
      <c r="DM108">
        <v>84.4</v>
      </c>
      <c r="DO108">
        <v>130791.7</v>
      </c>
      <c r="DP108">
        <v>2619.1999999999998</v>
      </c>
      <c r="DR108">
        <v>83287</v>
      </c>
      <c r="DS108">
        <v>2305.8000000000002</v>
      </c>
      <c r="DU108">
        <v>889388.1</v>
      </c>
      <c r="DV108">
        <v>25730.2</v>
      </c>
      <c r="DX108">
        <v>3686</v>
      </c>
      <c r="DY108">
        <v>170.7</v>
      </c>
      <c r="EA108">
        <v>31183.5</v>
      </c>
      <c r="EB108">
        <v>408.8</v>
      </c>
      <c r="ED108">
        <v>23384.799999999999</v>
      </c>
      <c r="EE108">
        <v>483.9</v>
      </c>
      <c r="EG108">
        <v>398862.4</v>
      </c>
      <c r="EH108">
        <v>6894.3</v>
      </c>
      <c r="EJ108">
        <v>280723.09999999998</v>
      </c>
      <c r="EK108">
        <v>2220.1</v>
      </c>
      <c r="EM108">
        <v>297318.40000000002</v>
      </c>
      <c r="EN108">
        <v>2358.6</v>
      </c>
      <c r="EP108">
        <v>59515.9</v>
      </c>
      <c r="EQ108">
        <v>1034.5999999999999</v>
      </c>
      <c r="ES108">
        <v>890253.9</v>
      </c>
      <c r="ET108">
        <v>8245.9</v>
      </c>
      <c r="EV108">
        <v>9.4</v>
      </c>
      <c r="EW108">
        <v>4.2</v>
      </c>
      <c r="EY108">
        <v>9046.9</v>
      </c>
      <c r="EZ108">
        <v>152.6</v>
      </c>
      <c r="FB108">
        <v>170.9</v>
      </c>
      <c r="FC108">
        <v>26.7</v>
      </c>
      <c r="FE108">
        <v>2069.6999999999998</v>
      </c>
      <c r="FF108">
        <v>290.2</v>
      </c>
      <c r="FH108">
        <v>734.6</v>
      </c>
      <c r="FI108">
        <v>30</v>
      </c>
      <c r="FK108">
        <v>70124.2</v>
      </c>
      <c r="FL108">
        <v>883.5</v>
      </c>
      <c r="FN108">
        <v>66981.600000000006</v>
      </c>
      <c r="FO108">
        <v>282.39999999999998</v>
      </c>
      <c r="FQ108">
        <v>14209.7</v>
      </c>
      <c r="FR108">
        <v>309.89999999999998</v>
      </c>
    </row>
    <row r="109" spans="1:174" x14ac:dyDescent="0.2">
      <c r="A109" t="s">
        <v>175</v>
      </c>
      <c r="B109">
        <v>11083.8</v>
      </c>
      <c r="C109">
        <v>120.9</v>
      </c>
      <c r="E109">
        <v>648.9</v>
      </c>
      <c r="F109">
        <v>50.1</v>
      </c>
      <c r="H109">
        <v>258212.9</v>
      </c>
      <c r="I109">
        <v>2011</v>
      </c>
      <c r="K109">
        <v>200461.6</v>
      </c>
      <c r="L109">
        <v>941</v>
      </c>
      <c r="N109">
        <v>3350.1</v>
      </c>
      <c r="O109">
        <v>19</v>
      </c>
      <c r="Q109">
        <v>23940.6</v>
      </c>
      <c r="R109">
        <v>604.79999999999995</v>
      </c>
      <c r="T109">
        <v>1395.7</v>
      </c>
      <c r="U109">
        <v>31.3</v>
      </c>
      <c r="W109">
        <v>1084</v>
      </c>
      <c r="X109">
        <v>133.9</v>
      </c>
      <c r="Z109">
        <v>23420.7</v>
      </c>
      <c r="AA109">
        <v>277.10000000000002</v>
      </c>
      <c r="AC109">
        <v>17204.2</v>
      </c>
      <c r="AD109">
        <v>326.2</v>
      </c>
      <c r="AF109" s="27">
        <v>3555423.9</v>
      </c>
      <c r="AG109">
        <v>33763.1</v>
      </c>
      <c r="AI109" s="28">
        <v>3433489.3</v>
      </c>
      <c r="AJ109">
        <v>151013</v>
      </c>
      <c r="AL109">
        <v>9617722.6999999993</v>
      </c>
      <c r="AM109">
        <v>321326.8</v>
      </c>
      <c r="AO109">
        <v>19649.8</v>
      </c>
      <c r="AP109">
        <v>397.2</v>
      </c>
      <c r="AR109">
        <v>124219</v>
      </c>
      <c r="AS109">
        <v>3745.1</v>
      </c>
      <c r="AU109">
        <v>10018.6</v>
      </c>
      <c r="AV109">
        <v>411</v>
      </c>
      <c r="AX109">
        <v>10257.5</v>
      </c>
      <c r="AY109">
        <v>149.30000000000001</v>
      </c>
      <c r="BA109">
        <v>851.4</v>
      </c>
      <c r="BB109">
        <v>56.3</v>
      </c>
      <c r="BD109">
        <v>407.4</v>
      </c>
      <c r="BE109">
        <v>62.1</v>
      </c>
      <c r="BG109">
        <v>395.9</v>
      </c>
      <c r="BH109">
        <v>38.6</v>
      </c>
      <c r="BJ109">
        <v>280.2</v>
      </c>
      <c r="BK109">
        <v>37.299999999999997</v>
      </c>
      <c r="BM109">
        <v>289.60000000000002</v>
      </c>
      <c r="BN109">
        <v>23.5</v>
      </c>
      <c r="BP109">
        <v>6534.3</v>
      </c>
      <c r="BQ109">
        <v>40.700000000000003</v>
      </c>
      <c r="BS109">
        <v>669092.6</v>
      </c>
      <c r="BT109">
        <v>4673</v>
      </c>
      <c r="BV109">
        <v>2138.1999999999998</v>
      </c>
      <c r="BW109">
        <v>53.4</v>
      </c>
      <c r="BY109">
        <v>4003</v>
      </c>
      <c r="BZ109">
        <v>229.5</v>
      </c>
      <c r="CB109">
        <v>446390.3</v>
      </c>
      <c r="CC109">
        <v>4401.2</v>
      </c>
      <c r="CE109">
        <v>375841.7</v>
      </c>
      <c r="CF109">
        <v>2865.6</v>
      </c>
      <c r="CH109">
        <v>954476.2</v>
      </c>
      <c r="CI109">
        <v>6892.9</v>
      </c>
      <c r="CK109">
        <v>149857.9</v>
      </c>
      <c r="CL109">
        <v>2998.5</v>
      </c>
      <c r="CN109">
        <v>4084392.3</v>
      </c>
      <c r="CO109">
        <v>19668.8</v>
      </c>
      <c r="CQ109">
        <v>254634</v>
      </c>
      <c r="CR109">
        <v>4624.6000000000004</v>
      </c>
      <c r="CT109">
        <v>634165.80000000005</v>
      </c>
      <c r="CU109">
        <v>12301.7</v>
      </c>
      <c r="CW109">
        <v>2447161.5</v>
      </c>
      <c r="CX109">
        <v>26183.4</v>
      </c>
      <c r="CZ109">
        <v>167421.5</v>
      </c>
      <c r="DA109">
        <v>356.4</v>
      </c>
      <c r="DC109">
        <v>260047.1</v>
      </c>
      <c r="DD109">
        <v>534.20000000000005</v>
      </c>
      <c r="DF109">
        <v>133194.1</v>
      </c>
      <c r="DG109">
        <v>1036.9000000000001</v>
      </c>
      <c r="DI109">
        <v>1663.2</v>
      </c>
      <c r="DJ109">
        <v>107</v>
      </c>
      <c r="DL109">
        <v>1473.3</v>
      </c>
      <c r="DM109">
        <v>67.900000000000006</v>
      </c>
      <c r="DO109">
        <v>272714</v>
      </c>
      <c r="DP109">
        <v>4398.2</v>
      </c>
      <c r="DR109">
        <v>196793.3</v>
      </c>
      <c r="DS109">
        <v>4309.3</v>
      </c>
      <c r="DU109">
        <v>2411969.7999999998</v>
      </c>
      <c r="DV109">
        <v>37814.9</v>
      </c>
      <c r="DX109">
        <v>10138.4</v>
      </c>
      <c r="DY109">
        <v>365.6</v>
      </c>
      <c r="EA109">
        <v>75286.3</v>
      </c>
      <c r="EB109">
        <v>1144.0999999999999</v>
      </c>
      <c r="ED109">
        <v>65613.100000000006</v>
      </c>
      <c r="EE109">
        <v>1285.4000000000001</v>
      </c>
      <c r="EG109">
        <v>1250971</v>
      </c>
      <c r="EH109">
        <v>6510.6</v>
      </c>
      <c r="EJ109">
        <v>328283.09999999998</v>
      </c>
      <c r="EK109">
        <v>4970.3999999999996</v>
      </c>
      <c r="EM109">
        <v>324757.40000000002</v>
      </c>
      <c r="EN109">
        <v>2637.3</v>
      </c>
      <c r="EP109">
        <v>58144.2</v>
      </c>
      <c r="EQ109">
        <v>331.1</v>
      </c>
      <c r="ES109">
        <v>1797397.9</v>
      </c>
      <c r="ET109">
        <v>7703</v>
      </c>
      <c r="EV109">
        <v>22.2</v>
      </c>
      <c r="EW109">
        <v>4.2</v>
      </c>
      <c r="EY109">
        <v>44516.6</v>
      </c>
      <c r="EZ109">
        <v>654.70000000000005</v>
      </c>
      <c r="FB109">
        <v>564.4</v>
      </c>
      <c r="FC109">
        <v>22.7</v>
      </c>
      <c r="FE109">
        <v>3937.9</v>
      </c>
      <c r="FF109">
        <v>424.5</v>
      </c>
      <c r="FH109">
        <v>685.6</v>
      </c>
      <c r="FI109">
        <v>43.2</v>
      </c>
      <c r="FK109">
        <v>83295.399999999994</v>
      </c>
      <c r="FL109">
        <v>1347.3</v>
      </c>
      <c r="FN109">
        <v>73647.600000000006</v>
      </c>
      <c r="FO109">
        <v>1138.8</v>
      </c>
      <c r="FQ109">
        <v>14012.1</v>
      </c>
      <c r="FR109">
        <v>46.6</v>
      </c>
    </row>
    <row r="110" spans="1:174" x14ac:dyDescent="0.2">
      <c r="A110" t="s">
        <v>176</v>
      </c>
      <c r="B110">
        <v>9701.1</v>
      </c>
      <c r="C110">
        <v>458.4</v>
      </c>
      <c r="E110">
        <v>715.6</v>
      </c>
      <c r="F110">
        <v>42.2</v>
      </c>
      <c r="H110">
        <v>176852.8</v>
      </c>
      <c r="I110">
        <v>477.1</v>
      </c>
      <c r="K110">
        <v>126620</v>
      </c>
      <c r="L110">
        <v>1383.9</v>
      </c>
      <c r="N110">
        <v>2130.9</v>
      </c>
      <c r="O110">
        <v>42.7</v>
      </c>
      <c r="Q110">
        <v>5971</v>
      </c>
      <c r="R110">
        <v>240.3</v>
      </c>
      <c r="T110">
        <v>1190.3</v>
      </c>
      <c r="U110">
        <v>93</v>
      </c>
      <c r="W110">
        <v>996.4</v>
      </c>
      <c r="X110">
        <v>34.299999999999997</v>
      </c>
      <c r="Z110">
        <v>10637.3</v>
      </c>
      <c r="AA110">
        <v>230.2</v>
      </c>
      <c r="AC110">
        <v>8184.6</v>
      </c>
      <c r="AD110">
        <v>341.2</v>
      </c>
      <c r="AF110" s="27">
        <v>3444850</v>
      </c>
      <c r="AG110">
        <v>25129.200000000001</v>
      </c>
      <c r="AI110" s="28">
        <v>738548.2</v>
      </c>
      <c r="AJ110">
        <v>9612.7000000000007</v>
      </c>
      <c r="AL110">
        <v>3750327.3</v>
      </c>
      <c r="AM110">
        <v>27726.799999999999</v>
      </c>
      <c r="AO110">
        <v>13303.2</v>
      </c>
      <c r="AP110">
        <v>266.8</v>
      </c>
      <c r="AR110">
        <v>81436.100000000006</v>
      </c>
      <c r="AS110">
        <v>1936.5</v>
      </c>
      <c r="AU110">
        <v>5060.5</v>
      </c>
      <c r="AV110">
        <v>277.5</v>
      </c>
      <c r="AX110">
        <v>5378.6</v>
      </c>
      <c r="AY110">
        <v>103.5</v>
      </c>
      <c r="BA110">
        <v>597.1</v>
      </c>
      <c r="BB110">
        <v>124.2</v>
      </c>
      <c r="BD110">
        <v>472</v>
      </c>
      <c r="BE110">
        <v>39</v>
      </c>
      <c r="BG110">
        <v>332.3</v>
      </c>
      <c r="BH110">
        <v>28.2</v>
      </c>
      <c r="BJ110">
        <v>284.39999999999998</v>
      </c>
      <c r="BK110">
        <v>33.1</v>
      </c>
      <c r="BM110">
        <v>218.8</v>
      </c>
      <c r="BN110">
        <v>8.3000000000000007</v>
      </c>
      <c r="BP110">
        <v>3419.9</v>
      </c>
      <c r="BQ110">
        <v>24.3</v>
      </c>
      <c r="BS110">
        <v>676538.7</v>
      </c>
      <c r="BT110">
        <v>8932.1</v>
      </c>
      <c r="BV110">
        <v>2188.3000000000002</v>
      </c>
      <c r="BW110">
        <v>109.8</v>
      </c>
      <c r="BY110">
        <v>2809.8</v>
      </c>
      <c r="BZ110">
        <v>48.5</v>
      </c>
      <c r="CB110">
        <v>253903.8</v>
      </c>
      <c r="CC110">
        <v>1393.4</v>
      </c>
      <c r="CE110">
        <v>214813.8</v>
      </c>
      <c r="CF110">
        <v>1718.5</v>
      </c>
      <c r="CH110">
        <v>537017.69999999995</v>
      </c>
      <c r="CI110">
        <v>2194.1999999999998</v>
      </c>
      <c r="CK110">
        <v>82046.100000000006</v>
      </c>
      <c r="CL110">
        <v>1405.1</v>
      </c>
      <c r="CN110">
        <v>1935977.5</v>
      </c>
      <c r="CO110">
        <v>29682.3</v>
      </c>
      <c r="CQ110">
        <v>130317.2</v>
      </c>
      <c r="CR110">
        <v>3705</v>
      </c>
      <c r="CT110">
        <v>296472.59999999998</v>
      </c>
      <c r="CU110">
        <v>10542.1</v>
      </c>
      <c r="CW110">
        <v>1088863.7</v>
      </c>
      <c r="CX110">
        <v>12084.3</v>
      </c>
      <c r="CZ110">
        <v>28326.2</v>
      </c>
      <c r="DA110">
        <v>142.5</v>
      </c>
      <c r="DC110">
        <v>177060</v>
      </c>
      <c r="DD110">
        <v>828.2</v>
      </c>
      <c r="DF110">
        <v>84902.3</v>
      </c>
      <c r="DG110">
        <v>312.2</v>
      </c>
      <c r="DI110">
        <v>663.1</v>
      </c>
      <c r="DJ110">
        <v>54.3</v>
      </c>
      <c r="DL110">
        <v>609.4</v>
      </c>
      <c r="DM110">
        <v>80.599999999999994</v>
      </c>
      <c r="DO110">
        <v>72949.3</v>
      </c>
      <c r="DP110">
        <v>580.79999999999995</v>
      </c>
      <c r="DR110">
        <v>74274.399999999994</v>
      </c>
      <c r="DS110">
        <v>1026</v>
      </c>
      <c r="DU110">
        <v>452868.7</v>
      </c>
      <c r="DV110">
        <v>831.2</v>
      </c>
      <c r="DX110">
        <v>3481.1</v>
      </c>
      <c r="DY110">
        <v>135.1</v>
      </c>
      <c r="EA110">
        <v>20816.2</v>
      </c>
      <c r="EB110">
        <v>399.6</v>
      </c>
      <c r="ED110">
        <v>27771.9</v>
      </c>
      <c r="EE110">
        <v>624.79999999999995</v>
      </c>
      <c r="EG110">
        <v>704951.4</v>
      </c>
      <c r="EH110">
        <v>5889.2</v>
      </c>
      <c r="EJ110">
        <v>287438.90000000002</v>
      </c>
      <c r="EK110">
        <v>4003</v>
      </c>
      <c r="EM110">
        <v>75723.899999999994</v>
      </c>
      <c r="EN110">
        <v>1526.8</v>
      </c>
      <c r="EP110">
        <v>57633.4</v>
      </c>
      <c r="EQ110">
        <v>1359.9</v>
      </c>
      <c r="ES110">
        <v>951018.8</v>
      </c>
      <c r="ET110">
        <v>6690.8</v>
      </c>
      <c r="EV110">
        <v>28.9</v>
      </c>
      <c r="EW110">
        <v>7.9</v>
      </c>
      <c r="EY110">
        <v>15015.6</v>
      </c>
      <c r="EZ110">
        <v>232.7</v>
      </c>
      <c r="FB110">
        <v>346.7</v>
      </c>
      <c r="FC110">
        <v>27.3</v>
      </c>
      <c r="FE110">
        <v>3441.1</v>
      </c>
      <c r="FF110">
        <v>292.89999999999998</v>
      </c>
      <c r="FH110">
        <v>783</v>
      </c>
      <c r="FI110">
        <v>35.4</v>
      </c>
      <c r="FK110">
        <v>73795.8</v>
      </c>
      <c r="FL110">
        <v>514.79999999999995</v>
      </c>
      <c r="FN110">
        <v>16995.3</v>
      </c>
      <c r="FO110">
        <v>323.7</v>
      </c>
      <c r="FQ110">
        <v>14417.8</v>
      </c>
      <c r="FR110">
        <v>261.7</v>
      </c>
    </row>
    <row r="111" spans="1:174" x14ac:dyDescent="0.2">
      <c r="A111" t="s">
        <v>177</v>
      </c>
      <c r="B111">
        <v>149196.4</v>
      </c>
      <c r="C111">
        <v>2795.6</v>
      </c>
      <c r="E111">
        <v>33907.300000000003</v>
      </c>
      <c r="F111">
        <v>43.2</v>
      </c>
      <c r="H111">
        <v>898564.8</v>
      </c>
      <c r="I111">
        <v>13971.4</v>
      </c>
      <c r="K111">
        <v>1188565.5</v>
      </c>
      <c r="L111">
        <v>14597.4</v>
      </c>
      <c r="N111">
        <v>1381101.8</v>
      </c>
      <c r="O111">
        <v>8369.4</v>
      </c>
      <c r="Q111">
        <v>168783.5</v>
      </c>
      <c r="R111">
        <v>757.1</v>
      </c>
      <c r="T111">
        <v>1314489.2</v>
      </c>
      <c r="U111">
        <v>15921</v>
      </c>
      <c r="W111">
        <v>267115.3</v>
      </c>
      <c r="X111">
        <v>1172.8</v>
      </c>
      <c r="Z111">
        <v>527407.80000000005</v>
      </c>
      <c r="AA111">
        <v>7448.8</v>
      </c>
      <c r="AC111">
        <v>76394.600000000006</v>
      </c>
      <c r="AD111">
        <v>894.9</v>
      </c>
      <c r="AF111" s="27">
        <v>3005250.7</v>
      </c>
      <c r="AG111">
        <v>27588.2</v>
      </c>
      <c r="AI111" s="28">
        <v>303641.8</v>
      </c>
      <c r="AJ111">
        <v>2035</v>
      </c>
      <c r="AL111">
        <v>303967.3</v>
      </c>
      <c r="AM111">
        <v>1107.5999999999999</v>
      </c>
      <c r="AO111">
        <v>1501299.5</v>
      </c>
      <c r="AP111">
        <v>14681.4</v>
      </c>
      <c r="AR111">
        <v>630713.30000000005</v>
      </c>
      <c r="AS111">
        <v>2273.3000000000002</v>
      </c>
      <c r="AU111">
        <v>1691348.8</v>
      </c>
      <c r="AV111">
        <v>29649.200000000001</v>
      </c>
      <c r="AX111">
        <v>1545316</v>
      </c>
      <c r="AY111">
        <v>7615</v>
      </c>
      <c r="BA111">
        <v>317972.3</v>
      </c>
      <c r="BB111">
        <v>2327.3000000000002</v>
      </c>
      <c r="BD111">
        <v>271815.2</v>
      </c>
      <c r="BE111">
        <v>1305.9000000000001</v>
      </c>
      <c r="BG111">
        <v>260302.9</v>
      </c>
      <c r="BH111">
        <v>3903.9</v>
      </c>
      <c r="BJ111">
        <v>1819908</v>
      </c>
      <c r="BK111">
        <v>19168.5</v>
      </c>
      <c r="BM111">
        <v>488855.5</v>
      </c>
      <c r="BN111">
        <v>3908.7</v>
      </c>
      <c r="BP111">
        <v>367673.7</v>
      </c>
      <c r="BQ111">
        <v>5196.1000000000004</v>
      </c>
      <c r="BS111">
        <v>685489.1</v>
      </c>
      <c r="BT111">
        <v>21049.200000000001</v>
      </c>
      <c r="BV111">
        <v>292460.79999999999</v>
      </c>
      <c r="BW111">
        <v>4514</v>
      </c>
      <c r="BY111">
        <v>1202797.5</v>
      </c>
      <c r="BZ111">
        <v>9185.1</v>
      </c>
      <c r="CB111">
        <v>403507</v>
      </c>
      <c r="CC111">
        <v>3456.8</v>
      </c>
      <c r="CE111">
        <v>340427.9</v>
      </c>
      <c r="CF111">
        <v>8049.2</v>
      </c>
      <c r="CH111">
        <v>870901.5</v>
      </c>
      <c r="CI111">
        <v>2051.4</v>
      </c>
      <c r="CK111">
        <v>1312559.3</v>
      </c>
      <c r="CL111">
        <v>4418.3999999999996</v>
      </c>
      <c r="CN111">
        <v>395115</v>
      </c>
      <c r="CO111">
        <v>4340.8999999999996</v>
      </c>
      <c r="CQ111">
        <v>243830.9</v>
      </c>
      <c r="CR111">
        <v>2979</v>
      </c>
      <c r="CT111">
        <v>192675.8</v>
      </c>
      <c r="CU111">
        <v>246.3</v>
      </c>
      <c r="CW111">
        <v>658584.69999999995</v>
      </c>
      <c r="CX111">
        <v>1758.6</v>
      </c>
      <c r="CZ111">
        <v>3408.7</v>
      </c>
      <c r="DA111">
        <v>57.5</v>
      </c>
      <c r="DC111">
        <v>107816.2</v>
      </c>
      <c r="DD111">
        <v>889.1</v>
      </c>
      <c r="DF111">
        <v>22037.5</v>
      </c>
      <c r="DG111">
        <v>275.7</v>
      </c>
      <c r="DI111">
        <v>5310.3</v>
      </c>
      <c r="DJ111">
        <v>195.2</v>
      </c>
      <c r="DL111">
        <v>76513.8</v>
      </c>
      <c r="DM111">
        <v>1274.2</v>
      </c>
      <c r="DO111">
        <v>67700.399999999994</v>
      </c>
      <c r="DP111">
        <v>1251.2</v>
      </c>
      <c r="DR111">
        <v>87020.2</v>
      </c>
      <c r="DS111">
        <v>798.2</v>
      </c>
      <c r="DU111">
        <v>274662.7</v>
      </c>
      <c r="DV111">
        <v>2160.6</v>
      </c>
      <c r="DX111">
        <v>79024.600000000006</v>
      </c>
      <c r="DY111">
        <v>667.3</v>
      </c>
      <c r="EA111">
        <v>18058.8</v>
      </c>
      <c r="EB111">
        <v>370.6</v>
      </c>
      <c r="ED111">
        <v>37759.699999999997</v>
      </c>
      <c r="EE111">
        <v>555.5</v>
      </c>
      <c r="EG111">
        <v>18961.400000000001</v>
      </c>
      <c r="EH111">
        <v>426.8</v>
      </c>
      <c r="EJ111">
        <v>257825.1</v>
      </c>
      <c r="EK111">
        <v>1890.6</v>
      </c>
      <c r="EM111">
        <v>30857</v>
      </c>
      <c r="EN111">
        <v>284.10000000000002</v>
      </c>
      <c r="EP111">
        <v>59992.800000000003</v>
      </c>
      <c r="EQ111">
        <v>425.2</v>
      </c>
      <c r="ES111">
        <v>166687.29999999999</v>
      </c>
      <c r="ET111">
        <v>528.29999999999995</v>
      </c>
      <c r="EV111">
        <v>2952.8</v>
      </c>
      <c r="EW111">
        <v>38.200000000000003</v>
      </c>
      <c r="EY111">
        <v>2480</v>
      </c>
      <c r="EZ111">
        <v>110.9</v>
      </c>
      <c r="FB111">
        <v>303.2</v>
      </c>
      <c r="FC111">
        <v>41.9</v>
      </c>
      <c r="FE111">
        <v>2560.6999999999998</v>
      </c>
      <c r="FF111">
        <v>111.2</v>
      </c>
      <c r="FH111">
        <v>825.3</v>
      </c>
      <c r="FI111">
        <v>63.6</v>
      </c>
      <c r="FK111">
        <v>65481.5</v>
      </c>
      <c r="FL111">
        <v>1063.4000000000001</v>
      </c>
      <c r="FN111">
        <v>6847.2</v>
      </c>
      <c r="FO111">
        <v>52.9</v>
      </c>
      <c r="FQ111">
        <v>14165.5</v>
      </c>
      <c r="FR111">
        <v>276.3</v>
      </c>
    </row>
    <row r="112" spans="1:174" x14ac:dyDescent="0.2">
      <c r="A112" t="s">
        <v>178</v>
      </c>
      <c r="B112">
        <v>9771.7000000000007</v>
      </c>
      <c r="C112">
        <v>134.80000000000001</v>
      </c>
      <c r="E112">
        <v>776.8</v>
      </c>
      <c r="F112">
        <v>2.4</v>
      </c>
      <c r="H112">
        <v>8074.1</v>
      </c>
      <c r="I112">
        <v>210.2</v>
      </c>
      <c r="K112">
        <v>26044.7</v>
      </c>
      <c r="L112">
        <v>309</v>
      </c>
      <c r="N112">
        <v>253.1</v>
      </c>
      <c r="O112">
        <v>30.8</v>
      </c>
      <c r="Q112">
        <v>530.29999999999995</v>
      </c>
      <c r="R112">
        <v>106.7</v>
      </c>
      <c r="T112">
        <v>1445.8</v>
      </c>
      <c r="U112">
        <v>81.7</v>
      </c>
      <c r="W112">
        <v>1079.8</v>
      </c>
      <c r="X112">
        <v>98</v>
      </c>
      <c r="Z112">
        <v>1771.1</v>
      </c>
      <c r="AA112">
        <v>56.8</v>
      </c>
      <c r="AC112">
        <v>52.1</v>
      </c>
      <c r="AD112">
        <v>18</v>
      </c>
      <c r="AF112" s="27">
        <v>2910993.3</v>
      </c>
      <c r="AG112">
        <v>65236.3</v>
      </c>
      <c r="AI112" s="28">
        <v>1642.9</v>
      </c>
      <c r="AJ112">
        <v>110.2</v>
      </c>
      <c r="AL112">
        <v>4981.3</v>
      </c>
      <c r="AM112">
        <v>393.8</v>
      </c>
      <c r="AO112">
        <v>2106.9</v>
      </c>
      <c r="AP112">
        <v>28.4</v>
      </c>
      <c r="AR112">
        <v>5518.4</v>
      </c>
      <c r="AS112">
        <v>165.3</v>
      </c>
      <c r="AU112">
        <v>344.8</v>
      </c>
      <c r="AV112">
        <v>44.3</v>
      </c>
      <c r="AX112">
        <v>195.8</v>
      </c>
      <c r="AY112">
        <v>14.4</v>
      </c>
      <c r="BA112">
        <v>134.4</v>
      </c>
      <c r="BB112">
        <v>19</v>
      </c>
      <c r="BD112">
        <v>399</v>
      </c>
      <c r="BE112">
        <v>28.2</v>
      </c>
      <c r="BG112">
        <v>290.60000000000002</v>
      </c>
      <c r="BH112">
        <v>57.3</v>
      </c>
      <c r="BJ112">
        <v>378.2</v>
      </c>
      <c r="BK112">
        <v>39.1</v>
      </c>
      <c r="BM112">
        <v>189.6</v>
      </c>
      <c r="BN112">
        <v>49.9</v>
      </c>
      <c r="BP112">
        <v>1772.2</v>
      </c>
      <c r="BQ112">
        <v>304.8</v>
      </c>
      <c r="BS112">
        <v>664364.30000000005</v>
      </c>
      <c r="BT112">
        <v>4344.3999999999996</v>
      </c>
      <c r="BV112">
        <v>2319.6999999999998</v>
      </c>
      <c r="BW112">
        <v>122.6</v>
      </c>
      <c r="BY112">
        <v>292.7</v>
      </c>
      <c r="BZ112">
        <v>11.8</v>
      </c>
      <c r="CB112">
        <v>606.4</v>
      </c>
      <c r="CC112">
        <v>28.2</v>
      </c>
      <c r="CE112">
        <v>654.4</v>
      </c>
      <c r="CF112">
        <v>28.2</v>
      </c>
      <c r="CH112">
        <v>1343.6</v>
      </c>
      <c r="CI112">
        <v>76.599999999999994</v>
      </c>
      <c r="CK112">
        <v>1027.5999999999999</v>
      </c>
      <c r="CL112">
        <v>86.2</v>
      </c>
      <c r="CN112">
        <v>34537.199999999997</v>
      </c>
      <c r="CO112">
        <v>80.5</v>
      </c>
      <c r="CQ112">
        <v>8187.3</v>
      </c>
      <c r="CR112">
        <v>263.10000000000002</v>
      </c>
      <c r="CT112">
        <v>12202</v>
      </c>
      <c r="CU112">
        <v>350.9</v>
      </c>
      <c r="CW112">
        <v>442506.3</v>
      </c>
      <c r="CX112">
        <v>922.3</v>
      </c>
      <c r="CZ112">
        <v>527.9</v>
      </c>
      <c r="DA112">
        <v>26.5</v>
      </c>
      <c r="DC112">
        <v>23055.1</v>
      </c>
      <c r="DD112">
        <v>367.2</v>
      </c>
      <c r="DF112">
        <v>7099.7</v>
      </c>
      <c r="DG112">
        <v>157.30000000000001</v>
      </c>
      <c r="DI112">
        <v>13</v>
      </c>
      <c r="DJ112">
        <v>5.8</v>
      </c>
      <c r="DL112">
        <v>190.8</v>
      </c>
      <c r="DM112">
        <v>78.599999999999994</v>
      </c>
      <c r="DO112">
        <v>532.5</v>
      </c>
      <c r="DP112">
        <v>53.6</v>
      </c>
      <c r="DR112">
        <v>144.4</v>
      </c>
      <c r="DS112">
        <v>54.7</v>
      </c>
      <c r="DU112">
        <v>2569.8000000000002</v>
      </c>
      <c r="DV112">
        <v>247.6</v>
      </c>
      <c r="DX112">
        <v>42.6</v>
      </c>
      <c r="DY112">
        <v>8.5</v>
      </c>
      <c r="EA112">
        <v>149.1</v>
      </c>
      <c r="EB112">
        <v>6.4</v>
      </c>
      <c r="ED112">
        <v>262</v>
      </c>
      <c r="EE112">
        <v>35.799999999999997</v>
      </c>
      <c r="EG112">
        <v>548.20000000000005</v>
      </c>
      <c r="EH112">
        <v>35.4</v>
      </c>
      <c r="EJ112">
        <v>253472.1</v>
      </c>
      <c r="EK112">
        <v>3847.5</v>
      </c>
      <c r="EM112">
        <v>170.8</v>
      </c>
      <c r="EN112">
        <v>11.4</v>
      </c>
      <c r="EP112">
        <v>58726</v>
      </c>
      <c r="EQ112">
        <v>1859.8</v>
      </c>
      <c r="ES112">
        <v>20068.099999999999</v>
      </c>
      <c r="ET112">
        <v>782.4</v>
      </c>
      <c r="EV112">
        <v>0.7</v>
      </c>
      <c r="EW112">
        <v>1.2</v>
      </c>
      <c r="EY112">
        <v>135.80000000000001</v>
      </c>
      <c r="EZ112">
        <v>28.3</v>
      </c>
      <c r="FB112">
        <v>273.8</v>
      </c>
      <c r="FC112">
        <v>50.8</v>
      </c>
      <c r="FE112">
        <v>2982.4</v>
      </c>
      <c r="FF112">
        <v>19.899999999999999</v>
      </c>
      <c r="FH112">
        <v>791.3</v>
      </c>
      <c r="FI112">
        <v>48.7</v>
      </c>
      <c r="FK112">
        <v>63600</v>
      </c>
      <c r="FL112">
        <v>1275.5999999999999</v>
      </c>
      <c r="FN112">
        <v>39.799999999999997</v>
      </c>
      <c r="FO112">
        <v>7</v>
      </c>
      <c r="FQ112">
        <v>14059.8</v>
      </c>
      <c r="FR112">
        <v>59</v>
      </c>
    </row>
    <row r="113" spans="1:174" x14ac:dyDescent="0.2">
      <c r="A113" t="s">
        <v>179</v>
      </c>
      <c r="B113">
        <v>8810.1</v>
      </c>
      <c r="C113">
        <v>162.4</v>
      </c>
      <c r="E113">
        <v>696.2</v>
      </c>
      <c r="F113">
        <v>50.6</v>
      </c>
      <c r="H113">
        <v>21983.4</v>
      </c>
      <c r="I113">
        <v>308.8</v>
      </c>
      <c r="K113">
        <v>64621.5</v>
      </c>
      <c r="L113">
        <v>852.7</v>
      </c>
      <c r="N113">
        <v>632.5</v>
      </c>
      <c r="O113">
        <v>43.8</v>
      </c>
      <c r="Q113">
        <v>3379.3</v>
      </c>
      <c r="R113">
        <v>39.700000000000003</v>
      </c>
      <c r="T113">
        <v>1383.2</v>
      </c>
      <c r="U113">
        <v>75.599999999999994</v>
      </c>
      <c r="W113">
        <v>949.5</v>
      </c>
      <c r="X113">
        <v>117.6</v>
      </c>
      <c r="Z113">
        <v>3743.3</v>
      </c>
      <c r="AA113">
        <v>350.5</v>
      </c>
      <c r="AC113">
        <v>572</v>
      </c>
      <c r="AD113">
        <v>41</v>
      </c>
      <c r="AF113" s="27">
        <v>2906262.7</v>
      </c>
      <c r="AG113">
        <v>10355.9</v>
      </c>
      <c r="AI113" s="28">
        <v>1014432.8</v>
      </c>
      <c r="AJ113">
        <v>13050.9</v>
      </c>
      <c r="AL113">
        <v>94907.9</v>
      </c>
      <c r="AM113">
        <v>1098.5999999999999</v>
      </c>
      <c r="AO113">
        <v>17488.099999999999</v>
      </c>
      <c r="AP113">
        <v>228.4</v>
      </c>
      <c r="AR113">
        <v>30397.3</v>
      </c>
      <c r="AS113">
        <v>107.2</v>
      </c>
      <c r="AU113">
        <v>3219.7</v>
      </c>
      <c r="AV113">
        <v>175.2</v>
      </c>
      <c r="AX113">
        <v>6624</v>
      </c>
      <c r="AY113">
        <v>439.7</v>
      </c>
      <c r="BA113">
        <v>265.60000000000002</v>
      </c>
      <c r="BB113">
        <v>20.5</v>
      </c>
      <c r="BD113">
        <v>346.9</v>
      </c>
      <c r="BE113">
        <v>14.4</v>
      </c>
      <c r="BG113">
        <v>231.3</v>
      </c>
      <c r="BH113">
        <v>50</v>
      </c>
      <c r="BJ113">
        <v>201</v>
      </c>
      <c r="BK113">
        <v>26.6</v>
      </c>
      <c r="BM113">
        <v>133.30000000000001</v>
      </c>
      <c r="BN113">
        <v>37</v>
      </c>
      <c r="BP113">
        <v>5076.1000000000004</v>
      </c>
      <c r="BQ113">
        <v>93.1</v>
      </c>
      <c r="BS113">
        <v>663700.6</v>
      </c>
      <c r="BT113">
        <v>9158</v>
      </c>
      <c r="BV113">
        <v>2322.8000000000002</v>
      </c>
      <c r="BW113">
        <v>159.80000000000001</v>
      </c>
      <c r="BY113">
        <v>1329</v>
      </c>
      <c r="BZ113">
        <v>42.1</v>
      </c>
      <c r="CB113">
        <v>32268.7</v>
      </c>
      <c r="CC113">
        <v>959.3</v>
      </c>
      <c r="CE113">
        <v>27017.599999999999</v>
      </c>
      <c r="CF113">
        <v>153.6</v>
      </c>
      <c r="CH113">
        <v>66564</v>
      </c>
      <c r="CI113">
        <v>496.4</v>
      </c>
      <c r="CK113">
        <v>18785.3</v>
      </c>
      <c r="CL113">
        <v>346.1</v>
      </c>
      <c r="CN113">
        <v>512760.9</v>
      </c>
      <c r="CO113">
        <v>4462.3999999999996</v>
      </c>
      <c r="CQ113">
        <v>51300.5</v>
      </c>
      <c r="CR113">
        <v>166.1</v>
      </c>
      <c r="CT113">
        <v>111639.8</v>
      </c>
      <c r="CU113">
        <v>1113.7</v>
      </c>
      <c r="CW113">
        <v>706738.7</v>
      </c>
      <c r="CX113">
        <v>6573</v>
      </c>
      <c r="CZ113">
        <v>48008</v>
      </c>
      <c r="DA113">
        <v>823.4</v>
      </c>
      <c r="DC113">
        <v>52552.3</v>
      </c>
      <c r="DD113">
        <v>756.7</v>
      </c>
      <c r="DF113">
        <v>32679.9</v>
      </c>
      <c r="DG113">
        <v>450</v>
      </c>
      <c r="DI113">
        <v>165.7</v>
      </c>
      <c r="DJ113">
        <v>32.6</v>
      </c>
      <c r="DL113">
        <v>390.8</v>
      </c>
      <c r="DM113">
        <v>46.7</v>
      </c>
      <c r="DO113">
        <v>30531.1</v>
      </c>
      <c r="DP113">
        <v>882.4</v>
      </c>
      <c r="DR113">
        <v>22410.400000000001</v>
      </c>
      <c r="DS113">
        <v>839.4</v>
      </c>
      <c r="DU113">
        <v>302675.40000000002</v>
      </c>
      <c r="DV113">
        <v>11069</v>
      </c>
      <c r="DX113">
        <v>3111.2</v>
      </c>
      <c r="DY113">
        <v>67</v>
      </c>
      <c r="EA113">
        <v>8781.6</v>
      </c>
      <c r="EB113">
        <v>357.7</v>
      </c>
      <c r="ED113">
        <v>11111.1</v>
      </c>
      <c r="EE113">
        <v>432.6</v>
      </c>
      <c r="EG113">
        <v>21255</v>
      </c>
      <c r="EH113">
        <v>714.2</v>
      </c>
      <c r="EJ113">
        <v>242660.9</v>
      </c>
      <c r="EK113">
        <v>6761.1</v>
      </c>
      <c r="EM113">
        <v>102946.6</v>
      </c>
      <c r="EN113">
        <v>2466</v>
      </c>
      <c r="EP113">
        <v>57094.1</v>
      </c>
      <c r="EQ113">
        <v>933.8</v>
      </c>
      <c r="ES113">
        <v>241979.9</v>
      </c>
      <c r="ET113">
        <v>3574.7</v>
      </c>
      <c r="EV113">
        <v>1.7</v>
      </c>
      <c r="EW113">
        <v>2.9</v>
      </c>
      <c r="EY113">
        <v>3179.4</v>
      </c>
      <c r="EZ113">
        <v>38.9</v>
      </c>
      <c r="FB113">
        <v>337.8</v>
      </c>
      <c r="FC113">
        <v>37.700000000000003</v>
      </c>
      <c r="FE113">
        <v>3443.8</v>
      </c>
      <c r="FF113">
        <v>161.1</v>
      </c>
      <c r="FH113">
        <v>744</v>
      </c>
      <c r="FI113">
        <v>40.1</v>
      </c>
      <c r="FK113">
        <v>63586</v>
      </c>
      <c r="FL113">
        <v>941.8</v>
      </c>
      <c r="FN113">
        <v>23040.1</v>
      </c>
      <c r="FO113">
        <v>285.5</v>
      </c>
      <c r="FQ113">
        <v>13783.7</v>
      </c>
      <c r="FR113">
        <v>161.5</v>
      </c>
    </row>
    <row r="114" spans="1:174" x14ac:dyDescent="0.2">
      <c r="A114" t="s">
        <v>180</v>
      </c>
      <c r="B114">
        <v>9016.2000000000007</v>
      </c>
      <c r="C114">
        <v>546.20000000000005</v>
      </c>
      <c r="E114">
        <v>754.5</v>
      </c>
      <c r="F114">
        <v>39.799999999999997</v>
      </c>
      <c r="H114">
        <v>42668.2</v>
      </c>
      <c r="I114">
        <v>742.9</v>
      </c>
      <c r="K114">
        <v>93108.4</v>
      </c>
      <c r="L114">
        <v>1020.6</v>
      </c>
      <c r="N114">
        <v>787.8</v>
      </c>
      <c r="O114">
        <v>113.8</v>
      </c>
      <c r="Q114">
        <v>3389.7</v>
      </c>
      <c r="R114">
        <v>95</v>
      </c>
      <c r="T114">
        <v>1403.1</v>
      </c>
      <c r="U114">
        <v>62.6</v>
      </c>
      <c r="W114">
        <v>1078.8</v>
      </c>
      <c r="X114">
        <v>128.69999999999999</v>
      </c>
      <c r="Z114">
        <v>13294.8</v>
      </c>
      <c r="AA114">
        <v>196.3</v>
      </c>
      <c r="AC114">
        <v>1225.8</v>
      </c>
      <c r="AD114">
        <v>94</v>
      </c>
      <c r="AF114" s="27">
        <v>2864924</v>
      </c>
      <c r="AG114">
        <v>30047</v>
      </c>
      <c r="AI114" s="28">
        <v>815652.3</v>
      </c>
      <c r="AJ114">
        <v>11076.2</v>
      </c>
      <c r="AL114">
        <v>164896.4</v>
      </c>
      <c r="AM114">
        <v>220.4</v>
      </c>
      <c r="AO114">
        <v>20580</v>
      </c>
      <c r="AP114">
        <v>235.2</v>
      </c>
      <c r="AR114">
        <v>48129.5</v>
      </c>
      <c r="AS114">
        <v>285.5</v>
      </c>
      <c r="AU114">
        <v>2329</v>
      </c>
      <c r="AV114">
        <v>156.19999999999999</v>
      </c>
      <c r="AX114">
        <v>3310.4</v>
      </c>
      <c r="AY114">
        <v>61.2</v>
      </c>
      <c r="BA114">
        <v>256.3</v>
      </c>
      <c r="BB114">
        <v>65.5</v>
      </c>
      <c r="BD114">
        <v>442.8</v>
      </c>
      <c r="BE114">
        <v>26.6</v>
      </c>
      <c r="BG114">
        <v>241.7</v>
      </c>
      <c r="BH114">
        <v>14.8</v>
      </c>
      <c r="BJ114">
        <v>201.1</v>
      </c>
      <c r="BK114">
        <v>47</v>
      </c>
      <c r="BM114">
        <v>116.7</v>
      </c>
      <c r="BN114">
        <v>18.3</v>
      </c>
      <c r="BP114">
        <v>2343.6999999999998</v>
      </c>
      <c r="BQ114">
        <v>126.5</v>
      </c>
      <c r="BS114">
        <v>662039.80000000005</v>
      </c>
      <c r="BT114">
        <v>1169.5</v>
      </c>
      <c r="BV114">
        <v>2423.9</v>
      </c>
      <c r="BW114">
        <v>103.7</v>
      </c>
      <c r="BY114">
        <v>4085.3</v>
      </c>
      <c r="BZ114">
        <v>90.7</v>
      </c>
      <c r="CB114">
        <v>106427</v>
      </c>
      <c r="CC114">
        <v>1542.8</v>
      </c>
      <c r="CE114">
        <v>89008.8</v>
      </c>
      <c r="CF114">
        <v>757.4</v>
      </c>
      <c r="CH114">
        <v>217925.2</v>
      </c>
      <c r="CI114">
        <v>2604.5</v>
      </c>
      <c r="CK114">
        <v>120763.4</v>
      </c>
      <c r="CL114">
        <v>618.6</v>
      </c>
      <c r="CN114">
        <v>552921.80000000005</v>
      </c>
      <c r="CO114">
        <v>2879.2</v>
      </c>
      <c r="CQ114">
        <v>76788.5</v>
      </c>
      <c r="CR114">
        <v>1187.5</v>
      </c>
      <c r="CT114">
        <v>180518.9</v>
      </c>
      <c r="CU114">
        <v>1718.9</v>
      </c>
      <c r="CW114">
        <v>823957.3</v>
      </c>
      <c r="CX114">
        <v>10522</v>
      </c>
      <c r="CZ114">
        <v>38177.4</v>
      </c>
      <c r="DA114">
        <v>377.9</v>
      </c>
      <c r="DC114">
        <v>84092.1</v>
      </c>
      <c r="DD114">
        <v>1351.1</v>
      </c>
      <c r="DF114">
        <v>37194.300000000003</v>
      </c>
      <c r="DG114">
        <v>221.3</v>
      </c>
      <c r="DI114">
        <v>215.7</v>
      </c>
      <c r="DJ114">
        <v>54.6</v>
      </c>
      <c r="DL114">
        <v>351.9</v>
      </c>
      <c r="DM114">
        <v>28.4</v>
      </c>
      <c r="DO114">
        <v>33343.199999999997</v>
      </c>
      <c r="DP114">
        <v>246.6</v>
      </c>
      <c r="DR114">
        <v>29292.5</v>
      </c>
      <c r="DS114">
        <v>896</v>
      </c>
      <c r="DU114">
        <v>623965.9</v>
      </c>
      <c r="DV114">
        <v>6976.9</v>
      </c>
      <c r="DX114">
        <v>1448.2</v>
      </c>
      <c r="DY114">
        <v>67.900000000000006</v>
      </c>
      <c r="EA114">
        <v>7636.5</v>
      </c>
      <c r="EB114">
        <v>131.1</v>
      </c>
      <c r="ED114">
        <v>39202.199999999997</v>
      </c>
      <c r="EE114">
        <v>390.3</v>
      </c>
      <c r="EG114">
        <v>34018</v>
      </c>
      <c r="EH114">
        <v>295.10000000000002</v>
      </c>
      <c r="EJ114">
        <v>247626.9</v>
      </c>
      <c r="EK114">
        <v>1154.3</v>
      </c>
      <c r="EM114">
        <v>82259.3</v>
      </c>
      <c r="EN114">
        <v>835.4</v>
      </c>
      <c r="EP114">
        <v>57292.9</v>
      </c>
      <c r="EQ114">
        <v>1148</v>
      </c>
      <c r="ES114">
        <v>376824.9</v>
      </c>
      <c r="ET114">
        <v>4155.1000000000004</v>
      </c>
      <c r="EV114">
        <v>1.7</v>
      </c>
      <c r="EW114">
        <v>2.9</v>
      </c>
      <c r="EY114">
        <v>8130.8</v>
      </c>
      <c r="EZ114">
        <v>146.4</v>
      </c>
      <c r="FB114">
        <v>391</v>
      </c>
      <c r="FC114">
        <v>100.7</v>
      </c>
      <c r="FE114">
        <v>3385.7</v>
      </c>
      <c r="FF114">
        <v>214.2</v>
      </c>
      <c r="FH114">
        <v>696.7</v>
      </c>
      <c r="FI114">
        <v>56.5</v>
      </c>
      <c r="FK114">
        <v>63477.5</v>
      </c>
      <c r="FL114">
        <v>1017.9</v>
      </c>
      <c r="FN114">
        <v>18227.3</v>
      </c>
      <c r="FO114">
        <v>344.7</v>
      </c>
      <c r="FQ114">
        <v>13770.4</v>
      </c>
      <c r="FR114">
        <v>294.39999999999998</v>
      </c>
    </row>
    <row r="115" spans="1:174" x14ac:dyDescent="0.2">
      <c r="A115" t="s">
        <v>181</v>
      </c>
      <c r="B115">
        <v>9119</v>
      </c>
      <c r="C115">
        <v>971.8</v>
      </c>
      <c r="E115">
        <v>641.70000000000005</v>
      </c>
      <c r="F115">
        <v>134.9</v>
      </c>
      <c r="H115">
        <v>50405.5</v>
      </c>
      <c r="I115">
        <v>1920.6</v>
      </c>
      <c r="K115">
        <v>296906.5</v>
      </c>
      <c r="L115">
        <v>38326.199999999997</v>
      </c>
      <c r="N115">
        <v>1577.2</v>
      </c>
      <c r="O115">
        <v>429.8</v>
      </c>
      <c r="Q115">
        <v>2598.1</v>
      </c>
      <c r="R115">
        <v>461.6</v>
      </c>
      <c r="T115">
        <v>1387.4</v>
      </c>
      <c r="U115">
        <v>125.2</v>
      </c>
      <c r="W115">
        <v>1036</v>
      </c>
      <c r="X115">
        <v>70.3</v>
      </c>
      <c r="Z115">
        <v>8359.7999999999993</v>
      </c>
      <c r="AA115">
        <v>154.30000000000001</v>
      </c>
      <c r="AC115">
        <v>1373.9</v>
      </c>
      <c r="AD115">
        <v>37.299999999999997</v>
      </c>
      <c r="AF115" s="27">
        <v>2903041</v>
      </c>
      <c r="AG115">
        <v>19913.400000000001</v>
      </c>
      <c r="AI115" s="28">
        <v>811274</v>
      </c>
      <c r="AJ115">
        <v>18160.099999999999</v>
      </c>
      <c r="AL115">
        <v>154830.29999999999</v>
      </c>
      <c r="AM115">
        <v>1212</v>
      </c>
      <c r="AO115">
        <v>13552.6</v>
      </c>
      <c r="AP115">
        <v>112.8</v>
      </c>
      <c r="AR115">
        <v>158466.1</v>
      </c>
      <c r="AS115">
        <v>2127.3000000000002</v>
      </c>
      <c r="AU115">
        <v>4169.8</v>
      </c>
      <c r="AV115">
        <v>87.6</v>
      </c>
      <c r="AX115">
        <v>5972.1</v>
      </c>
      <c r="AY115">
        <v>226</v>
      </c>
      <c r="BA115">
        <v>535.6</v>
      </c>
      <c r="BB115">
        <v>92.3</v>
      </c>
      <c r="BD115">
        <v>363.6</v>
      </c>
      <c r="BE115">
        <v>51.6</v>
      </c>
      <c r="BG115">
        <v>328.2</v>
      </c>
      <c r="BH115">
        <v>37.9</v>
      </c>
      <c r="BJ115">
        <v>246.9</v>
      </c>
      <c r="BK115">
        <v>27.1</v>
      </c>
      <c r="BM115">
        <v>210.4</v>
      </c>
      <c r="BN115">
        <v>39.299999999999997</v>
      </c>
      <c r="BP115">
        <v>1902.5</v>
      </c>
      <c r="BQ115">
        <v>70</v>
      </c>
      <c r="BS115">
        <v>659205.4</v>
      </c>
      <c r="BT115">
        <v>19450</v>
      </c>
      <c r="BV115">
        <v>2544.9</v>
      </c>
      <c r="BW115">
        <v>82.6</v>
      </c>
      <c r="BY115">
        <v>4213.6000000000004</v>
      </c>
      <c r="BZ115">
        <v>25.6</v>
      </c>
      <c r="CB115">
        <v>75320.3</v>
      </c>
      <c r="CC115">
        <v>484.3</v>
      </c>
      <c r="CE115">
        <v>63396.800000000003</v>
      </c>
      <c r="CF115">
        <v>113.7</v>
      </c>
      <c r="CH115">
        <v>158799.1</v>
      </c>
      <c r="CI115">
        <v>1321.7</v>
      </c>
      <c r="CK115">
        <v>22165.599999999999</v>
      </c>
      <c r="CL115">
        <v>174.7</v>
      </c>
      <c r="CN115">
        <v>718530.5</v>
      </c>
      <c r="CO115">
        <v>5849.9</v>
      </c>
      <c r="CQ115">
        <v>297432.5</v>
      </c>
      <c r="CR115">
        <v>2497.8000000000002</v>
      </c>
      <c r="CT115">
        <v>213297.3</v>
      </c>
      <c r="CU115">
        <v>3013.7</v>
      </c>
      <c r="CW115">
        <v>717234.4</v>
      </c>
      <c r="CX115">
        <v>2506.1999999999998</v>
      </c>
      <c r="CZ115">
        <v>52396.2</v>
      </c>
      <c r="DA115">
        <v>598.9</v>
      </c>
      <c r="DC115">
        <v>126602.7</v>
      </c>
      <c r="DD115">
        <v>622.6</v>
      </c>
      <c r="DF115">
        <v>66271</v>
      </c>
      <c r="DG115">
        <v>84</v>
      </c>
      <c r="DI115">
        <v>557.5</v>
      </c>
      <c r="DJ115">
        <v>44.4</v>
      </c>
      <c r="DL115">
        <v>405.6</v>
      </c>
      <c r="DM115">
        <v>52.8</v>
      </c>
      <c r="DO115">
        <v>25966.799999999999</v>
      </c>
      <c r="DP115">
        <v>440.1</v>
      </c>
      <c r="DR115">
        <v>80942.600000000006</v>
      </c>
      <c r="DS115">
        <v>271.89999999999998</v>
      </c>
      <c r="DU115">
        <v>471301.7</v>
      </c>
      <c r="DV115">
        <v>2022.4</v>
      </c>
      <c r="DX115">
        <v>2083.1999999999998</v>
      </c>
      <c r="DY115">
        <v>94.7</v>
      </c>
      <c r="EA115">
        <v>9592.2000000000007</v>
      </c>
      <c r="EB115">
        <v>129.6</v>
      </c>
      <c r="ED115">
        <v>21358.1</v>
      </c>
      <c r="EE115">
        <v>79.5</v>
      </c>
      <c r="EG115">
        <v>35702.300000000003</v>
      </c>
      <c r="EH115">
        <v>488.2</v>
      </c>
      <c r="EJ115">
        <v>249544.7</v>
      </c>
      <c r="EK115">
        <v>524.4</v>
      </c>
      <c r="EM115">
        <v>82037.3</v>
      </c>
      <c r="EN115">
        <v>977.1</v>
      </c>
      <c r="EP115">
        <v>57449.3</v>
      </c>
      <c r="EQ115">
        <v>694.6</v>
      </c>
      <c r="ES115">
        <v>485479.9</v>
      </c>
      <c r="ET115">
        <v>2670.5</v>
      </c>
      <c r="EV115">
        <v>1.1000000000000001</v>
      </c>
      <c r="EW115">
        <v>1</v>
      </c>
      <c r="EY115">
        <v>21279.5</v>
      </c>
      <c r="EZ115">
        <v>384.1</v>
      </c>
      <c r="FB115">
        <v>218.8</v>
      </c>
      <c r="FC115">
        <v>37.299999999999997</v>
      </c>
      <c r="FE115">
        <v>2095.1</v>
      </c>
      <c r="FF115">
        <v>198.3</v>
      </c>
      <c r="FH115">
        <v>683.9</v>
      </c>
      <c r="FI115">
        <v>71.8</v>
      </c>
      <c r="FK115">
        <v>62868.6</v>
      </c>
      <c r="FL115">
        <v>656.3</v>
      </c>
      <c r="FN115">
        <v>18634</v>
      </c>
      <c r="FO115">
        <v>220.4</v>
      </c>
      <c r="FQ115">
        <v>13472.5</v>
      </c>
      <c r="FR115">
        <v>275.8</v>
      </c>
    </row>
    <row r="116" spans="1:174" x14ac:dyDescent="0.2">
      <c r="A116" t="s">
        <v>182</v>
      </c>
      <c r="B116">
        <v>9523.1</v>
      </c>
      <c r="C116">
        <v>147.30000000000001</v>
      </c>
      <c r="E116">
        <v>743.5</v>
      </c>
      <c r="F116">
        <v>30.1</v>
      </c>
      <c r="H116">
        <v>129846.8</v>
      </c>
      <c r="I116">
        <v>818.5</v>
      </c>
      <c r="K116">
        <v>920430.6</v>
      </c>
      <c r="L116">
        <v>6463.3</v>
      </c>
      <c r="N116">
        <v>4001.9</v>
      </c>
      <c r="O116">
        <v>140.30000000000001</v>
      </c>
      <c r="Q116">
        <v>14441.6</v>
      </c>
      <c r="R116">
        <v>262.39999999999998</v>
      </c>
      <c r="T116">
        <v>1457.3</v>
      </c>
      <c r="U116">
        <v>91.7</v>
      </c>
      <c r="W116">
        <v>1113.2</v>
      </c>
      <c r="X116">
        <v>50.4</v>
      </c>
      <c r="Z116">
        <v>9782.7999999999993</v>
      </c>
      <c r="AA116">
        <v>149.30000000000001</v>
      </c>
      <c r="AC116">
        <v>3200.9</v>
      </c>
      <c r="AD116">
        <v>73.3</v>
      </c>
      <c r="AF116" s="27">
        <v>2987198</v>
      </c>
      <c r="AG116">
        <v>27706.400000000001</v>
      </c>
      <c r="AI116" s="28">
        <v>472264.8</v>
      </c>
      <c r="AJ116">
        <v>5022.8</v>
      </c>
      <c r="AL116">
        <v>330081.40000000002</v>
      </c>
      <c r="AM116">
        <v>5179.6000000000004</v>
      </c>
      <c r="AO116">
        <v>12212.8</v>
      </c>
      <c r="AP116">
        <v>8.1999999999999993</v>
      </c>
      <c r="AR116">
        <v>476078.7</v>
      </c>
      <c r="AS116">
        <v>10776</v>
      </c>
      <c r="AU116">
        <v>10166.799999999999</v>
      </c>
      <c r="AV116">
        <v>439.5</v>
      </c>
      <c r="AX116">
        <v>12833.6</v>
      </c>
      <c r="AY116">
        <v>545.5</v>
      </c>
      <c r="BA116">
        <v>931.8</v>
      </c>
      <c r="BB116">
        <v>60.8</v>
      </c>
      <c r="BD116">
        <v>455.3</v>
      </c>
      <c r="BE116">
        <v>27.4</v>
      </c>
      <c r="BG116">
        <v>343.8</v>
      </c>
      <c r="BH116">
        <v>71.5</v>
      </c>
      <c r="BJ116">
        <v>299</v>
      </c>
      <c r="BK116">
        <v>50.1</v>
      </c>
      <c r="BM116">
        <v>289.60000000000002</v>
      </c>
      <c r="BN116">
        <v>15.7</v>
      </c>
      <c r="BP116">
        <v>4441</v>
      </c>
      <c r="BQ116">
        <v>85.4</v>
      </c>
      <c r="BS116">
        <v>663803.5</v>
      </c>
      <c r="BT116">
        <v>7370.3</v>
      </c>
      <c r="BV116">
        <v>2233.1</v>
      </c>
      <c r="BW116">
        <v>11.3</v>
      </c>
      <c r="BY116">
        <v>11043.1</v>
      </c>
      <c r="BZ116">
        <v>151.80000000000001</v>
      </c>
      <c r="CB116">
        <v>220765.1</v>
      </c>
      <c r="CC116">
        <v>2787</v>
      </c>
      <c r="CE116">
        <v>182215.2</v>
      </c>
      <c r="CF116">
        <v>988.9</v>
      </c>
      <c r="CH116">
        <v>454682.5</v>
      </c>
      <c r="CI116">
        <v>6921.3</v>
      </c>
      <c r="CK116">
        <v>67296.2</v>
      </c>
      <c r="CL116">
        <v>992.4</v>
      </c>
      <c r="CN116">
        <v>763005.6</v>
      </c>
      <c r="CO116">
        <v>14975</v>
      </c>
      <c r="CQ116">
        <v>511935.7</v>
      </c>
      <c r="CR116">
        <v>8761.2999999999993</v>
      </c>
      <c r="CT116">
        <v>1537157</v>
      </c>
      <c r="CU116">
        <v>43272.800000000003</v>
      </c>
      <c r="CW116">
        <v>796921.9</v>
      </c>
      <c r="CX116">
        <v>8580.2000000000007</v>
      </c>
      <c r="CZ116">
        <v>12783.3</v>
      </c>
      <c r="DA116">
        <v>370.2</v>
      </c>
      <c r="DC116">
        <v>301184.90000000002</v>
      </c>
      <c r="DD116">
        <v>3041.5</v>
      </c>
      <c r="DF116">
        <v>145816.5</v>
      </c>
      <c r="DG116">
        <v>4988.5</v>
      </c>
      <c r="DI116">
        <v>1673.4</v>
      </c>
      <c r="DJ116">
        <v>140.30000000000001</v>
      </c>
      <c r="DL116">
        <v>1563.1</v>
      </c>
      <c r="DM116">
        <v>55.3</v>
      </c>
      <c r="DO116">
        <v>34042.6</v>
      </c>
      <c r="DP116">
        <v>1031.2</v>
      </c>
      <c r="DR116">
        <v>244138.5</v>
      </c>
      <c r="DS116">
        <v>3081.2</v>
      </c>
      <c r="DU116">
        <v>1213063.3999999999</v>
      </c>
      <c r="DV116">
        <v>14400.4</v>
      </c>
      <c r="DX116">
        <v>9121.2000000000007</v>
      </c>
      <c r="DY116">
        <v>213.5</v>
      </c>
      <c r="EA116">
        <v>9082.1</v>
      </c>
      <c r="EB116">
        <v>198.7</v>
      </c>
      <c r="ED116">
        <v>46913.4</v>
      </c>
      <c r="EE116">
        <v>557.6</v>
      </c>
      <c r="EG116">
        <v>64081.3</v>
      </c>
      <c r="EH116">
        <v>438.9</v>
      </c>
      <c r="EJ116">
        <v>253626.7</v>
      </c>
      <c r="EK116">
        <v>3403.5</v>
      </c>
      <c r="EM116">
        <v>48693.4</v>
      </c>
      <c r="EN116">
        <v>1575.9</v>
      </c>
      <c r="EP116">
        <v>58882.3</v>
      </c>
      <c r="EQ116">
        <v>1467.7</v>
      </c>
      <c r="ES116">
        <v>1057709.6000000001</v>
      </c>
      <c r="ET116">
        <v>11389.8</v>
      </c>
      <c r="EV116">
        <v>6.2</v>
      </c>
      <c r="EW116">
        <v>4.9000000000000004</v>
      </c>
      <c r="EY116">
        <v>151745.79999999999</v>
      </c>
      <c r="EZ116">
        <v>1228.4000000000001</v>
      </c>
      <c r="FB116">
        <v>787.6</v>
      </c>
      <c r="FC116">
        <v>94.3</v>
      </c>
      <c r="FE116">
        <v>4845.5</v>
      </c>
      <c r="FF116">
        <v>236.8</v>
      </c>
      <c r="FH116">
        <v>712.3</v>
      </c>
      <c r="FI116">
        <v>15</v>
      </c>
      <c r="FK116">
        <v>61419.3</v>
      </c>
      <c r="FL116">
        <v>105.9</v>
      </c>
      <c r="FN116">
        <v>11018.9</v>
      </c>
      <c r="FO116">
        <v>186.1</v>
      </c>
      <c r="FQ116">
        <v>13704.2</v>
      </c>
      <c r="FR116">
        <v>88.2</v>
      </c>
    </row>
    <row r="117" spans="1:174" x14ac:dyDescent="0.2">
      <c r="A117" t="s">
        <v>183</v>
      </c>
      <c r="B117">
        <v>14776.8</v>
      </c>
      <c r="C117">
        <v>240.7</v>
      </c>
      <c r="E117">
        <v>1128</v>
      </c>
      <c r="F117">
        <v>138.9</v>
      </c>
      <c r="H117">
        <v>73987.199999999997</v>
      </c>
      <c r="I117">
        <v>535.4</v>
      </c>
      <c r="K117">
        <v>1105846.2</v>
      </c>
      <c r="L117">
        <v>11168.8</v>
      </c>
      <c r="N117">
        <v>65462.6</v>
      </c>
      <c r="O117">
        <v>1179.0999999999999</v>
      </c>
      <c r="Q117">
        <v>10961.7</v>
      </c>
      <c r="R117">
        <v>160.4</v>
      </c>
      <c r="T117">
        <v>2283.1</v>
      </c>
      <c r="U117">
        <v>92.5</v>
      </c>
      <c r="W117">
        <v>2118.4</v>
      </c>
      <c r="X117">
        <v>52.1</v>
      </c>
      <c r="Z117">
        <v>16412.099999999999</v>
      </c>
      <c r="AA117">
        <v>398.2</v>
      </c>
      <c r="AC117">
        <v>28441</v>
      </c>
      <c r="AD117">
        <v>486.2</v>
      </c>
      <c r="AF117" s="27">
        <v>2809648.3</v>
      </c>
      <c r="AG117">
        <v>16996.2</v>
      </c>
      <c r="AI117" s="28">
        <v>52123.7</v>
      </c>
      <c r="AJ117">
        <v>747</v>
      </c>
      <c r="AL117">
        <v>34889.9</v>
      </c>
      <c r="AM117">
        <v>614.1</v>
      </c>
      <c r="AO117">
        <v>10461</v>
      </c>
      <c r="AP117">
        <v>153.9</v>
      </c>
      <c r="AR117">
        <v>546113.30000000005</v>
      </c>
      <c r="AS117">
        <v>6817.2</v>
      </c>
      <c r="AU117">
        <v>156640.20000000001</v>
      </c>
      <c r="AV117">
        <v>2157.6</v>
      </c>
      <c r="AX117">
        <v>196118.5</v>
      </c>
      <c r="AY117">
        <v>967</v>
      </c>
      <c r="BA117">
        <v>23427.9</v>
      </c>
      <c r="BB117">
        <v>609.5</v>
      </c>
      <c r="BD117">
        <v>3890.3</v>
      </c>
      <c r="BE117">
        <v>125</v>
      </c>
      <c r="BG117">
        <v>4000.9</v>
      </c>
      <c r="BH117">
        <v>113.8</v>
      </c>
      <c r="BJ117">
        <v>3233.2</v>
      </c>
      <c r="BK117">
        <v>106.3</v>
      </c>
      <c r="BM117">
        <v>4241.8</v>
      </c>
      <c r="BN117">
        <v>148.4</v>
      </c>
      <c r="BP117">
        <v>4961.3999999999996</v>
      </c>
      <c r="BQ117">
        <v>235</v>
      </c>
      <c r="BS117">
        <v>641051.69999999995</v>
      </c>
      <c r="BT117">
        <v>2978</v>
      </c>
      <c r="BV117">
        <v>2842.2</v>
      </c>
      <c r="BW117">
        <v>96.6</v>
      </c>
      <c r="BY117">
        <v>9767.1</v>
      </c>
      <c r="BZ117">
        <v>309.2</v>
      </c>
      <c r="CB117">
        <v>13820037.1</v>
      </c>
      <c r="CC117">
        <v>347334.9</v>
      </c>
      <c r="CE117">
        <v>10960686</v>
      </c>
      <c r="CF117">
        <v>49771.7</v>
      </c>
      <c r="CH117">
        <v>27349194.699999999</v>
      </c>
      <c r="CI117">
        <v>260015</v>
      </c>
      <c r="CK117">
        <v>43708.4</v>
      </c>
      <c r="CL117">
        <v>1320.6</v>
      </c>
      <c r="CN117">
        <v>673572.4</v>
      </c>
      <c r="CO117">
        <v>9209.2999999999993</v>
      </c>
      <c r="CQ117">
        <v>1244001.8</v>
      </c>
      <c r="CR117">
        <v>15520.9</v>
      </c>
      <c r="CT117">
        <v>2599668.7000000002</v>
      </c>
      <c r="CU117">
        <v>48784.7</v>
      </c>
      <c r="CW117">
        <v>1803132.4</v>
      </c>
      <c r="CX117">
        <v>6159.3</v>
      </c>
      <c r="CZ117">
        <v>107135.6</v>
      </c>
      <c r="DA117">
        <v>2368.6999999999998</v>
      </c>
      <c r="DC117">
        <v>1526251</v>
      </c>
      <c r="DD117">
        <v>30342.3</v>
      </c>
      <c r="DF117">
        <v>717777.9</v>
      </c>
      <c r="DG117">
        <v>12446.2</v>
      </c>
      <c r="DI117">
        <v>10417.6</v>
      </c>
      <c r="DJ117">
        <v>273</v>
      </c>
      <c r="DL117">
        <v>38818.300000000003</v>
      </c>
      <c r="DM117">
        <v>1048.5999999999999</v>
      </c>
      <c r="DO117">
        <v>24327.8</v>
      </c>
      <c r="DP117">
        <v>359.8</v>
      </c>
      <c r="DR117">
        <v>304046.09999999998</v>
      </c>
      <c r="DS117">
        <v>6235.4</v>
      </c>
      <c r="DU117">
        <v>6846959.0999999996</v>
      </c>
      <c r="DV117">
        <v>151903.6</v>
      </c>
      <c r="DX117">
        <v>4588.1000000000004</v>
      </c>
      <c r="DY117">
        <v>73.599999999999994</v>
      </c>
      <c r="EA117">
        <v>5302.8</v>
      </c>
      <c r="EB117">
        <v>43.7</v>
      </c>
      <c r="ED117">
        <v>113393</v>
      </c>
      <c r="EE117">
        <v>2864.1</v>
      </c>
      <c r="EG117">
        <v>103060.5</v>
      </c>
      <c r="EH117">
        <v>1534.8</v>
      </c>
      <c r="EJ117">
        <v>247855.9</v>
      </c>
      <c r="EK117">
        <v>3397.6</v>
      </c>
      <c r="EM117">
        <v>5421.9</v>
      </c>
      <c r="EN117">
        <v>84.7</v>
      </c>
      <c r="EP117">
        <v>56475.9</v>
      </c>
      <c r="EQ117">
        <v>1750.1</v>
      </c>
      <c r="ES117">
        <v>469608.3</v>
      </c>
      <c r="ET117">
        <v>7778.1</v>
      </c>
      <c r="EV117">
        <v>132.80000000000001</v>
      </c>
      <c r="EW117">
        <v>3.5</v>
      </c>
      <c r="EY117">
        <v>1105.2</v>
      </c>
      <c r="EZ117">
        <v>19.7</v>
      </c>
      <c r="FB117">
        <v>799.4</v>
      </c>
      <c r="FC117">
        <v>37.200000000000003</v>
      </c>
      <c r="FE117">
        <v>5130.7</v>
      </c>
      <c r="FF117">
        <v>319.5</v>
      </c>
      <c r="FH117">
        <v>998.3</v>
      </c>
      <c r="FI117">
        <v>33.4</v>
      </c>
      <c r="FK117">
        <v>59905.1</v>
      </c>
      <c r="FL117">
        <v>1399.6</v>
      </c>
      <c r="FN117">
        <v>1210.7</v>
      </c>
      <c r="FO117">
        <v>103.5</v>
      </c>
      <c r="FQ117">
        <v>13016.6</v>
      </c>
      <c r="FR117">
        <v>94.9</v>
      </c>
    </row>
    <row r="118" spans="1:174" x14ac:dyDescent="0.2">
      <c r="A118" t="s">
        <v>184</v>
      </c>
      <c r="B118">
        <v>9730.1</v>
      </c>
      <c r="C118">
        <v>181.2</v>
      </c>
      <c r="E118">
        <v>747.6</v>
      </c>
      <c r="F118">
        <v>42.8</v>
      </c>
      <c r="H118">
        <v>173705.9</v>
      </c>
      <c r="I118">
        <v>1839.7</v>
      </c>
      <c r="K118">
        <v>123986.1</v>
      </c>
      <c r="L118">
        <v>1078.5999999999999</v>
      </c>
      <c r="N118">
        <v>2045.4</v>
      </c>
      <c r="O118">
        <v>102.3</v>
      </c>
      <c r="Q118">
        <v>5862.6</v>
      </c>
      <c r="R118">
        <v>119.1</v>
      </c>
      <c r="T118">
        <v>1269.5999999999999</v>
      </c>
      <c r="U118">
        <v>73.5</v>
      </c>
      <c r="W118">
        <v>1052.5999999999999</v>
      </c>
      <c r="X118">
        <v>68.599999999999994</v>
      </c>
      <c r="Z118">
        <v>10712.4</v>
      </c>
      <c r="AA118">
        <v>249.4</v>
      </c>
      <c r="AC118">
        <v>8028.1</v>
      </c>
      <c r="AD118">
        <v>213.9</v>
      </c>
      <c r="AF118" s="27">
        <v>3405088.7</v>
      </c>
      <c r="AG118">
        <v>47599.9</v>
      </c>
      <c r="AI118" s="28">
        <v>727663.9</v>
      </c>
      <c r="AJ118">
        <v>6843.4</v>
      </c>
      <c r="AL118">
        <v>3684313.8</v>
      </c>
      <c r="AM118">
        <v>19073.400000000001</v>
      </c>
      <c r="AO118">
        <v>13822.9</v>
      </c>
      <c r="AP118">
        <v>153.5</v>
      </c>
      <c r="AR118">
        <v>79157</v>
      </c>
      <c r="AS118">
        <v>101.6</v>
      </c>
      <c r="AU118">
        <v>4813.3999999999996</v>
      </c>
      <c r="AV118">
        <v>204.7</v>
      </c>
      <c r="AX118">
        <v>5468.3</v>
      </c>
      <c r="AY118">
        <v>95.4</v>
      </c>
      <c r="BA118">
        <v>583.5</v>
      </c>
      <c r="BB118">
        <v>80.7</v>
      </c>
      <c r="BD118">
        <v>401.1</v>
      </c>
      <c r="BE118">
        <v>35.1</v>
      </c>
      <c r="BG118">
        <v>303.10000000000002</v>
      </c>
      <c r="BH118">
        <v>73.2</v>
      </c>
      <c r="BJ118">
        <v>264.60000000000002</v>
      </c>
      <c r="BK118">
        <v>43.9</v>
      </c>
      <c r="BM118">
        <v>208.3</v>
      </c>
      <c r="BN118">
        <v>17.2</v>
      </c>
      <c r="BP118">
        <v>3429.3</v>
      </c>
      <c r="BQ118">
        <v>45.6</v>
      </c>
      <c r="BS118">
        <v>684198.3</v>
      </c>
      <c r="BT118">
        <v>6321.3</v>
      </c>
      <c r="BV118">
        <v>2183.1</v>
      </c>
      <c r="BW118">
        <v>110.7</v>
      </c>
      <c r="BY118">
        <v>2833.8</v>
      </c>
      <c r="BZ118">
        <v>59.9</v>
      </c>
      <c r="CB118">
        <v>255568.3</v>
      </c>
      <c r="CC118">
        <v>1234.4000000000001</v>
      </c>
      <c r="CE118">
        <v>214442.7</v>
      </c>
      <c r="CF118">
        <v>4186.2</v>
      </c>
      <c r="CH118">
        <v>533338.69999999995</v>
      </c>
      <c r="CI118">
        <v>1510.4</v>
      </c>
      <c r="CK118">
        <v>82116.5</v>
      </c>
      <c r="CL118">
        <v>789</v>
      </c>
      <c r="CN118">
        <v>1936920.9</v>
      </c>
      <c r="CO118">
        <v>22607.3</v>
      </c>
      <c r="CQ118">
        <v>132326.39999999999</v>
      </c>
      <c r="CR118">
        <v>2928</v>
      </c>
      <c r="CT118">
        <v>307261.90000000002</v>
      </c>
      <c r="CU118">
        <v>8333.2000000000007</v>
      </c>
      <c r="CW118">
        <v>1082031.1000000001</v>
      </c>
      <c r="CX118">
        <v>8625.2999999999993</v>
      </c>
      <c r="CZ118">
        <v>28898.799999999999</v>
      </c>
      <c r="DA118">
        <v>1094.2</v>
      </c>
      <c r="DC118">
        <v>178915.5</v>
      </c>
      <c r="DD118">
        <v>2355.6</v>
      </c>
      <c r="DF118">
        <v>86966.8</v>
      </c>
      <c r="DG118">
        <v>1499.7</v>
      </c>
      <c r="DI118">
        <v>758.6</v>
      </c>
      <c r="DJ118">
        <v>37.6</v>
      </c>
      <c r="DL118">
        <v>709.5</v>
      </c>
      <c r="DM118">
        <v>92.5</v>
      </c>
      <c r="DO118">
        <v>72590.399999999994</v>
      </c>
      <c r="DP118">
        <v>770.9</v>
      </c>
      <c r="DR118">
        <v>73162</v>
      </c>
      <c r="DS118">
        <v>1912.7</v>
      </c>
      <c r="DU118">
        <v>454006.1</v>
      </c>
      <c r="DV118">
        <v>9360.7999999999993</v>
      </c>
      <c r="DX118">
        <v>3499.6</v>
      </c>
      <c r="DY118">
        <v>161.19999999999999</v>
      </c>
      <c r="EA118">
        <v>21244.799999999999</v>
      </c>
      <c r="EB118">
        <v>693.7</v>
      </c>
      <c r="ED118">
        <v>27406.400000000001</v>
      </c>
      <c r="EE118">
        <v>438.6</v>
      </c>
      <c r="EG118">
        <v>705603.7</v>
      </c>
      <c r="EH118">
        <v>13603.6</v>
      </c>
      <c r="EJ118">
        <v>294915.3</v>
      </c>
      <c r="EK118">
        <v>2558.6999999999998</v>
      </c>
      <c r="EM118">
        <v>76048.2</v>
      </c>
      <c r="EN118">
        <v>2023.3</v>
      </c>
      <c r="EP118">
        <v>59896</v>
      </c>
      <c r="EQ118">
        <v>491.7</v>
      </c>
      <c r="ES118">
        <v>947499.9</v>
      </c>
      <c r="ET118">
        <v>4956.8</v>
      </c>
      <c r="EV118">
        <v>24.4</v>
      </c>
      <c r="EW118">
        <v>11.3</v>
      </c>
      <c r="EY118">
        <v>15055.2</v>
      </c>
      <c r="EZ118">
        <v>172.8</v>
      </c>
      <c r="FB118">
        <v>142.80000000000001</v>
      </c>
      <c r="FC118">
        <v>37.1</v>
      </c>
      <c r="FE118">
        <v>1816</v>
      </c>
      <c r="FF118">
        <v>186.2</v>
      </c>
      <c r="FH118">
        <v>740.1</v>
      </c>
      <c r="FI118">
        <v>19.899999999999999</v>
      </c>
      <c r="FK118">
        <v>73494.600000000006</v>
      </c>
      <c r="FL118">
        <v>1120</v>
      </c>
      <c r="FN118">
        <v>16481.099999999999</v>
      </c>
      <c r="FO118">
        <v>635</v>
      </c>
      <c r="FQ118">
        <v>13979.7</v>
      </c>
      <c r="FR118">
        <v>206.7</v>
      </c>
    </row>
    <row r="119" spans="1:174" x14ac:dyDescent="0.2">
      <c r="A119" t="s">
        <v>185</v>
      </c>
      <c r="B119">
        <v>147447.29999999999</v>
      </c>
      <c r="C119">
        <v>433</v>
      </c>
      <c r="E119">
        <v>33198.800000000003</v>
      </c>
      <c r="F119">
        <v>669.8</v>
      </c>
      <c r="H119">
        <v>894776.3</v>
      </c>
      <c r="I119">
        <v>8772.6</v>
      </c>
      <c r="K119">
        <v>1185427.7</v>
      </c>
      <c r="L119">
        <v>8525.4</v>
      </c>
      <c r="N119">
        <v>1391588.3</v>
      </c>
      <c r="O119">
        <v>33952.6</v>
      </c>
      <c r="Q119">
        <v>170763.3</v>
      </c>
      <c r="R119">
        <v>1361.2</v>
      </c>
      <c r="T119">
        <v>1319593.5</v>
      </c>
      <c r="U119">
        <v>11478</v>
      </c>
      <c r="W119">
        <v>262370.8</v>
      </c>
      <c r="X119">
        <v>588.79999999999995</v>
      </c>
      <c r="Z119">
        <v>525110.30000000005</v>
      </c>
      <c r="AA119">
        <v>2513.6999999999998</v>
      </c>
      <c r="AC119">
        <v>75888.7</v>
      </c>
      <c r="AD119">
        <v>1354.8</v>
      </c>
      <c r="AF119" s="27">
        <v>3010232</v>
      </c>
      <c r="AG119">
        <v>65125.8</v>
      </c>
      <c r="AI119" s="28">
        <v>301143.5</v>
      </c>
      <c r="AJ119">
        <v>364</v>
      </c>
      <c r="AL119">
        <v>301968</v>
      </c>
      <c r="AM119">
        <v>1557.6</v>
      </c>
      <c r="AO119">
        <v>1498445.5</v>
      </c>
      <c r="AP119">
        <v>9178.4</v>
      </c>
      <c r="AR119">
        <v>626433.30000000005</v>
      </c>
      <c r="AS119">
        <v>5566.1</v>
      </c>
      <c r="AU119">
        <v>1692727</v>
      </c>
      <c r="AV119">
        <v>28351.599999999999</v>
      </c>
      <c r="AX119">
        <v>1538298</v>
      </c>
      <c r="AY119">
        <v>7742.3</v>
      </c>
      <c r="BA119">
        <v>314545.2</v>
      </c>
      <c r="BB119">
        <v>2424.9</v>
      </c>
      <c r="BD119">
        <v>271250.40000000002</v>
      </c>
      <c r="BE119">
        <v>873.3</v>
      </c>
      <c r="BG119">
        <v>259434.8</v>
      </c>
      <c r="BH119">
        <v>694</v>
      </c>
      <c r="BJ119">
        <v>1803487.5</v>
      </c>
      <c r="BK119">
        <v>17253.8</v>
      </c>
      <c r="BM119">
        <v>484357.3</v>
      </c>
      <c r="BN119">
        <v>5397.4</v>
      </c>
      <c r="BP119">
        <v>364461.1</v>
      </c>
      <c r="BQ119">
        <v>9112.6</v>
      </c>
      <c r="BS119">
        <v>696198.8</v>
      </c>
      <c r="BT119">
        <v>10765</v>
      </c>
      <c r="BV119">
        <v>287268.3</v>
      </c>
      <c r="BW119">
        <v>1718.5</v>
      </c>
      <c r="BY119">
        <v>1189269.3</v>
      </c>
      <c r="BZ119">
        <v>19078.599999999999</v>
      </c>
      <c r="CB119">
        <v>400614.3</v>
      </c>
      <c r="CC119">
        <v>7291.8</v>
      </c>
      <c r="CE119">
        <v>343193.1</v>
      </c>
      <c r="CF119">
        <v>4726.5</v>
      </c>
      <c r="CH119">
        <v>855713.4</v>
      </c>
      <c r="CI119">
        <v>19573.5</v>
      </c>
      <c r="CK119">
        <v>1304587.3</v>
      </c>
      <c r="CL119">
        <v>13364.8</v>
      </c>
      <c r="CN119">
        <v>390389.6</v>
      </c>
      <c r="CO119">
        <v>4623</v>
      </c>
      <c r="CQ119">
        <v>241968.7</v>
      </c>
      <c r="CR119">
        <v>617.29999999999995</v>
      </c>
      <c r="CT119">
        <v>190388.7</v>
      </c>
      <c r="CU119">
        <v>895.9</v>
      </c>
      <c r="CW119">
        <v>641116.69999999995</v>
      </c>
      <c r="CX119">
        <v>4520.5</v>
      </c>
      <c r="CZ119">
        <v>3118.6</v>
      </c>
      <c r="DA119">
        <v>93.6</v>
      </c>
      <c r="DC119">
        <v>106014</v>
      </c>
      <c r="DD119">
        <v>477.2</v>
      </c>
      <c r="DF119">
        <v>21119</v>
      </c>
      <c r="DG119">
        <v>166.8</v>
      </c>
      <c r="DI119">
        <v>5244.4</v>
      </c>
      <c r="DJ119">
        <v>92</v>
      </c>
      <c r="DL119">
        <v>75036.3</v>
      </c>
      <c r="DM119">
        <v>703.9</v>
      </c>
      <c r="DO119">
        <v>66561.5</v>
      </c>
      <c r="DP119">
        <v>589.1</v>
      </c>
      <c r="DR119">
        <v>85443.199999999997</v>
      </c>
      <c r="DS119">
        <v>1097</v>
      </c>
      <c r="DU119">
        <v>268021.09999999998</v>
      </c>
      <c r="DV119">
        <v>1986</v>
      </c>
      <c r="DX119">
        <v>78438.5</v>
      </c>
      <c r="DY119">
        <v>1260.0999999999999</v>
      </c>
      <c r="EA119">
        <v>17978.900000000001</v>
      </c>
      <c r="EB119">
        <v>271</v>
      </c>
      <c r="ED119">
        <v>37025.199999999997</v>
      </c>
      <c r="EE119">
        <v>358.6</v>
      </c>
      <c r="EG119">
        <v>18869.5</v>
      </c>
      <c r="EH119">
        <v>507.7</v>
      </c>
      <c r="EJ119">
        <v>252737.1</v>
      </c>
      <c r="EK119">
        <v>1475.1</v>
      </c>
      <c r="EM119">
        <v>30956.3</v>
      </c>
      <c r="EN119">
        <v>444.3</v>
      </c>
      <c r="EP119">
        <v>59081.8</v>
      </c>
      <c r="EQ119">
        <v>276.60000000000002</v>
      </c>
      <c r="ES119">
        <v>159248.5</v>
      </c>
      <c r="ET119">
        <v>127</v>
      </c>
      <c r="EV119">
        <v>2927.7</v>
      </c>
      <c r="EW119">
        <v>75.5</v>
      </c>
      <c r="EY119">
        <v>2323.9</v>
      </c>
      <c r="EZ119">
        <v>16</v>
      </c>
      <c r="FB119">
        <v>556.1</v>
      </c>
      <c r="FC119">
        <v>65.2</v>
      </c>
      <c r="FE119">
        <v>4170.6000000000004</v>
      </c>
      <c r="FF119">
        <v>21.8</v>
      </c>
      <c r="FH119">
        <v>809.7</v>
      </c>
      <c r="FI119">
        <v>16.899999999999999</v>
      </c>
      <c r="FK119">
        <v>63233</v>
      </c>
      <c r="FL119">
        <v>841.1</v>
      </c>
      <c r="FN119">
        <v>6870.1</v>
      </c>
      <c r="FO119">
        <v>54.1</v>
      </c>
      <c r="FQ119">
        <v>14116.1</v>
      </c>
      <c r="FR119">
        <v>96.7</v>
      </c>
    </row>
    <row r="120" spans="1:174" x14ac:dyDescent="0.2">
      <c r="A120" t="s">
        <v>186</v>
      </c>
      <c r="B120">
        <v>9337.7999999999993</v>
      </c>
      <c r="C120">
        <v>267.3</v>
      </c>
      <c r="E120">
        <v>798.6</v>
      </c>
      <c r="F120">
        <v>41.5</v>
      </c>
      <c r="H120">
        <v>7636</v>
      </c>
      <c r="I120">
        <v>107.9</v>
      </c>
      <c r="K120">
        <v>24501.4</v>
      </c>
      <c r="L120">
        <v>132</v>
      </c>
      <c r="N120">
        <v>257.3</v>
      </c>
      <c r="O120">
        <v>25.3</v>
      </c>
      <c r="Q120">
        <v>492.8</v>
      </c>
      <c r="R120">
        <v>88.7</v>
      </c>
      <c r="T120">
        <v>1478.1</v>
      </c>
      <c r="U120">
        <v>185</v>
      </c>
      <c r="W120">
        <v>1086.0999999999999</v>
      </c>
      <c r="X120">
        <v>129.9</v>
      </c>
      <c r="Z120">
        <v>1740.9</v>
      </c>
      <c r="AA120">
        <v>54.9</v>
      </c>
      <c r="AC120">
        <v>56.3</v>
      </c>
      <c r="AD120">
        <v>19</v>
      </c>
      <c r="AF120" s="27">
        <v>2899427.3</v>
      </c>
      <c r="AG120">
        <v>26048.7</v>
      </c>
      <c r="AI120" s="28">
        <v>1510.4</v>
      </c>
      <c r="AJ120">
        <v>75.099999999999994</v>
      </c>
      <c r="AL120">
        <v>4913.3999999999996</v>
      </c>
      <c r="AM120">
        <v>180</v>
      </c>
      <c r="AO120">
        <v>2378</v>
      </c>
      <c r="AP120">
        <v>142.1</v>
      </c>
      <c r="AR120">
        <v>5511.1</v>
      </c>
      <c r="AS120">
        <v>178.8</v>
      </c>
      <c r="AU120">
        <v>357.3</v>
      </c>
      <c r="AV120">
        <v>32.799999999999997</v>
      </c>
      <c r="AX120">
        <v>234.4</v>
      </c>
      <c r="AY120">
        <v>14.3</v>
      </c>
      <c r="BA120">
        <v>128.1</v>
      </c>
      <c r="BB120">
        <v>24.8</v>
      </c>
      <c r="BD120">
        <v>375</v>
      </c>
      <c r="BE120">
        <v>57.1</v>
      </c>
      <c r="BG120">
        <v>243.8</v>
      </c>
      <c r="BH120">
        <v>30.8</v>
      </c>
      <c r="BJ120">
        <v>303.2</v>
      </c>
      <c r="BK120">
        <v>84</v>
      </c>
      <c r="BM120">
        <v>167.7</v>
      </c>
      <c r="BN120">
        <v>23</v>
      </c>
      <c r="BP120">
        <v>1866</v>
      </c>
      <c r="BQ120">
        <v>241.2</v>
      </c>
      <c r="BS120">
        <v>676338.4</v>
      </c>
      <c r="BT120">
        <v>1981.2</v>
      </c>
      <c r="BV120">
        <v>2429.1999999999998</v>
      </c>
      <c r="BW120">
        <v>22.2</v>
      </c>
      <c r="BY120">
        <v>377.1</v>
      </c>
      <c r="BZ120">
        <v>27.3</v>
      </c>
      <c r="CB120">
        <v>646.1</v>
      </c>
      <c r="CC120">
        <v>63.3</v>
      </c>
      <c r="CE120">
        <v>634.6</v>
      </c>
      <c r="CF120">
        <v>37.9</v>
      </c>
      <c r="CH120">
        <v>1493.8</v>
      </c>
      <c r="CI120">
        <v>20.3</v>
      </c>
      <c r="CK120">
        <v>1054.8</v>
      </c>
      <c r="CL120">
        <v>128.6</v>
      </c>
      <c r="CN120">
        <v>32468.5</v>
      </c>
      <c r="CO120">
        <v>666</v>
      </c>
      <c r="CQ120">
        <v>7757.1</v>
      </c>
      <c r="CR120">
        <v>260.3</v>
      </c>
      <c r="CT120">
        <v>12212.1</v>
      </c>
      <c r="CU120">
        <v>391.4</v>
      </c>
      <c r="CW120">
        <v>424134.7</v>
      </c>
      <c r="CX120">
        <v>10144.6</v>
      </c>
      <c r="CZ120">
        <v>452.8</v>
      </c>
      <c r="DA120">
        <v>19.399999999999999</v>
      </c>
      <c r="DC120">
        <v>22709.1</v>
      </c>
      <c r="DD120">
        <v>221.6</v>
      </c>
      <c r="DF120">
        <v>6660.2</v>
      </c>
      <c r="DG120">
        <v>48.8</v>
      </c>
      <c r="DI120">
        <v>25</v>
      </c>
      <c r="DJ120">
        <v>2.8</v>
      </c>
      <c r="DL120">
        <v>147.19999999999999</v>
      </c>
      <c r="DM120">
        <v>10</v>
      </c>
      <c r="DO120">
        <v>522.29999999999995</v>
      </c>
      <c r="DP120">
        <v>32.1</v>
      </c>
      <c r="DR120">
        <v>154.6</v>
      </c>
      <c r="DS120">
        <v>29.4</v>
      </c>
      <c r="DU120">
        <v>2530.9</v>
      </c>
      <c r="DV120">
        <v>102.7</v>
      </c>
      <c r="DX120">
        <v>45.4</v>
      </c>
      <c r="DY120">
        <v>8.5</v>
      </c>
      <c r="EA120">
        <v>163.9</v>
      </c>
      <c r="EB120">
        <v>14.7</v>
      </c>
      <c r="ED120">
        <v>248.2</v>
      </c>
      <c r="EE120">
        <v>20.8</v>
      </c>
      <c r="EG120">
        <v>589</v>
      </c>
      <c r="EH120">
        <v>25.5</v>
      </c>
      <c r="EJ120">
        <v>254028.5</v>
      </c>
      <c r="EK120">
        <v>6551.4</v>
      </c>
      <c r="EM120">
        <v>150.9</v>
      </c>
      <c r="EN120">
        <v>12</v>
      </c>
      <c r="EP120">
        <v>59357.7</v>
      </c>
      <c r="EQ120">
        <v>710.2</v>
      </c>
      <c r="ES120">
        <v>16027.2</v>
      </c>
      <c r="ET120">
        <v>345.2</v>
      </c>
      <c r="EV120">
        <v>2.2999999999999998</v>
      </c>
      <c r="EW120">
        <v>2.5</v>
      </c>
      <c r="EY120">
        <v>124.2</v>
      </c>
      <c r="EZ120">
        <v>34.4</v>
      </c>
      <c r="FB120">
        <v>183.4</v>
      </c>
      <c r="FC120">
        <v>24.5</v>
      </c>
      <c r="FE120">
        <v>2479.9</v>
      </c>
      <c r="FF120">
        <v>298.2</v>
      </c>
      <c r="FH120">
        <v>767.4</v>
      </c>
      <c r="FI120">
        <v>60.2</v>
      </c>
      <c r="FK120">
        <v>62282.1</v>
      </c>
      <c r="FL120">
        <v>818.9</v>
      </c>
      <c r="FN120">
        <v>41.3</v>
      </c>
      <c r="FO120">
        <v>4.5</v>
      </c>
      <c r="FQ120">
        <v>14108.4</v>
      </c>
      <c r="FR120">
        <v>438.3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FW30"/>
  <sheetViews>
    <sheetView workbookViewId="0">
      <pane xSplit="1" ySplit="1" topLeftCell="EA2" activePane="bottomRight" state="frozen"/>
      <selection activeCell="L25" sqref="L25"/>
      <selection pane="topRight" activeCell="L25" sqref="L25"/>
      <selection pane="bottomLeft" activeCell="L25" sqref="L25"/>
      <selection pane="bottomRight"/>
    </sheetView>
  </sheetViews>
  <sheetFormatPr defaultColWidth="9.140625" defaultRowHeight="12.75" x14ac:dyDescent="0.2"/>
  <cols>
    <col min="1" max="1" width="17.7109375" style="18" customWidth="1"/>
    <col min="2" max="16384" width="9.140625" style="18"/>
  </cols>
  <sheetData>
    <row r="1" spans="1:179" x14ac:dyDescent="0.2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  <c r="Y1" t="s">
        <v>284</v>
      </c>
      <c r="Z1" t="s">
        <v>285</v>
      </c>
      <c r="AA1" t="s">
        <v>286</v>
      </c>
      <c r="AB1" t="s">
        <v>287</v>
      </c>
      <c r="AC1" t="s">
        <v>288</v>
      </c>
      <c r="AD1" t="s">
        <v>289</v>
      </c>
      <c r="AE1" t="s">
        <v>290</v>
      </c>
      <c r="AF1" t="s">
        <v>291</v>
      </c>
      <c r="AG1" t="s">
        <v>292</v>
      </c>
      <c r="AH1" t="s">
        <v>293</v>
      </c>
      <c r="AI1" t="s">
        <v>294</v>
      </c>
      <c r="AJ1" t="s">
        <v>295</v>
      </c>
      <c r="AK1" t="s">
        <v>296</v>
      </c>
      <c r="AL1" t="s">
        <v>297</v>
      </c>
      <c r="AM1" t="s">
        <v>298</v>
      </c>
      <c r="AN1" t="s">
        <v>299</v>
      </c>
      <c r="AO1" t="s">
        <v>300</v>
      </c>
      <c r="AP1" t="s">
        <v>301</v>
      </c>
      <c r="AQ1" t="s">
        <v>302</v>
      </c>
      <c r="AR1" t="s">
        <v>303</v>
      </c>
      <c r="AS1" t="s">
        <v>304</v>
      </c>
      <c r="AT1" t="s">
        <v>305</v>
      </c>
      <c r="AU1" t="s">
        <v>306</v>
      </c>
      <c r="AV1" t="s">
        <v>307</v>
      </c>
      <c r="AW1" t="s">
        <v>308</v>
      </c>
      <c r="AX1" t="s">
        <v>309</v>
      </c>
      <c r="AY1" t="s">
        <v>310</v>
      </c>
      <c r="AZ1" t="s">
        <v>311</v>
      </c>
      <c r="BA1" t="s">
        <v>312</v>
      </c>
      <c r="BB1" t="s">
        <v>313</v>
      </c>
      <c r="BC1" t="s">
        <v>314</v>
      </c>
      <c r="BD1" t="s">
        <v>315</v>
      </c>
      <c r="BE1" t="s">
        <v>316</v>
      </c>
      <c r="BF1" t="s">
        <v>317</v>
      </c>
      <c r="BG1" t="s">
        <v>318</v>
      </c>
      <c r="BH1" t="s">
        <v>319</v>
      </c>
      <c r="BI1" t="s">
        <v>320</v>
      </c>
      <c r="BJ1" t="s">
        <v>321</v>
      </c>
      <c r="BK1" t="s">
        <v>322</v>
      </c>
      <c r="BL1" t="s">
        <v>323</v>
      </c>
      <c r="BM1" t="s">
        <v>324</v>
      </c>
      <c r="BN1" t="s">
        <v>325</v>
      </c>
      <c r="BO1" t="s">
        <v>326</v>
      </c>
      <c r="BP1" t="s">
        <v>327</v>
      </c>
      <c r="BQ1" t="s">
        <v>328</v>
      </c>
      <c r="BR1" t="s">
        <v>329</v>
      </c>
      <c r="BS1" t="s">
        <v>330</v>
      </c>
      <c r="BT1" t="s">
        <v>331</v>
      </c>
      <c r="BU1" t="s">
        <v>332</v>
      </c>
      <c r="BV1" t="s">
        <v>333</v>
      </c>
      <c r="BW1" t="s">
        <v>334</v>
      </c>
      <c r="BX1" t="s">
        <v>335</v>
      </c>
      <c r="BY1" t="s">
        <v>336</v>
      </c>
      <c r="BZ1" t="s">
        <v>337</v>
      </c>
      <c r="CA1" t="s">
        <v>338</v>
      </c>
      <c r="CB1" t="s">
        <v>339</v>
      </c>
      <c r="CC1" t="s">
        <v>340</v>
      </c>
      <c r="CD1" t="s">
        <v>341</v>
      </c>
      <c r="CE1" t="s">
        <v>342</v>
      </c>
      <c r="CF1" t="s">
        <v>343</v>
      </c>
      <c r="CG1" t="s">
        <v>344</v>
      </c>
      <c r="CH1" t="s">
        <v>345</v>
      </c>
      <c r="CI1" t="s">
        <v>346</v>
      </c>
      <c r="CJ1" t="s">
        <v>347</v>
      </c>
      <c r="CK1" t="s">
        <v>348</v>
      </c>
      <c r="CL1" t="s">
        <v>349</v>
      </c>
      <c r="CM1" t="s">
        <v>350</v>
      </c>
      <c r="CN1" t="s">
        <v>351</v>
      </c>
      <c r="CO1" t="s">
        <v>352</v>
      </c>
      <c r="CP1" t="s">
        <v>353</v>
      </c>
      <c r="CQ1" t="s">
        <v>354</v>
      </c>
      <c r="CR1" t="s">
        <v>355</v>
      </c>
      <c r="CS1" t="s">
        <v>356</v>
      </c>
      <c r="CT1" t="s">
        <v>357</v>
      </c>
      <c r="CU1" t="s">
        <v>358</v>
      </c>
      <c r="CV1" t="s">
        <v>359</v>
      </c>
      <c r="CW1" t="s">
        <v>360</v>
      </c>
      <c r="CX1" t="s">
        <v>361</v>
      </c>
      <c r="CY1" t="s">
        <v>362</v>
      </c>
      <c r="CZ1" t="s">
        <v>363</v>
      </c>
      <c r="DA1" t="s">
        <v>364</v>
      </c>
      <c r="DB1" t="s">
        <v>365</v>
      </c>
      <c r="DC1" t="s">
        <v>366</v>
      </c>
      <c r="DD1" t="s">
        <v>367</v>
      </c>
      <c r="DE1" t="s">
        <v>368</v>
      </c>
      <c r="DF1" t="s">
        <v>369</v>
      </c>
      <c r="DG1" t="s">
        <v>370</v>
      </c>
      <c r="DH1" t="s">
        <v>371</v>
      </c>
      <c r="DI1" t="s">
        <v>372</v>
      </c>
      <c r="DJ1" t="s">
        <v>373</v>
      </c>
      <c r="DK1" t="s">
        <v>374</v>
      </c>
      <c r="DL1" t="s">
        <v>375</v>
      </c>
      <c r="DM1" t="s">
        <v>376</v>
      </c>
      <c r="DN1" t="s">
        <v>377</v>
      </c>
      <c r="DO1" t="s">
        <v>378</v>
      </c>
      <c r="DP1" t="s">
        <v>379</v>
      </c>
      <c r="DQ1" t="s">
        <v>380</v>
      </c>
      <c r="DR1" t="s">
        <v>381</v>
      </c>
      <c r="DS1" t="s">
        <v>382</v>
      </c>
      <c r="DT1" t="s">
        <v>383</v>
      </c>
      <c r="DU1" t="s">
        <v>384</v>
      </c>
      <c r="DV1" t="s">
        <v>385</v>
      </c>
      <c r="DW1" t="s">
        <v>386</v>
      </c>
      <c r="DX1" t="s">
        <v>387</v>
      </c>
      <c r="DY1" t="s">
        <v>388</v>
      </c>
      <c r="DZ1" t="s">
        <v>389</v>
      </c>
      <c r="EA1" t="s">
        <v>390</v>
      </c>
      <c r="EB1" t="s">
        <v>391</v>
      </c>
      <c r="EC1" t="s">
        <v>392</v>
      </c>
      <c r="ED1" t="s">
        <v>393</v>
      </c>
      <c r="EE1" t="s">
        <v>394</v>
      </c>
      <c r="EF1" t="s">
        <v>395</v>
      </c>
      <c r="EG1" t="s">
        <v>396</v>
      </c>
      <c r="EH1" t="s">
        <v>397</v>
      </c>
      <c r="EI1" t="s">
        <v>398</v>
      </c>
      <c r="EJ1" t="s">
        <v>399</v>
      </c>
      <c r="EK1" t="s">
        <v>400</v>
      </c>
      <c r="EL1" t="s">
        <v>401</v>
      </c>
      <c r="EM1" t="s">
        <v>402</v>
      </c>
      <c r="EN1" t="s">
        <v>403</v>
      </c>
      <c r="EO1" t="s">
        <v>404</v>
      </c>
      <c r="EP1" t="s">
        <v>405</v>
      </c>
      <c r="EQ1" t="s">
        <v>406</v>
      </c>
      <c r="ER1" t="s">
        <v>407</v>
      </c>
      <c r="ES1" t="s">
        <v>408</v>
      </c>
      <c r="ET1" t="s">
        <v>409</v>
      </c>
      <c r="EU1" t="s">
        <v>410</v>
      </c>
      <c r="EV1" t="s">
        <v>411</v>
      </c>
      <c r="EW1" t="s">
        <v>412</v>
      </c>
      <c r="EX1" t="s">
        <v>413</v>
      </c>
      <c r="EY1" t="s">
        <v>414</v>
      </c>
      <c r="EZ1" t="s">
        <v>415</v>
      </c>
      <c r="FA1" t="s">
        <v>416</v>
      </c>
      <c r="FB1" t="s">
        <v>417</v>
      </c>
      <c r="FC1" t="s">
        <v>418</v>
      </c>
      <c r="FD1" t="s">
        <v>419</v>
      </c>
      <c r="FE1" t="s">
        <v>420</v>
      </c>
      <c r="FF1" t="s">
        <v>421</v>
      </c>
      <c r="FG1" t="s">
        <v>422</v>
      </c>
      <c r="FH1" t="s">
        <v>423</v>
      </c>
      <c r="FI1" t="s">
        <v>424</v>
      </c>
      <c r="FJ1" t="s">
        <v>425</v>
      </c>
      <c r="FK1" t="s">
        <v>426</v>
      </c>
      <c r="FL1" t="s">
        <v>427</v>
      </c>
      <c r="FM1" t="s">
        <v>428</v>
      </c>
      <c r="FN1" t="s">
        <v>429</v>
      </c>
      <c r="FO1" t="s">
        <v>430</v>
      </c>
      <c r="FP1" t="s">
        <v>431</v>
      </c>
      <c r="FQ1" t="s">
        <v>432</v>
      </c>
      <c r="FR1" t="s">
        <v>433</v>
      </c>
      <c r="FS1" t="s">
        <v>434</v>
      </c>
      <c r="FT1" t="s">
        <v>435</v>
      </c>
      <c r="FU1" t="s">
        <v>436</v>
      </c>
      <c r="FV1" t="s">
        <v>437</v>
      </c>
      <c r="FW1" t="s">
        <v>438</v>
      </c>
    </row>
    <row r="2" spans="1:179" x14ac:dyDescent="0.2">
      <c r="A2" t="s">
        <v>77</v>
      </c>
      <c r="B2">
        <v>1.2061200000000001</v>
      </c>
      <c r="C2">
        <v>1.2899999999999999E-3</v>
      </c>
      <c r="D2" t="s">
        <v>443</v>
      </c>
      <c r="E2">
        <v>1.21617</v>
      </c>
      <c r="F2">
        <v>1.256E-2</v>
      </c>
      <c r="G2" t="s">
        <v>443</v>
      </c>
      <c r="H2">
        <v>1.2189099999999999</v>
      </c>
      <c r="I2">
        <v>5.0200000000000002E-3</v>
      </c>
      <c r="J2" t="s">
        <v>443</v>
      </c>
      <c r="K2">
        <v>1.2299</v>
      </c>
      <c r="L2">
        <v>3.0999999999999999E-3</v>
      </c>
      <c r="M2" t="s">
        <v>443</v>
      </c>
      <c r="N2">
        <v>1.21665</v>
      </c>
      <c r="O2">
        <v>5.4400000000000004E-3</v>
      </c>
      <c r="P2" t="s">
        <v>443</v>
      </c>
      <c r="Q2">
        <v>1.19129</v>
      </c>
      <c r="R2">
        <v>1.7010000000000001E-2</v>
      </c>
      <c r="S2" t="s">
        <v>443</v>
      </c>
      <c r="T2">
        <v>1.2195</v>
      </c>
      <c r="U2">
        <v>8.5100000000000002E-3</v>
      </c>
      <c r="V2" t="s">
        <v>443</v>
      </c>
      <c r="W2">
        <v>1.1735100000000001</v>
      </c>
      <c r="X2">
        <v>1.1599999999999999E-2</v>
      </c>
      <c r="Y2" t="s">
        <v>443</v>
      </c>
      <c r="Z2">
        <v>1.1965699999999999</v>
      </c>
      <c r="AA2">
        <v>7.7499999999999999E-3</v>
      </c>
      <c r="AB2" t="s">
        <v>443</v>
      </c>
      <c r="AC2">
        <v>1.2023999999999999</v>
      </c>
      <c r="AD2">
        <v>6.45E-3</v>
      </c>
      <c r="AE2" t="s">
        <v>443</v>
      </c>
      <c r="AF2"/>
      <c r="AG2"/>
      <c r="AH2" t="s">
        <v>440</v>
      </c>
      <c r="AI2">
        <v>1.1694899999999999</v>
      </c>
      <c r="AJ2">
        <v>3.116E-2</v>
      </c>
      <c r="AK2" t="s">
        <v>444</v>
      </c>
      <c r="AL2">
        <v>1.18967</v>
      </c>
      <c r="AM2">
        <v>1.932E-2</v>
      </c>
      <c r="AN2" t="s">
        <v>443</v>
      </c>
      <c r="AO2">
        <v>1.25678</v>
      </c>
      <c r="AP2">
        <v>2.223E-2</v>
      </c>
      <c r="AQ2" t="s">
        <v>443</v>
      </c>
      <c r="AR2">
        <v>4.1804600000000001</v>
      </c>
      <c r="AS2">
        <v>6.9470000000000004E-2</v>
      </c>
      <c r="AT2" t="s">
        <v>443</v>
      </c>
      <c r="AU2">
        <v>1.2237100000000001</v>
      </c>
      <c r="AV2">
        <v>1.5630000000000002E-2</v>
      </c>
      <c r="AW2" t="s">
        <v>443</v>
      </c>
      <c r="AX2">
        <v>1.2250099999999999</v>
      </c>
      <c r="AY2">
        <v>1.652E-2</v>
      </c>
      <c r="AZ2" t="s">
        <v>443</v>
      </c>
      <c r="BA2">
        <v>1.2242999999999999</v>
      </c>
      <c r="BB2">
        <v>4.2900000000000004E-3</v>
      </c>
      <c r="BC2" t="s">
        <v>443</v>
      </c>
      <c r="BD2">
        <v>1.2398100000000001</v>
      </c>
      <c r="BE2">
        <v>9.7300000000000008E-3</v>
      </c>
      <c r="BF2" t="s">
        <v>443</v>
      </c>
      <c r="BG2">
        <v>1.2354499999999999</v>
      </c>
      <c r="BH2">
        <v>1.4489999999999999E-2</v>
      </c>
      <c r="BI2" t="s">
        <v>443</v>
      </c>
      <c r="BJ2">
        <v>1.2667999999999999</v>
      </c>
      <c r="BK2">
        <v>1.206E-2</v>
      </c>
      <c r="BL2" t="s">
        <v>443</v>
      </c>
      <c r="BM2">
        <v>1.25796</v>
      </c>
      <c r="BN2">
        <v>2.2579999999999999E-2</v>
      </c>
      <c r="BO2" t="s">
        <v>443</v>
      </c>
      <c r="BP2">
        <v>1.28966</v>
      </c>
      <c r="BQ2">
        <v>9.11E-3</v>
      </c>
      <c r="BR2" t="s">
        <v>443</v>
      </c>
      <c r="BS2"/>
      <c r="BT2"/>
      <c r="BU2" t="s">
        <v>440</v>
      </c>
      <c r="BV2">
        <v>1.3310299999999999</v>
      </c>
      <c r="BW2">
        <v>5.5700000000000003E-3</v>
      </c>
      <c r="BX2" t="s">
        <v>443</v>
      </c>
      <c r="BY2">
        <v>1.22895</v>
      </c>
      <c r="BZ2">
        <v>1.9310000000000001E-2</v>
      </c>
      <c r="CA2" t="s">
        <v>443</v>
      </c>
      <c r="CB2">
        <v>1.2000200000000001</v>
      </c>
      <c r="CC2">
        <v>1.269E-2</v>
      </c>
      <c r="CD2" t="s">
        <v>443</v>
      </c>
      <c r="CE2">
        <v>1.1836500000000001</v>
      </c>
      <c r="CF2">
        <v>9.8899999999999995E-3</v>
      </c>
      <c r="CG2" t="s">
        <v>443</v>
      </c>
      <c r="CH2">
        <v>1.24451</v>
      </c>
      <c r="CI2">
        <v>7.4000000000000003E-3</v>
      </c>
      <c r="CJ2" t="s">
        <v>443</v>
      </c>
      <c r="CK2">
        <v>1.30016</v>
      </c>
      <c r="CL2">
        <v>6.94E-3</v>
      </c>
      <c r="CM2" t="s">
        <v>443</v>
      </c>
      <c r="CN2">
        <v>8.4497900000000001</v>
      </c>
      <c r="CO2">
        <v>6.9849999999999995E-2</v>
      </c>
      <c r="CP2" t="s">
        <v>443</v>
      </c>
      <c r="CQ2">
        <v>8.5688600000000008</v>
      </c>
      <c r="CR2">
        <v>8.0890000000000004E-2</v>
      </c>
      <c r="CS2" t="s">
        <v>443</v>
      </c>
      <c r="CT2">
        <v>4.2934799999999997</v>
      </c>
      <c r="CU2">
        <v>0.10483000000000001</v>
      </c>
      <c r="CV2" t="s">
        <v>443</v>
      </c>
      <c r="CW2">
        <v>9.0062099999999994</v>
      </c>
      <c r="CX2">
        <v>0.40934999999999999</v>
      </c>
      <c r="CY2" t="s">
        <v>443</v>
      </c>
      <c r="CZ2">
        <v>1.2336100000000001</v>
      </c>
      <c r="DA2">
        <v>5.6279999999999997E-2</v>
      </c>
      <c r="DB2" t="s">
        <v>443</v>
      </c>
      <c r="DC2">
        <v>23.27167</v>
      </c>
      <c r="DD2">
        <v>0.50351000000000001</v>
      </c>
      <c r="DE2" t="s">
        <v>443</v>
      </c>
      <c r="DF2">
        <v>8.8469800000000003</v>
      </c>
      <c r="DG2">
        <v>0.12078999999999999</v>
      </c>
      <c r="DH2" t="s">
        <v>443</v>
      </c>
      <c r="DI2">
        <v>1.25251</v>
      </c>
      <c r="DJ2">
        <v>2.4279999999999999E-2</v>
      </c>
      <c r="DK2" t="s">
        <v>443</v>
      </c>
      <c r="DL2">
        <v>1.22068</v>
      </c>
      <c r="DM2">
        <v>1.018E-2</v>
      </c>
      <c r="DN2" t="s">
        <v>443</v>
      </c>
      <c r="DO2">
        <v>1.2053700000000001</v>
      </c>
      <c r="DP2">
        <v>7.0699999999999999E-3</v>
      </c>
      <c r="DQ2" t="s">
        <v>443</v>
      </c>
      <c r="DR2">
        <v>1.17117</v>
      </c>
      <c r="DS2">
        <v>1.6590000000000001E-2</v>
      </c>
      <c r="DT2" t="s">
        <v>443</v>
      </c>
      <c r="DU2">
        <v>3.8248099999999998</v>
      </c>
      <c r="DV2">
        <v>6.5740000000000007E-2</v>
      </c>
      <c r="DW2" t="s">
        <v>443</v>
      </c>
      <c r="DX2">
        <v>1.2166300000000001</v>
      </c>
      <c r="DY2">
        <v>2.726E-2</v>
      </c>
      <c r="DZ2" t="s">
        <v>443</v>
      </c>
      <c r="EA2">
        <v>1.1200399999999999</v>
      </c>
      <c r="EB2">
        <v>2.7830000000000001E-2</v>
      </c>
      <c r="EC2" t="s">
        <v>443</v>
      </c>
      <c r="ED2">
        <v>1.20095</v>
      </c>
      <c r="EE2">
        <v>1.8319999999999999E-2</v>
      </c>
      <c r="EF2" t="s">
        <v>443</v>
      </c>
      <c r="EG2">
        <v>4.3483599999999996</v>
      </c>
      <c r="EH2">
        <v>8.6679999999999993E-2</v>
      </c>
      <c r="EI2" t="s">
        <v>443</v>
      </c>
      <c r="EJ2"/>
      <c r="EK2"/>
      <c r="EL2" t="s">
        <v>440</v>
      </c>
      <c r="EM2">
        <v>1.2312799999999999</v>
      </c>
      <c r="EN2">
        <v>4.0469999999999999E-2</v>
      </c>
      <c r="EO2" t="s">
        <v>443</v>
      </c>
      <c r="EP2"/>
      <c r="EQ2"/>
      <c r="ER2" t="s">
        <v>440</v>
      </c>
      <c r="ES2">
        <v>9.3603000000000005</v>
      </c>
      <c r="ET2">
        <v>0.30048999999999998</v>
      </c>
      <c r="EU2" t="s">
        <v>443</v>
      </c>
      <c r="EV2">
        <v>1.53312</v>
      </c>
      <c r="EW2">
        <v>7.1360000000000007E-2</v>
      </c>
      <c r="EX2" t="s">
        <v>443</v>
      </c>
      <c r="EY2">
        <v>1.2697400000000001</v>
      </c>
      <c r="EZ2">
        <v>7.2730000000000003E-2</v>
      </c>
      <c r="FA2" t="s">
        <v>443</v>
      </c>
      <c r="FB2">
        <v>1.27481</v>
      </c>
      <c r="FC2">
        <v>3.8580000000000003E-2</v>
      </c>
      <c r="FD2" t="s">
        <v>445</v>
      </c>
      <c r="FE2">
        <v>1.09988</v>
      </c>
      <c r="FF2">
        <v>9.8239999999999994E-2</v>
      </c>
      <c r="FG2" t="s">
        <v>444</v>
      </c>
      <c r="FH2"/>
      <c r="FI2"/>
      <c r="FJ2" t="s">
        <v>440</v>
      </c>
      <c r="FK2"/>
      <c r="FL2"/>
      <c r="FM2" t="s">
        <v>440</v>
      </c>
      <c r="FN2">
        <v>1.2957099999999999</v>
      </c>
      <c r="FO2">
        <v>4.0570000000000002E-2</v>
      </c>
      <c r="FP2" t="s">
        <v>444</v>
      </c>
      <c r="FQ2"/>
      <c r="FR2"/>
      <c r="FS2" t="s">
        <v>440</v>
      </c>
      <c r="FT2">
        <v>1</v>
      </c>
      <c r="FU2"/>
      <c r="FV2"/>
      <c r="FW2">
        <v>10</v>
      </c>
    </row>
    <row r="3" spans="1:179" x14ac:dyDescent="0.2">
      <c r="A3" t="s">
        <v>86</v>
      </c>
      <c r="B3">
        <v>1.2566999999999999</v>
      </c>
      <c r="C3">
        <v>2.1319999999999999E-2</v>
      </c>
      <c r="D3" t="s">
        <v>443</v>
      </c>
      <c r="E3">
        <v>1.27339</v>
      </c>
      <c r="F3">
        <v>1.7469999999999999E-2</v>
      </c>
      <c r="G3" t="s">
        <v>443</v>
      </c>
      <c r="H3">
        <v>1.2153700000000001</v>
      </c>
      <c r="I3">
        <v>2.8469999999999999E-2</v>
      </c>
      <c r="J3" t="s">
        <v>443</v>
      </c>
      <c r="K3">
        <v>1.25654</v>
      </c>
      <c r="L3">
        <v>2.664E-2</v>
      </c>
      <c r="M3" t="s">
        <v>443</v>
      </c>
      <c r="N3">
        <v>1.2309699999999999</v>
      </c>
      <c r="O3">
        <v>4.0509999999999997E-2</v>
      </c>
      <c r="P3" t="s">
        <v>443</v>
      </c>
      <c r="Q3">
        <v>1.19608</v>
      </c>
      <c r="R3">
        <v>3.0710000000000001E-2</v>
      </c>
      <c r="S3" t="s">
        <v>443</v>
      </c>
      <c r="T3">
        <v>1.2283500000000001</v>
      </c>
      <c r="U3">
        <v>3.117E-2</v>
      </c>
      <c r="V3" t="s">
        <v>443</v>
      </c>
      <c r="W3">
        <v>1.19468</v>
      </c>
      <c r="X3">
        <v>9.4599999999999997E-3</v>
      </c>
      <c r="Y3" t="s">
        <v>443</v>
      </c>
      <c r="Z3">
        <v>1.21269</v>
      </c>
      <c r="AA3">
        <v>2.3650000000000001E-2</v>
      </c>
      <c r="AB3" t="s">
        <v>443</v>
      </c>
      <c r="AC3">
        <v>1.2165999999999999</v>
      </c>
      <c r="AD3">
        <v>2.0709999999999999E-2</v>
      </c>
      <c r="AE3" t="s">
        <v>443</v>
      </c>
      <c r="AF3"/>
      <c r="AG3"/>
      <c r="AH3" t="s">
        <v>440</v>
      </c>
      <c r="AI3">
        <v>1.1749000000000001</v>
      </c>
      <c r="AJ3">
        <v>3.3180000000000001E-2</v>
      </c>
      <c r="AK3" t="s">
        <v>444</v>
      </c>
      <c r="AL3">
        <v>1.19726</v>
      </c>
      <c r="AM3">
        <v>1.9040000000000001E-2</v>
      </c>
      <c r="AN3" t="s">
        <v>443</v>
      </c>
      <c r="AO3">
        <v>1.2436</v>
      </c>
      <c r="AP3">
        <v>1.9050000000000001E-2</v>
      </c>
      <c r="AQ3" t="s">
        <v>443</v>
      </c>
      <c r="AR3">
        <v>4.2267599999999996</v>
      </c>
      <c r="AS3">
        <v>7.8880000000000006E-2</v>
      </c>
      <c r="AT3" t="s">
        <v>443</v>
      </c>
      <c r="AU3">
        <v>1.2263999999999999</v>
      </c>
      <c r="AV3">
        <v>2.8920000000000001E-2</v>
      </c>
      <c r="AW3" t="s">
        <v>443</v>
      </c>
      <c r="AX3">
        <v>1.2315799999999999</v>
      </c>
      <c r="AY3">
        <v>2.4830000000000001E-2</v>
      </c>
      <c r="AZ3" t="s">
        <v>443</v>
      </c>
      <c r="BA3">
        <v>1.2448699999999999</v>
      </c>
      <c r="BB3">
        <v>2.1010000000000001E-2</v>
      </c>
      <c r="BC3" t="s">
        <v>443</v>
      </c>
      <c r="BD3">
        <v>1.2531099999999999</v>
      </c>
      <c r="BE3">
        <v>1.6990000000000002E-2</v>
      </c>
      <c r="BF3" t="s">
        <v>443</v>
      </c>
      <c r="BG3">
        <v>1.25116</v>
      </c>
      <c r="BH3">
        <v>4.0370000000000003E-2</v>
      </c>
      <c r="BI3" t="s">
        <v>443</v>
      </c>
      <c r="BJ3">
        <v>1.28759</v>
      </c>
      <c r="BK3">
        <v>7.9000000000000001E-4</v>
      </c>
      <c r="BL3" t="s">
        <v>443</v>
      </c>
      <c r="BM3">
        <v>1.2740100000000001</v>
      </c>
      <c r="BN3">
        <v>1.413E-2</v>
      </c>
      <c r="BO3" t="s">
        <v>443</v>
      </c>
      <c r="BP3">
        <v>1.28881</v>
      </c>
      <c r="BQ3">
        <v>1.264E-2</v>
      </c>
      <c r="BR3" t="s">
        <v>443</v>
      </c>
      <c r="BS3"/>
      <c r="BT3"/>
      <c r="BU3" t="s">
        <v>440</v>
      </c>
      <c r="BV3">
        <v>-1.1224799999999999</v>
      </c>
      <c r="BW3">
        <v>2.1999999999999999E-2</v>
      </c>
      <c r="BX3" t="s">
        <v>445</v>
      </c>
      <c r="BY3">
        <v>1.2435700000000001</v>
      </c>
      <c r="BZ3">
        <v>4.2909999999999997E-2</v>
      </c>
      <c r="CA3" t="s">
        <v>443</v>
      </c>
      <c r="CB3">
        <v>1.2110099999999999</v>
      </c>
      <c r="CC3">
        <v>2.3189999999999999E-2</v>
      </c>
      <c r="CD3" t="s">
        <v>443</v>
      </c>
      <c r="CE3">
        <v>1.18855</v>
      </c>
      <c r="CF3">
        <v>1.7909999999999999E-2</v>
      </c>
      <c r="CG3" t="s">
        <v>443</v>
      </c>
      <c r="CH3">
        <v>1.21739</v>
      </c>
      <c r="CI3">
        <v>2.3009999999999999E-2</v>
      </c>
      <c r="CJ3" t="s">
        <v>443</v>
      </c>
      <c r="CK3">
        <v>1.3162</v>
      </c>
      <c r="CL3">
        <v>2.843E-2</v>
      </c>
      <c r="CM3" t="s">
        <v>443</v>
      </c>
      <c r="CN3">
        <v>8.0341000000000005</v>
      </c>
      <c r="CO3">
        <v>8.6550000000000002E-2</v>
      </c>
      <c r="CP3" t="s">
        <v>443</v>
      </c>
      <c r="CQ3">
        <v>8.4353300000000004</v>
      </c>
      <c r="CR3">
        <v>0.11051999999999999</v>
      </c>
      <c r="CS3" t="s">
        <v>443</v>
      </c>
      <c r="CT3">
        <v>4.1105900000000002</v>
      </c>
      <c r="CU3">
        <v>8.6449999999999999E-2</v>
      </c>
      <c r="CV3" t="s">
        <v>443</v>
      </c>
      <c r="CW3">
        <v>8.6080199999999998</v>
      </c>
      <c r="CX3">
        <v>0.35328999999999999</v>
      </c>
      <c r="CY3" t="s">
        <v>443</v>
      </c>
      <c r="CZ3">
        <v>1.25485</v>
      </c>
      <c r="DA3">
        <v>3.0159999999999999E-2</v>
      </c>
      <c r="DB3" t="s">
        <v>443</v>
      </c>
      <c r="DC3">
        <v>23.14209</v>
      </c>
      <c r="DD3">
        <v>0.39900999999999998</v>
      </c>
      <c r="DE3" t="s">
        <v>443</v>
      </c>
      <c r="DF3">
        <v>9.4242899999999992</v>
      </c>
      <c r="DG3">
        <v>0.32034000000000001</v>
      </c>
      <c r="DH3" t="s">
        <v>443</v>
      </c>
      <c r="DI3">
        <v>1.2070700000000001</v>
      </c>
      <c r="DJ3">
        <v>2.3470000000000001E-2</v>
      </c>
      <c r="DK3" t="s">
        <v>443</v>
      </c>
      <c r="DL3">
        <v>1.1747700000000001</v>
      </c>
      <c r="DM3">
        <v>2.5409999999999999E-2</v>
      </c>
      <c r="DN3" t="s">
        <v>443</v>
      </c>
      <c r="DO3">
        <v>1.1809700000000001</v>
      </c>
      <c r="DP3">
        <v>3.5150000000000001E-2</v>
      </c>
      <c r="DQ3" t="s">
        <v>443</v>
      </c>
      <c r="DR3">
        <v>1.15418</v>
      </c>
      <c r="DS3">
        <v>2.69E-2</v>
      </c>
      <c r="DT3" t="s">
        <v>443</v>
      </c>
      <c r="DU3">
        <v>3.8012899999999998</v>
      </c>
      <c r="DV3">
        <v>0.15306</v>
      </c>
      <c r="DW3" t="s">
        <v>443</v>
      </c>
      <c r="DX3">
        <v>1.1748499999999999</v>
      </c>
      <c r="DY3">
        <v>2.7529999999999999E-2</v>
      </c>
      <c r="DZ3" t="s">
        <v>443</v>
      </c>
      <c r="EA3">
        <v>1.1044799999999999</v>
      </c>
      <c r="EB3">
        <v>2.4559999999999998E-2</v>
      </c>
      <c r="EC3" t="s">
        <v>443</v>
      </c>
      <c r="ED3">
        <v>1.21068</v>
      </c>
      <c r="EE3">
        <v>1.619E-2</v>
      </c>
      <c r="EF3" t="s">
        <v>443</v>
      </c>
      <c r="EG3">
        <v>4.3614600000000001</v>
      </c>
      <c r="EH3">
        <v>0.12827</v>
      </c>
      <c r="EI3" t="s">
        <v>443</v>
      </c>
      <c r="EJ3"/>
      <c r="EK3"/>
      <c r="EL3" t="s">
        <v>440</v>
      </c>
      <c r="EM3">
        <v>1.19472</v>
      </c>
      <c r="EN3">
        <v>2.716E-2</v>
      </c>
      <c r="EO3" t="s">
        <v>443</v>
      </c>
      <c r="EP3"/>
      <c r="EQ3"/>
      <c r="ER3" t="s">
        <v>440</v>
      </c>
      <c r="ES3">
        <v>9.2152200000000004</v>
      </c>
      <c r="ET3">
        <v>0.27629999999999999</v>
      </c>
      <c r="EU3" t="s">
        <v>443</v>
      </c>
      <c r="EV3">
        <v>1.4147000000000001</v>
      </c>
      <c r="EW3">
        <v>3.4450000000000001E-2</v>
      </c>
      <c r="EX3" t="s">
        <v>443</v>
      </c>
      <c r="EY3">
        <v>1.22607</v>
      </c>
      <c r="EZ3">
        <v>3.1620000000000002E-2</v>
      </c>
      <c r="FA3" t="s">
        <v>443</v>
      </c>
      <c r="FB3">
        <v>1.23448</v>
      </c>
      <c r="FC3">
        <v>0.10213</v>
      </c>
      <c r="FD3" t="s">
        <v>445</v>
      </c>
      <c r="FE3">
        <v>1.48647</v>
      </c>
      <c r="FF3">
        <v>5.0099999999999999E-2</v>
      </c>
      <c r="FG3" t="s">
        <v>444</v>
      </c>
      <c r="FH3"/>
      <c r="FI3"/>
      <c r="FJ3" t="s">
        <v>440</v>
      </c>
      <c r="FK3"/>
      <c r="FL3"/>
      <c r="FM3" t="s">
        <v>440</v>
      </c>
      <c r="FN3">
        <v>1.22855</v>
      </c>
      <c r="FO3">
        <v>4.2130000000000001E-2</v>
      </c>
      <c r="FP3" t="s">
        <v>444</v>
      </c>
      <c r="FQ3"/>
      <c r="FR3"/>
      <c r="FS3" t="s">
        <v>440</v>
      </c>
      <c r="FT3">
        <v>1</v>
      </c>
      <c r="FU3"/>
      <c r="FV3"/>
      <c r="FW3">
        <v>19</v>
      </c>
    </row>
    <row r="4" spans="1:179" x14ac:dyDescent="0.2">
      <c r="A4" t="s">
        <v>99</v>
      </c>
      <c r="B4">
        <v>1.2318899999999999</v>
      </c>
      <c r="C4">
        <v>2.3600000000000001E-3</v>
      </c>
      <c r="D4" t="s">
        <v>443</v>
      </c>
      <c r="E4">
        <v>1.2584299999999999</v>
      </c>
      <c r="F4">
        <v>1.8159999999999999E-2</v>
      </c>
      <c r="G4" t="s">
        <v>443</v>
      </c>
      <c r="H4">
        <v>1.20699</v>
      </c>
      <c r="I4">
        <v>1.2829999999999999E-2</v>
      </c>
      <c r="J4" t="s">
        <v>443</v>
      </c>
      <c r="K4">
        <v>1.25562</v>
      </c>
      <c r="L4">
        <v>1.6539999999999999E-2</v>
      </c>
      <c r="M4" t="s">
        <v>443</v>
      </c>
      <c r="N4">
        <v>1.2180200000000001</v>
      </c>
      <c r="O4">
        <v>2.3859999999999999E-2</v>
      </c>
      <c r="P4" t="s">
        <v>443</v>
      </c>
      <c r="Q4">
        <v>1.1901900000000001</v>
      </c>
      <c r="R4">
        <v>8.09E-3</v>
      </c>
      <c r="S4" t="s">
        <v>443</v>
      </c>
      <c r="T4">
        <v>1.2252099999999999</v>
      </c>
      <c r="U4">
        <v>2.0559999999999998E-2</v>
      </c>
      <c r="V4" t="s">
        <v>443</v>
      </c>
      <c r="W4">
        <v>1.17692</v>
      </c>
      <c r="X4">
        <v>2.2540000000000001E-2</v>
      </c>
      <c r="Y4" t="s">
        <v>443</v>
      </c>
      <c r="Z4">
        <v>1.2031000000000001</v>
      </c>
      <c r="AA4">
        <v>1.9730000000000001E-2</v>
      </c>
      <c r="AB4" t="s">
        <v>443</v>
      </c>
      <c r="AC4">
        <v>1.1980200000000001</v>
      </c>
      <c r="AD4">
        <v>2.2249999999999999E-2</v>
      </c>
      <c r="AE4" t="s">
        <v>443</v>
      </c>
      <c r="AF4"/>
      <c r="AG4"/>
      <c r="AH4" t="s">
        <v>440</v>
      </c>
      <c r="AI4">
        <v>1.17441</v>
      </c>
      <c r="AJ4">
        <v>2.4989999999999998E-2</v>
      </c>
      <c r="AK4" t="s">
        <v>444</v>
      </c>
      <c r="AL4">
        <v>1.18885</v>
      </c>
      <c r="AM4">
        <v>2.4140000000000002E-2</v>
      </c>
      <c r="AN4" t="s">
        <v>443</v>
      </c>
      <c r="AO4">
        <v>1.24251</v>
      </c>
      <c r="AP4">
        <v>1.12E-2</v>
      </c>
      <c r="AQ4" t="s">
        <v>443</v>
      </c>
      <c r="AR4">
        <v>4.2551800000000002</v>
      </c>
      <c r="AS4">
        <v>1.8440000000000002E-2</v>
      </c>
      <c r="AT4" t="s">
        <v>443</v>
      </c>
      <c r="AU4">
        <v>1.2222599999999999</v>
      </c>
      <c r="AV4">
        <v>1.038E-2</v>
      </c>
      <c r="AW4" t="s">
        <v>443</v>
      </c>
      <c r="AX4">
        <v>1.2344599999999999</v>
      </c>
      <c r="AY4">
        <v>1.4019999999999999E-2</v>
      </c>
      <c r="AZ4" t="s">
        <v>443</v>
      </c>
      <c r="BA4">
        <v>1.2261299999999999</v>
      </c>
      <c r="BB4">
        <v>1.7819999999999999E-2</v>
      </c>
      <c r="BC4" t="s">
        <v>443</v>
      </c>
      <c r="BD4">
        <v>1.2390099999999999</v>
      </c>
      <c r="BE4">
        <v>1.273E-2</v>
      </c>
      <c r="BF4" t="s">
        <v>443</v>
      </c>
      <c r="BG4">
        <v>1.2354400000000001</v>
      </c>
      <c r="BH4">
        <v>1.183E-2</v>
      </c>
      <c r="BI4" t="s">
        <v>443</v>
      </c>
      <c r="BJ4">
        <v>1.28277</v>
      </c>
      <c r="BK4">
        <v>3.2120000000000003E-2</v>
      </c>
      <c r="BL4" t="s">
        <v>443</v>
      </c>
      <c r="BM4">
        <v>1.2583599999999999</v>
      </c>
      <c r="BN4">
        <v>4.9390000000000003E-2</v>
      </c>
      <c r="BO4" t="s">
        <v>443</v>
      </c>
      <c r="BP4">
        <v>1.2675000000000001</v>
      </c>
      <c r="BQ4">
        <v>2.0410000000000001E-2</v>
      </c>
      <c r="BR4" t="s">
        <v>443</v>
      </c>
      <c r="BS4"/>
      <c r="BT4"/>
      <c r="BU4" t="s">
        <v>440</v>
      </c>
      <c r="BV4">
        <v>-1.12876</v>
      </c>
      <c r="BW4">
        <v>1.592E-2</v>
      </c>
      <c r="BX4" t="s">
        <v>445</v>
      </c>
      <c r="BY4">
        <v>1.2358800000000001</v>
      </c>
      <c r="BZ4">
        <v>8.7399999999999995E-3</v>
      </c>
      <c r="CA4" t="s">
        <v>443</v>
      </c>
      <c r="CB4">
        <v>1.1876500000000001</v>
      </c>
      <c r="CC4">
        <v>3.3739999999999999E-2</v>
      </c>
      <c r="CD4" t="s">
        <v>443</v>
      </c>
      <c r="CE4">
        <v>1.19103</v>
      </c>
      <c r="CF4">
        <v>1.7850000000000001E-2</v>
      </c>
      <c r="CG4" t="s">
        <v>443</v>
      </c>
      <c r="CH4">
        <v>1.1987300000000001</v>
      </c>
      <c r="CI4">
        <v>1.83E-2</v>
      </c>
      <c r="CJ4" t="s">
        <v>443</v>
      </c>
      <c r="CK4">
        <v>1.3057399999999999</v>
      </c>
      <c r="CL4">
        <v>2.4150000000000001E-2</v>
      </c>
      <c r="CM4" t="s">
        <v>443</v>
      </c>
      <c r="CN4">
        <v>8.0009399999999999</v>
      </c>
      <c r="CO4">
        <v>0.19134000000000001</v>
      </c>
      <c r="CP4" t="s">
        <v>443</v>
      </c>
      <c r="CQ4">
        <v>8.6718499999999992</v>
      </c>
      <c r="CR4">
        <v>0.2908</v>
      </c>
      <c r="CS4" t="s">
        <v>443</v>
      </c>
      <c r="CT4">
        <v>4.2017300000000004</v>
      </c>
      <c r="CU4">
        <v>0.20657</v>
      </c>
      <c r="CV4" t="s">
        <v>443</v>
      </c>
      <c r="CW4">
        <v>11.20567</v>
      </c>
      <c r="CX4">
        <v>0.37869999999999998</v>
      </c>
      <c r="CY4" t="s">
        <v>443</v>
      </c>
      <c r="CZ4">
        <v>1.2602199999999999</v>
      </c>
      <c r="DA4">
        <v>7.8789999999999999E-2</v>
      </c>
      <c r="DB4" t="s">
        <v>443</v>
      </c>
      <c r="DC4">
        <v>24.134440000000001</v>
      </c>
      <c r="DD4">
        <v>0.18720000000000001</v>
      </c>
      <c r="DE4" t="s">
        <v>443</v>
      </c>
      <c r="DF4">
        <v>9.3454899999999999</v>
      </c>
      <c r="DG4">
        <v>0.24257999999999999</v>
      </c>
      <c r="DH4" t="s">
        <v>443</v>
      </c>
      <c r="DI4">
        <v>1.2135199999999999</v>
      </c>
      <c r="DJ4">
        <v>6.0909999999999999E-2</v>
      </c>
      <c r="DK4" t="s">
        <v>443</v>
      </c>
      <c r="DL4">
        <v>1.2108699999999999</v>
      </c>
      <c r="DM4">
        <v>2.1309999999999999E-2</v>
      </c>
      <c r="DN4" t="s">
        <v>443</v>
      </c>
      <c r="DO4">
        <v>1.2198199999999999</v>
      </c>
      <c r="DP4">
        <v>4.5199999999999997E-3</v>
      </c>
      <c r="DQ4" t="s">
        <v>443</v>
      </c>
      <c r="DR4">
        <v>1.1807399999999999</v>
      </c>
      <c r="DS4">
        <v>1.7680000000000001E-2</v>
      </c>
      <c r="DT4" t="s">
        <v>443</v>
      </c>
      <c r="DU4">
        <v>3.8532000000000002</v>
      </c>
      <c r="DV4">
        <v>0.13106999999999999</v>
      </c>
      <c r="DW4" t="s">
        <v>443</v>
      </c>
      <c r="DX4">
        <v>1.19109</v>
      </c>
      <c r="DY4">
        <v>3.3140000000000003E-2</v>
      </c>
      <c r="DZ4" t="s">
        <v>443</v>
      </c>
      <c r="EA4">
        <v>1.1179699999999999</v>
      </c>
      <c r="EB4">
        <v>3.7609999999999998E-2</v>
      </c>
      <c r="EC4" t="s">
        <v>443</v>
      </c>
      <c r="ED4">
        <v>1.1890000000000001</v>
      </c>
      <c r="EE4">
        <v>4.0509999999999997E-2</v>
      </c>
      <c r="EF4" t="s">
        <v>443</v>
      </c>
      <c r="EG4">
        <v>5.1833299999999998</v>
      </c>
      <c r="EH4">
        <v>0.18229000000000001</v>
      </c>
      <c r="EI4" t="s">
        <v>443</v>
      </c>
      <c r="EJ4"/>
      <c r="EK4"/>
      <c r="EL4" t="s">
        <v>440</v>
      </c>
      <c r="EM4">
        <v>1.22342</v>
      </c>
      <c r="EN4">
        <v>8.7399999999999995E-3</v>
      </c>
      <c r="EO4" t="s">
        <v>443</v>
      </c>
      <c r="EP4"/>
      <c r="EQ4"/>
      <c r="ER4" t="s">
        <v>440</v>
      </c>
      <c r="ES4">
        <v>10.87377</v>
      </c>
      <c r="ET4">
        <v>0.44079000000000002</v>
      </c>
      <c r="EU4" t="s">
        <v>443</v>
      </c>
      <c r="EV4">
        <v>1.4008799999999999</v>
      </c>
      <c r="EW4">
        <v>2.7529999999999999E-2</v>
      </c>
      <c r="EX4" t="s">
        <v>443</v>
      </c>
      <c r="EY4">
        <v>1.2063600000000001</v>
      </c>
      <c r="EZ4">
        <v>9.7489999999999993E-2</v>
      </c>
      <c r="FA4" t="s">
        <v>443</v>
      </c>
      <c r="FB4">
        <v>1.21193</v>
      </c>
      <c r="FC4">
        <v>0.10298</v>
      </c>
      <c r="FD4" t="s">
        <v>445</v>
      </c>
      <c r="FE4">
        <v>2.2099799999999998</v>
      </c>
      <c r="FF4">
        <v>0.56647000000000003</v>
      </c>
      <c r="FG4" t="s">
        <v>444</v>
      </c>
      <c r="FH4"/>
      <c r="FI4"/>
      <c r="FJ4" t="s">
        <v>440</v>
      </c>
      <c r="FK4"/>
      <c r="FL4"/>
      <c r="FM4" t="s">
        <v>440</v>
      </c>
      <c r="FN4">
        <v>1.2480800000000001</v>
      </c>
      <c r="FO4">
        <v>6.479E-2</v>
      </c>
      <c r="FP4" t="s">
        <v>444</v>
      </c>
      <c r="FQ4"/>
      <c r="FR4"/>
      <c r="FS4" t="s">
        <v>440</v>
      </c>
      <c r="FT4">
        <v>1</v>
      </c>
      <c r="FU4"/>
      <c r="FV4"/>
      <c r="FW4">
        <v>32</v>
      </c>
    </row>
    <row r="5" spans="1:179" x14ac:dyDescent="0.2">
      <c r="A5" t="s">
        <v>112</v>
      </c>
      <c r="B5">
        <v>1.1893800000000001</v>
      </c>
      <c r="C5">
        <v>6.1700000000000001E-3</v>
      </c>
      <c r="D5" t="s">
        <v>443</v>
      </c>
      <c r="E5">
        <v>1.21855</v>
      </c>
      <c r="F5">
        <v>4.45E-3</v>
      </c>
      <c r="G5" t="s">
        <v>443</v>
      </c>
      <c r="H5">
        <v>1.19519</v>
      </c>
      <c r="I5">
        <v>2.1739999999999999E-2</v>
      </c>
      <c r="J5" t="s">
        <v>443</v>
      </c>
      <c r="K5">
        <v>1.2432799999999999</v>
      </c>
      <c r="L5">
        <v>1.8839999999999999E-2</v>
      </c>
      <c r="M5" t="s">
        <v>443</v>
      </c>
      <c r="N5">
        <v>1.2080500000000001</v>
      </c>
      <c r="O5">
        <v>1.115E-2</v>
      </c>
      <c r="P5" t="s">
        <v>443</v>
      </c>
      <c r="Q5">
        <v>1.173</v>
      </c>
      <c r="R5">
        <v>2.1399999999999999E-2</v>
      </c>
      <c r="S5" t="s">
        <v>443</v>
      </c>
      <c r="T5">
        <v>1.2045399999999999</v>
      </c>
      <c r="U5">
        <v>1.389E-2</v>
      </c>
      <c r="V5" t="s">
        <v>443</v>
      </c>
      <c r="W5">
        <v>1.16275</v>
      </c>
      <c r="X5">
        <v>1.636E-2</v>
      </c>
      <c r="Y5" t="s">
        <v>443</v>
      </c>
      <c r="Z5">
        <v>1.17544</v>
      </c>
      <c r="AA5">
        <v>2.1000000000000001E-2</v>
      </c>
      <c r="AB5" t="s">
        <v>443</v>
      </c>
      <c r="AC5">
        <v>1.1899900000000001</v>
      </c>
      <c r="AD5">
        <v>6.8599999999999998E-3</v>
      </c>
      <c r="AE5" t="s">
        <v>443</v>
      </c>
      <c r="AF5"/>
      <c r="AG5"/>
      <c r="AH5" t="s">
        <v>440</v>
      </c>
      <c r="AI5">
        <v>1.1632199999999999</v>
      </c>
      <c r="AJ5">
        <v>1.8259999999999998E-2</v>
      </c>
      <c r="AK5" t="s">
        <v>444</v>
      </c>
      <c r="AL5">
        <v>1.1702600000000001</v>
      </c>
      <c r="AM5">
        <v>9.4299999999999991E-3</v>
      </c>
      <c r="AN5" t="s">
        <v>443</v>
      </c>
      <c r="AO5">
        <v>1.2142900000000001</v>
      </c>
      <c r="AP5">
        <v>2.1010000000000001E-2</v>
      </c>
      <c r="AQ5" t="s">
        <v>443</v>
      </c>
      <c r="AR5">
        <v>4.15937</v>
      </c>
      <c r="AS5">
        <v>6.4070000000000002E-2</v>
      </c>
      <c r="AT5" t="s">
        <v>443</v>
      </c>
      <c r="AU5">
        <v>1.1970099999999999</v>
      </c>
      <c r="AV5">
        <v>1.8689999999999998E-2</v>
      </c>
      <c r="AW5" t="s">
        <v>443</v>
      </c>
      <c r="AX5">
        <v>1.20078</v>
      </c>
      <c r="AY5">
        <v>3.9829999999999997E-2</v>
      </c>
      <c r="AZ5" t="s">
        <v>443</v>
      </c>
      <c r="BA5">
        <v>1.2118899999999999</v>
      </c>
      <c r="BB5">
        <v>2.647E-2</v>
      </c>
      <c r="BC5" t="s">
        <v>443</v>
      </c>
      <c r="BD5">
        <v>1.2153</v>
      </c>
      <c r="BE5">
        <v>0.02</v>
      </c>
      <c r="BF5" t="s">
        <v>443</v>
      </c>
      <c r="BG5">
        <v>1.19645</v>
      </c>
      <c r="BH5">
        <v>2.6009999999999998E-2</v>
      </c>
      <c r="BI5" t="s">
        <v>443</v>
      </c>
      <c r="BJ5">
        <v>1.2567699999999999</v>
      </c>
      <c r="BK5">
        <v>1.3559999999999999E-2</v>
      </c>
      <c r="BL5" t="s">
        <v>443</v>
      </c>
      <c r="BM5">
        <v>1.2235199999999999</v>
      </c>
      <c r="BN5">
        <v>1.9550000000000001E-2</v>
      </c>
      <c r="BO5" t="s">
        <v>443</v>
      </c>
      <c r="BP5">
        <v>1.2285299999999999</v>
      </c>
      <c r="BQ5">
        <v>1.6490000000000001E-2</v>
      </c>
      <c r="BR5" t="s">
        <v>443</v>
      </c>
      <c r="BS5"/>
      <c r="BT5"/>
      <c r="BU5" t="s">
        <v>440</v>
      </c>
      <c r="BV5">
        <v>-1.14435</v>
      </c>
      <c r="BW5">
        <v>1.6389999999999998E-2</v>
      </c>
      <c r="BX5" t="s">
        <v>445</v>
      </c>
      <c r="BY5">
        <v>1.2031499999999999</v>
      </c>
      <c r="BZ5">
        <v>6.3499999999999997E-3</v>
      </c>
      <c r="CA5" t="s">
        <v>443</v>
      </c>
      <c r="CB5">
        <v>1.15404</v>
      </c>
      <c r="CC5">
        <v>1.3050000000000001E-2</v>
      </c>
      <c r="CD5" t="s">
        <v>443</v>
      </c>
      <c r="CE5">
        <v>1.16926</v>
      </c>
      <c r="CF5">
        <v>1.6070000000000001E-2</v>
      </c>
      <c r="CG5" t="s">
        <v>443</v>
      </c>
      <c r="CH5">
        <v>1.177</v>
      </c>
      <c r="CI5">
        <v>9.9299999999999996E-3</v>
      </c>
      <c r="CJ5" t="s">
        <v>443</v>
      </c>
      <c r="CK5">
        <v>1.2735700000000001</v>
      </c>
      <c r="CL5">
        <v>2.044E-2</v>
      </c>
      <c r="CM5" t="s">
        <v>443</v>
      </c>
      <c r="CN5">
        <v>7.5827600000000004</v>
      </c>
      <c r="CO5">
        <v>0.37334000000000001</v>
      </c>
      <c r="CP5" t="s">
        <v>443</v>
      </c>
      <c r="CQ5">
        <v>8.4063199999999991</v>
      </c>
      <c r="CR5">
        <v>0.497</v>
      </c>
      <c r="CS5" t="s">
        <v>443</v>
      </c>
      <c r="CT5">
        <v>4.05877</v>
      </c>
      <c r="CU5">
        <v>0.30307000000000001</v>
      </c>
      <c r="CV5" t="s">
        <v>443</v>
      </c>
      <c r="CW5">
        <v>10.712289999999999</v>
      </c>
      <c r="CX5">
        <v>0.94020000000000004</v>
      </c>
      <c r="CY5" t="s">
        <v>443</v>
      </c>
      <c r="CZ5">
        <v>1.3065599999999999</v>
      </c>
      <c r="DA5">
        <v>0.11387</v>
      </c>
      <c r="DB5" t="s">
        <v>443</v>
      </c>
      <c r="DC5">
        <v>23.72682</v>
      </c>
      <c r="DD5">
        <v>1.2198500000000001</v>
      </c>
      <c r="DE5" t="s">
        <v>443</v>
      </c>
      <c r="DF5">
        <v>9.0955399999999997</v>
      </c>
      <c r="DG5">
        <v>0.33771000000000001</v>
      </c>
      <c r="DH5" t="s">
        <v>443</v>
      </c>
      <c r="DI5">
        <v>1.1867000000000001</v>
      </c>
      <c r="DJ5">
        <v>4.0219999999999999E-2</v>
      </c>
      <c r="DK5" t="s">
        <v>443</v>
      </c>
      <c r="DL5">
        <v>1.20211</v>
      </c>
      <c r="DM5">
        <v>1.925E-2</v>
      </c>
      <c r="DN5" t="s">
        <v>443</v>
      </c>
      <c r="DO5">
        <v>1.2069000000000001</v>
      </c>
      <c r="DP5">
        <v>2.6679999999999999E-2</v>
      </c>
      <c r="DQ5" t="s">
        <v>443</v>
      </c>
      <c r="DR5">
        <v>1.1769700000000001</v>
      </c>
      <c r="DS5">
        <v>9.4900000000000002E-3</v>
      </c>
      <c r="DT5" t="s">
        <v>443</v>
      </c>
      <c r="DU5">
        <v>3.81995</v>
      </c>
      <c r="DV5">
        <v>7.1879999999999999E-2</v>
      </c>
      <c r="DW5" t="s">
        <v>443</v>
      </c>
      <c r="DX5">
        <v>1.17319</v>
      </c>
      <c r="DY5">
        <v>2.155E-2</v>
      </c>
      <c r="DZ5" t="s">
        <v>443</v>
      </c>
      <c r="EA5">
        <v>1.101</v>
      </c>
      <c r="EB5">
        <v>2.5669999999999998E-2</v>
      </c>
      <c r="EC5" t="s">
        <v>443</v>
      </c>
      <c r="ED5">
        <v>1.1880200000000001</v>
      </c>
      <c r="EE5">
        <v>1.9259999999999999E-2</v>
      </c>
      <c r="EF5" t="s">
        <v>443</v>
      </c>
      <c r="EG5">
        <v>4.84049</v>
      </c>
      <c r="EH5">
        <v>0.36847999999999997</v>
      </c>
      <c r="EI5" t="s">
        <v>443</v>
      </c>
      <c r="EJ5"/>
      <c r="EK5"/>
      <c r="EL5" t="s">
        <v>440</v>
      </c>
      <c r="EM5">
        <v>1.20089</v>
      </c>
      <c r="EN5">
        <v>6.6549999999999998E-2</v>
      </c>
      <c r="EO5" t="s">
        <v>443</v>
      </c>
      <c r="EP5"/>
      <c r="EQ5"/>
      <c r="ER5" t="s">
        <v>440</v>
      </c>
      <c r="ES5">
        <v>11.707470000000001</v>
      </c>
      <c r="ET5">
        <v>0.17177000000000001</v>
      </c>
      <c r="EU5" t="s">
        <v>443</v>
      </c>
      <c r="EV5">
        <v>1.4775799999999999</v>
      </c>
      <c r="EW5">
        <v>5.382E-2</v>
      </c>
      <c r="EX5" t="s">
        <v>443</v>
      </c>
      <c r="EY5">
        <v>1.38182</v>
      </c>
      <c r="EZ5">
        <v>2.0809999999999999E-2</v>
      </c>
      <c r="FA5" t="s">
        <v>443</v>
      </c>
      <c r="FB5">
        <v>1.67578</v>
      </c>
      <c r="FC5">
        <v>0.21306</v>
      </c>
      <c r="FD5" t="s">
        <v>445</v>
      </c>
      <c r="FE5">
        <v>4.97234</v>
      </c>
      <c r="FF5">
        <v>3.9829999999999997E-2</v>
      </c>
      <c r="FG5" t="s">
        <v>444</v>
      </c>
      <c r="FH5"/>
      <c r="FI5"/>
      <c r="FJ5" t="s">
        <v>440</v>
      </c>
      <c r="FK5"/>
      <c r="FL5"/>
      <c r="FM5" t="s">
        <v>440</v>
      </c>
      <c r="FN5">
        <v>1.2865</v>
      </c>
      <c r="FO5">
        <v>3.218E-2</v>
      </c>
      <c r="FP5" t="s">
        <v>444</v>
      </c>
      <c r="FQ5"/>
      <c r="FR5"/>
      <c r="FS5" t="s">
        <v>440</v>
      </c>
      <c r="FT5">
        <v>1</v>
      </c>
      <c r="FU5"/>
      <c r="FV5"/>
      <c r="FW5">
        <v>45</v>
      </c>
    </row>
    <row r="6" spans="1:179" x14ac:dyDescent="0.2">
      <c r="A6" t="s">
        <v>125</v>
      </c>
      <c r="B6">
        <v>1.20709</v>
      </c>
      <c r="C6">
        <v>1.2880000000000001E-2</v>
      </c>
      <c r="D6" t="s">
        <v>443</v>
      </c>
      <c r="E6">
        <v>1.2241</v>
      </c>
      <c r="F6">
        <v>1.5169999999999999E-2</v>
      </c>
      <c r="G6" t="s">
        <v>443</v>
      </c>
      <c r="H6">
        <v>1.1898</v>
      </c>
      <c r="I6">
        <v>9.3600000000000003E-3</v>
      </c>
      <c r="J6" t="s">
        <v>443</v>
      </c>
      <c r="K6">
        <v>1.23695</v>
      </c>
      <c r="L6">
        <v>1.078E-2</v>
      </c>
      <c r="M6" t="s">
        <v>443</v>
      </c>
      <c r="N6">
        <v>1.2167699999999999</v>
      </c>
      <c r="O6">
        <v>8.8599999999999998E-3</v>
      </c>
      <c r="P6" t="s">
        <v>443</v>
      </c>
      <c r="Q6">
        <v>1.1679900000000001</v>
      </c>
      <c r="R6">
        <v>1.4970000000000001E-2</v>
      </c>
      <c r="S6" t="s">
        <v>443</v>
      </c>
      <c r="T6">
        <v>1.18553</v>
      </c>
      <c r="U6">
        <v>2.5069999999999999E-2</v>
      </c>
      <c r="V6" t="s">
        <v>443</v>
      </c>
      <c r="W6">
        <v>1.1569700000000001</v>
      </c>
      <c r="X6">
        <v>2.1610000000000001E-2</v>
      </c>
      <c r="Y6" t="s">
        <v>443</v>
      </c>
      <c r="Z6">
        <v>1.1792499999999999</v>
      </c>
      <c r="AA6">
        <v>2.4330000000000001E-2</v>
      </c>
      <c r="AB6" t="s">
        <v>443</v>
      </c>
      <c r="AC6">
        <v>1.18553</v>
      </c>
      <c r="AD6">
        <v>2.1669999999999998E-2</v>
      </c>
      <c r="AE6" t="s">
        <v>443</v>
      </c>
      <c r="AF6"/>
      <c r="AG6"/>
      <c r="AH6" t="s">
        <v>440</v>
      </c>
      <c r="AI6">
        <v>1.18076</v>
      </c>
      <c r="AJ6">
        <v>7.1799999999999998E-3</v>
      </c>
      <c r="AK6" t="s">
        <v>444</v>
      </c>
      <c r="AL6">
        <v>1.22603</v>
      </c>
      <c r="AM6">
        <v>1.1350000000000001E-2</v>
      </c>
      <c r="AN6" t="s">
        <v>443</v>
      </c>
      <c r="AO6">
        <v>1.2080500000000001</v>
      </c>
      <c r="AP6">
        <v>1.626E-2</v>
      </c>
      <c r="AQ6" t="s">
        <v>443</v>
      </c>
      <c r="AR6">
        <v>4.0796000000000001</v>
      </c>
      <c r="AS6">
        <v>3.986E-2</v>
      </c>
      <c r="AT6" t="s">
        <v>443</v>
      </c>
      <c r="AU6">
        <v>1.18553</v>
      </c>
      <c r="AV6">
        <v>1.553E-2</v>
      </c>
      <c r="AW6" t="s">
        <v>443</v>
      </c>
      <c r="AX6">
        <v>1.1834899999999999</v>
      </c>
      <c r="AY6">
        <v>1.366E-2</v>
      </c>
      <c r="AZ6" t="s">
        <v>443</v>
      </c>
      <c r="BA6">
        <v>1.1995899999999999</v>
      </c>
      <c r="BB6">
        <v>9.8399999999999998E-3</v>
      </c>
      <c r="BC6" t="s">
        <v>443</v>
      </c>
      <c r="BD6">
        <v>1.2113799999999999</v>
      </c>
      <c r="BE6">
        <v>2.605E-2</v>
      </c>
      <c r="BF6" t="s">
        <v>443</v>
      </c>
      <c r="BG6">
        <v>1.20695</v>
      </c>
      <c r="BH6">
        <v>1.217E-2</v>
      </c>
      <c r="BI6" t="s">
        <v>443</v>
      </c>
      <c r="BJ6">
        <v>1.2591399999999999</v>
      </c>
      <c r="BK6">
        <v>7.7000000000000002E-3</v>
      </c>
      <c r="BL6" t="s">
        <v>443</v>
      </c>
      <c r="BM6">
        <v>1.2268300000000001</v>
      </c>
      <c r="BN6">
        <v>6.45E-3</v>
      </c>
      <c r="BO6" t="s">
        <v>443</v>
      </c>
      <c r="BP6">
        <v>1.23143</v>
      </c>
      <c r="BQ6">
        <v>1.01E-2</v>
      </c>
      <c r="BR6" t="s">
        <v>443</v>
      </c>
      <c r="BS6"/>
      <c r="BT6"/>
      <c r="BU6" t="s">
        <v>440</v>
      </c>
      <c r="BV6">
        <v>-1.14886</v>
      </c>
      <c r="BW6">
        <v>1.1900000000000001E-2</v>
      </c>
      <c r="BX6" t="s">
        <v>445</v>
      </c>
      <c r="BY6">
        <v>1.1983600000000001</v>
      </c>
      <c r="BZ6">
        <v>1.745E-2</v>
      </c>
      <c r="CA6" t="s">
        <v>443</v>
      </c>
      <c r="CB6">
        <v>1.1773400000000001</v>
      </c>
      <c r="CC6">
        <v>2.7279999999999999E-2</v>
      </c>
      <c r="CD6" t="s">
        <v>443</v>
      </c>
      <c r="CE6">
        <v>1.1635</v>
      </c>
      <c r="CF6">
        <v>1.9449999999999999E-2</v>
      </c>
      <c r="CG6" t="s">
        <v>443</v>
      </c>
      <c r="CH6">
        <v>1.18045</v>
      </c>
      <c r="CI6">
        <v>2.24E-2</v>
      </c>
      <c r="CJ6" t="s">
        <v>443</v>
      </c>
      <c r="CK6">
        <v>1.2592000000000001</v>
      </c>
      <c r="CL6">
        <v>1.9310000000000001E-2</v>
      </c>
      <c r="CM6" t="s">
        <v>443</v>
      </c>
      <c r="CN6">
        <v>7.57348</v>
      </c>
      <c r="CO6">
        <v>0.25683</v>
      </c>
      <c r="CP6" t="s">
        <v>443</v>
      </c>
      <c r="CQ6">
        <v>7.9845499999999996</v>
      </c>
      <c r="CR6">
        <v>0.20161000000000001</v>
      </c>
      <c r="CS6" t="s">
        <v>443</v>
      </c>
      <c r="CT6">
        <v>3.8689800000000001</v>
      </c>
      <c r="CU6">
        <v>0.11057</v>
      </c>
      <c r="CV6" t="s">
        <v>443</v>
      </c>
      <c r="CW6">
        <v>9.4427199999999996</v>
      </c>
      <c r="CX6">
        <v>0.83306000000000002</v>
      </c>
      <c r="CY6" t="s">
        <v>443</v>
      </c>
      <c r="CZ6">
        <v>1.2917400000000001</v>
      </c>
      <c r="DA6">
        <v>8.5370000000000001E-2</v>
      </c>
      <c r="DB6" t="s">
        <v>443</v>
      </c>
      <c r="DC6">
        <v>22.50695</v>
      </c>
      <c r="DD6">
        <v>0.69333</v>
      </c>
      <c r="DE6" t="s">
        <v>443</v>
      </c>
      <c r="DF6">
        <v>8.5479800000000008</v>
      </c>
      <c r="DG6">
        <v>0.34178999999999998</v>
      </c>
      <c r="DH6" t="s">
        <v>443</v>
      </c>
      <c r="DI6">
        <v>1.1488100000000001</v>
      </c>
      <c r="DJ6">
        <v>7.7439999999999995E-2</v>
      </c>
      <c r="DK6" t="s">
        <v>443</v>
      </c>
      <c r="DL6">
        <v>1.13106</v>
      </c>
      <c r="DM6">
        <v>5.0950000000000002E-2</v>
      </c>
      <c r="DN6" t="s">
        <v>443</v>
      </c>
      <c r="DO6">
        <v>1.1466799999999999</v>
      </c>
      <c r="DP6">
        <v>7.2289999999999993E-2</v>
      </c>
      <c r="DQ6" t="s">
        <v>443</v>
      </c>
      <c r="DR6">
        <v>1.1188499999999999</v>
      </c>
      <c r="DS6">
        <v>2.0199999999999999E-2</v>
      </c>
      <c r="DT6" t="s">
        <v>443</v>
      </c>
      <c r="DU6">
        <v>3.6233599999999999</v>
      </c>
      <c r="DV6">
        <v>0.15362999999999999</v>
      </c>
      <c r="DW6" t="s">
        <v>443</v>
      </c>
      <c r="DX6">
        <v>1.15069</v>
      </c>
      <c r="DY6">
        <v>4.3740000000000001E-2</v>
      </c>
      <c r="DZ6" t="s">
        <v>443</v>
      </c>
      <c r="EA6">
        <v>1.0480700000000001</v>
      </c>
      <c r="EB6">
        <v>7.8049999999999994E-2</v>
      </c>
      <c r="EC6" t="s">
        <v>443</v>
      </c>
      <c r="ED6">
        <v>1.14635</v>
      </c>
      <c r="EE6">
        <v>3.5180000000000003E-2</v>
      </c>
      <c r="EF6" t="s">
        <v>443</v>
      </c>
      <c r="EG6">
        <v>5.6512200000000004</v>
      </c>
      <c r="EH6">
        <v>0.42477999999999999</v>
      </c>
      <c r="EI6" t="s">
        <v>443</v>
      </c>
      <c r="EJ6"/>
      <c r="EK6"/>
      <c r="EL6" t="s">
        <v>440</v>
      </c>
      <c r="EM6">
        <v>1.2119500000000001</v>
      </c>
      <c r="EN6">
        <v>5.5230000000000001E-2</v>
      </c>
      <c r="EO6" t="s">
        <v>443</v>
      </c>
      <c r="EP6"/>
      <c r="EQ6"/>
      <c r="ER6" t="s">
        <v>440</v>
      </c>
      <c r="ES6">
        <v>12.24098</v>
      </c>
      <c r="ET6">
        <v>0.10792</v>
      </c>
      <c r="EU6" t="s">
        <v>443</v>
      </c>
      <c r="EV6">
        <v>1.4674499999999999</v>
      </c>
      <c r="EW6">
        <v>6.4380000000000007E-2</v>
      </c>
      <c r="EX6" t="s">
        <v>443</v>
      </c>
      <c r="EY6">
        <v>1.42238</v>
      </c>
      <c r="EZ6">
        <v>3.0689999999999999E-2</v>
      </c>
      <c r="FA6" t="s">
        <v>443</v>
      </c>
      <c r="FB6">
        <v>2.0382400000000001</v>
      </c>
      <c r="FC6">
        <v>0.31738</v>
      </c>
      <c r="FD6" t="s">
        <v>443</v>
      </c>
      <c r="FE6">
        <v>5.1995899999999997</v>
      </c>
      <c r="FF6">
        <v>0.52780000000000005</v>
      </c>
      <c r="FG6" t="s">
        <v>444</v>
      </c>
      <c r="FH6"/>
      <c r="FI6"/>
      <c r="FJ6" t="s">
        <v>440</v>
      </c>
      <c r="FK6"/>
      <c r="FL6"/>
      <c r="FM6" t="s">
        <v>440</v>
      </c>
      <c r="FN6">
        <v>1.321</v>
      </c>
      <c r="FO6">
        <v>5.1369999999999999E-2</v>
      </c>
      <c r="FP6" t="s">
        <v>444</v>
      </c>
      <c r="FQ6"/>
      <c r="FR6"/>
      <c r="FS6" t="s">
        <v>440</v>
      </c>
      <c r="FT6">
        <v>1</v>
      </c>
      <c r="FU6"/>
      <c r="FV6"/>
      <c r="FW6">
        <v>58</v>
      </c>
    </row>
    <row r="7" spans="1:179" x14ac:dyDescent="0.2">
      <c r="A7" t="s">
        <v>138</v>
      </c>
      <c r="B7">
        <v>1.16344</v>
      </c>
      <c r="C7">
        <v>2.392E-2</v>
      </c>
      <c r="D7" t="s">
        <v>443</v>
      </c>
      <c r="E7">
        <v>1.16625</v>
      </c>
      <c r="F7">
        <v>3.6130000000000002E-2</v>
      </c>
      <c r="G7" t="s">
        <v>443</v>
      </c>
      <c r="H7">
        <v>1.16235</v>
      </c>
      <c r="I7">
        <v>1.423E-2</v>
      </c>
      <c r="J7" t="s">
        <v>443</v>
      </c>
      <c r="K7">
        <v>1.18018</v>
      </c>
      <c r="L7">
        <v>2.511E-2</v>
      </c>
      <c r="M7" t="s">
        <v>443</v>
      </c>
      <c r="N7">
        <v>1.1719999999999999</v>
      </c>
      <c r="O7">
        <v>1.443E-2</v>
      </c>
      <c r="P7" t="s">
        <v>443</v>
      </c>
      <c r="Q7">
        <v>1.1376299999999999</v>
      </c>
      <c r="R7">
        <v>2.7789999999999999E-2</v>
      </c>
      <c r="S7" t="s">
        <v>443</v>
      </c>
      <c r="T7">
        <v>1.15815</v>
      </c>
      <c r="U7">
        <v>2.63E-2</v>
      </c>
      <c r="V7" t="s">
        <v>443</v>
      </c>
      <c r="W7">
        <v>1.1155200000000001</v>
      </c>
      <c r="X7">
        <v>1.5630000000000002E-2</v>
      </c>
      <c r="Y7" t="s">
        <v>443</v>
      </c>
      <c r="Z7">
        <v>1.1323099999999999</v>
      </c>
      <c r="AA7">
        <v>1.6899999999999998E-2</v>
      </c>
      <c r="AB7" t="s">
        <v>443</v>
      </c>
      <c r="AC7">
        <v>1.1451100000000001</v>
      </c>
      <c r="AD7">
        <v>1.038E-2</v>
      </c>
      <c r="AE7" t="s">
        <v>443</v>
      </c>
      <c r="AF7"/>
      <c r="AG7"/>
      <c r="AH7" t="s">
        <v>440</v>
      </c>
      <c r="AI7">
        <v>1.1407</v>
      </c>
      <c r="AJ7">
        <v>7.2300000000000003E-3</v>
      </c>
      <c r="AK7" t="s">
        <v>444</v>
      </c>
      <c r="AL7">
        <v>1.1912499999999999</v>
      </c>
      <c r="AM7">
        <v>1.29E-2</v>
      </c>
      <c r="AN7" t="s">
        <v>443</v>
      </c>
      <c r="AO7">
        <v>1.17197</v>
      </c>
      <c r="AP7">
        <v>8.3099999999999997E-3</v>
      </c>
      <c r="AQ7" t="s">
        <v>443</v>
      </c>
      <c r="AR7">
        <v>3.9718599999999999</v>
      </c>
      <c r="AS7">
        <v>4.8730000000000002E-2</v>
      </c>
      <c r="AT7" t="s">
        <v>443</v>
      </c>
      <c r="AU7">
        <v>1.15981</v>
      </c>
      <c r="AV7">
        <v>1.8010000000000002E-2</v>
      </c>
      <c r="AW7" t="s">
        <v>443</v>
      </c>
      <c r="AX7">
        <v>1.15865</v>
      </c>
      <c r="AY7">
        <v>1.6129999999999999E-2</v>
      </c>
      <c r="AZ7" t="s">
        <v>443</v>
      </c>
      <c r="BA7">
        <v>1.16934</v>
      </c>
      <c r="BB7">
        <v>2.1600000000000001E-2</v>
      </c>
      <c r="BC7" t="s">
        <v>443</v>
      </c>
      <c r="BD7">
        <v>1.1731100000000001</v>
      </c>
      <c r="BE7">
        <v>2.5680000000000001E-2</v>
      </c>
      <c r="BF7" t="s">
        <v>443</v>
      </c>
      <c r="BG7">
        <v>1.16917</v>
      </c>
      <c r="BH7">
        <v>1.8939999999999999E-2</v>
      </c>
      <c r="BI7" t="s">
        <v>443</v>
      </c>
      <c r="BJ7">
        <v>1.2163200000000001</v>
      </c>
      <c r="BK7">
        <v>1.9910000000000001E-2</v>
      </c>
      <c r="BL7" t="s">
        <v>443</v>
      </c>
      <c r="BM7">
        <v>1.18824</v>
      </c>
      <c r="BN7">
        <v>2.2749999999999999E-2</v>
      </c>
      <c r="BO7" t="s">
        <v>443</v>
      </c>
      <c r="BP7">
        <v>1.1915</v>
      </c>
      <c r="BQ7">
        <v>2.9059999999999999E-2</v>
      </c>
      <c r="BR7" t="s">
        <v>443</v>
      </c>
      <c r="BS7"/>
      <c r="BT7"/>
      <c r="BU7" t="s">
        <v>440</v>
      </c>
      <c r="BV7">
        <v>-1.1839299999999999</v>
      </c>
      <c r="BW7">
        <v>1.4630000000000001E-2</v>
      </c>
      <c r="BX7" t="s">
        <v>445</v>
      </c>
      <c r="BY7">
        <v>1.1540299999999999</v>
      </c>
      <c r="BZ7">
        <v>2.3050000000000001E-2</v>
      </c>
      <c r="CA7" t="s">
        <v>443</v>
      </c>
      <c r="CB7">
        <v>1.11995</v>
      </c>
      <c r="CC7">
        <v>2.8080000000000001E-2</v>
      </c>
      <c r="CD7" t="s">
        <v>443</v>
      </c>
      <c r="CE7">
        <v>1.1213500000000001</v>
      </c>
      <c r="CF7">
        <v>3.737E-2</v>
      </c>
      <c r="CG7" t="s">
        <v>443</v>
      </c>
      <c r="CH7">
        <v>1.14107</v>
      </c>
      <c r="CI7">
        <v>2.613E-2</v>
      </c>
      <c r="CJ7" t="s">
        <v>443</v>
      </c>
      <c r="CK7">
        <v>1.22559</v>
      </c>
      <c r="CL7">
        <v>1.9429999999999999E-2</v>
      </c>
      <c r="CM7" t="s">
        <v>443</v>
      </c>
      <c r="CN7">
        <v>7.7762700000000002</v>
      </c>
      <c r="CO7">
        <v>0.29909000000000002</v>
      </c>
      <c r="CP7" t="s">
        <v>443</v>
      </c>
      <c r="CQ7">
        <v>8.2359100000000005</v>
      </c>
      <c r="CR7">
        <v>0.12761</v>
      </c>
      <c r="CS7" t="s">
        <v>443</v>
      </c>
      <c r="CT7">
        <v>4.0335700000000001</v>
      </c>
      <c r="CU7">
        <v>9.7170000000000006E-2</v>
      </c>
      <c r="CV7" t="s">
        <v>443</v>
      </c>
      <c r="CW7">
        <v>10.05907</v>
      </c>
      <c r="CX7">
        <v>0.86280000000000001</v>
      </c>
      <c r="CY7" t="s">
        <v>443</v>
      </c>
      <c r="CZ7">
        <v>1.33555</v>
      </c>
      <c r="DA7">
        <v>0.10621</v>
      </c>
      <c r="DB7" t="s">
        <v>443</v>
      </c>
      <c r="DC7">
        <v>23.155239999999999</v>
      </c>
      <c r="DD7">
        <v>1.2034899999999999</v>
      </c>
      <c r="DE7" t="s">
        <v>443</v>
      </c>
      <c r="DF7">
        <v>8.7219099999999994</v>
      </c>
      <c r="DG7">
        <v>0.41714000000000001</v>
      </c>
      <c r="DH7" t="s">
        <v>443</v>
      </c>
      <c r="DI7">
        <v>1.1991000000000001</v>
      </c>
      <c r="DJ7">
        <v>3.2770000000000001E-2</v>
      </c>
      <c r="DK7" t="s">
        <v>443</v>
      </c>
      <c r="DL7">
        <v>1.18062</v>
      </c>
      <c r="DM7">
        <v>4.4479999999999999E-2</v>
      </c>
      <c r="DN7" t="s">
        <v>443</v>
      </c>
      <c r="DO7">
        <v>1.1767000000000001</v>
      </c>
      <c r="DP7">
        <v>4.1230000000000003E-2</v>
      </c>
      <c r="DQ7" t="s">
        <v>443</v>
      </c>
      <c r="DR7">
        <v>1.15805</v>
      </c>
      <c r="DS7">
        <v>3.8640000000000001E-2</v>
      </c>
      <c r="DT7" t="s">
        <v>443</v>
      </c>
      <c r="DU7">
        <v>3.7264699999999999</v>
      </c>
      <c r="DV7">
        <v>0.13156999999999999</v>
      </c>
      <c r="DW7" t="s">
        <v>443</v>
      </c>
      <c r="DX7">
        <v>1.16377</v>
      </c>
      <c r="DY7">
        <v>5.5149999999999998E-2</v>
      </c>
      <c r="DZ7" t="s">
        <v>443</v>
      </c>
      <c r="EA7">
        <v>1.0857000000000001</v>
      </c>
      <c r="EB7">
        <v>5.7329999999999999E-2</v>
      </c>
      <c r="EC7" t="s">
        <v>443</v>
      </c>
      <c r="ED7">
        <v>1.1819</v>
      </c>
      <c r="EE7">
        <v>6.3320000000000001E-2</v>
      </c>
      <c r="EF7" t="s">
        <v>443</v>
      </c>
      <c r="EG7">
        <v>5.7396599999999998</v>
      </c>
      <c r="EH7">
        <v>0.64331000000000005</v>
      </c>
      <c r="EI7" t="s">
        <v>443</v>
      </c>
      <c r="EJ7"/>
      <c r="EK7"/>
      <c r="EL7" t="s">
        <v>440</v>
      </c>
      <c r="EM7">
        <v>1.2245200000000001</v>
      </c>
      <c r="EN7">
        <v>6.9940000000000002E-2</v>
      </c>
      <c r="EO7" t="s">
        <v>443</v>
      </c>
      <c r="EP7"/>
      <c r="EQ7"/>
      <c r="ER7" t="s">
        <v>440</v>
      </c>
      <c r="ES7">
        <v>12.207240000000001</v>
      </c>
      <c r="ET7">
        <v>0.45367000000000002</v>
      </c>
      <c r="EU7" t="s">
        <v>443</v>
      </c>
      <c r="EV7">
        <v>1.39903</v>
      </c>
      <c r="EW7">
        <v>7.1859999999999993E-2</v>
      </c>
      <c r="EX7" t="s">
        <v>443</v>
      </c>
      <c r="EY7">
        <v>1.28969</v>
      </c>
      <c r="EZ7">
        <v>2.827E-2</v>
      </c>
      <c r="FA7" t="s">
        <v>443</v>
      </c>
      <c r="FB7">
        <v>2.05403</v>
      </c>
      <c r="FC7">
        <v>0.18428</v>
      </c>
      <c r="FD7" t="s">
        <v>443</v>
      </c>
      <c r="FE7">
        <v>6.0139399999999998</v>
      </c>
      <c r="FF7">
        <v>0.16325000000000001</v>
      </c>
      <c r="FG7" t="s">
        <v>444</v>
      </c>
      <c r="FH7"/>
      <c r="FI7"/>
      <c r="FJ7" t="s">
        <v>440</v>
      </c>
      <c r="FK7"/>
      <c r="FL7"/>
      <c r="FM7" t="s">
        <v>440</v>
      </c>
      <c r="FN7">
        <v>1.2416400000000001</v>
      </c>
      <c r="FO7">
        <v>7.6439999999999994E-2</v>
      </c>
      <c r="FP7" t="s">
        <v>444</v>
      </c>
      <c r="FQ7"/>
      <c r="FR7"/>
      <c r="FS7" t="s">
        <v>440</v>
      </c>
      <c r="FT7">
        <v>1</v>
      </c>
      <c r="FU7"/>
      <c r="FV7"/>
      <c r="FW7">
        <v>71</v>
      </c>
    </row>
    <row r="8" spans="1:179" x14ac:dyDescent="0.2">
      <c r="A8" t="s">
        <v>151</v>
      </c>
      <c r="B8">
        <v>1.14676</v>
      </c>
      <c r="C8">
        <v>1.6150000000000001E-2</v>
      </c>
      <c r="D8" t="s">
        <v>443</v>
      </c>
      <c r="E8">
        <v>1.1691100000000001</v>
      </c>
      <c r="F8">
        <v>9.0699999999999999E-3</v>
      </c>
      <c r="G8" t="s">
        <v>443</v>
      </c>
      <c r="H8">
        <v>1.1419900000000001</v>
      </c>
      <c r="I8">
        <v>1.448E-2</v>
      </c>
      <c r="J8" t="s">
        <v>443</v>
      </c>
      <c r="K8">
        <v>1.18266</v>
      </c>
      <c r="L8">
        <v>1.099E-2</v>
      </c>
      <c r="M8" t="s">
        <v>443</v>
      </c>
      <c r="N8">
        <v>1.17072</v>
      </c>
      <c r="O8">
        <v>7.0299999999999998E-3</v>
      </c>
      <c r="P8" t="s">
        <v>443</v>
      </c>
      <c r="Q8">
        <v>1.1261000000000001</v>
      </c>
      <c r="R8">
        <v>2.1420000000000002E-2</v>
      </c>
      <c r="S8" t="s">
        <v>443</v>
      </c>
      <c r="T8">
        <v>1.15642</v>
      </c>
      <c r="U8">
        <v>1.451E-2</v>
      </c>
      <c r="V8" t="s">
        <v>443</v>
      </c>
      <c r="W8">
        <v>1.1134299999999999</v>
      </c>
      <c r="X8">
        <v>2.7499999999999998E-3</v>
      </c>
      <c r="Y8" t="s">
        <v>443</v>
      </c>
      <c r="Z8">
        <v>1.13866</v>
      </c>
      <c r="AA8">
        <v>5.7999999999999996E-3</v>
      </c>
      <c r="AB8" t="s">
        <v>443</v>
      </c>
      <c r="AC8">
        <v>1.1359600000000001</v>
      </c>
      <c r="AD8">
        <v>4.6100000000000004E-3</v>
      </c>
      <c r="AE8" t="s">
        <v>443</v>
      </c>
      <c r="AF8"/>
      <c r="AG8"/>
      <c r="AH8" t="s">
        <v>440</v>
      </c>
      <c r="AI8">
        <v>1.13523</v>
      </c>
      <c r="AJ8">
        <v>5.0099999999999997E-3</v>
      </c>
      <c r="AK8" t="s">
        <v>444</v>
      </c>
      <c r="AL8">
        <v>1.20892</v>
      </c>
      <c r="AM8">
        <v>1.282E-2</v>
      </c>
      <c r="AN8" t="s">
        <v>443</v>
      </c>
      <c r="AO8">
        <v>1.17072</v>
      </c>
      <c r="AP8">
        <v>2.2329999999999999E-2</v>
      </c>
      <c r="AQ8" t="s">
        <v>443</v>
      </c>
      <c r="AR8">
        <v>4.0063399999999998</v>
      </c>
      <c r="AS8">
        <v>9.4399999999999998E-2</v>
      </c>
      <c r="AT8" t="s">
        <v>443</v>
      </c>
      <c r="AU8">
        <v>1.1797599999999999</v>
      </c>
      <c r="AV8">
        <v>2.7560000000000001E-2</v>
      </c>
      <c r="AW8" t="s">
        <v>443</v>
      </c>
      <c r="AX8">
        <v>1.17605</v>
      </c>
      <c r="AY8">
        <v>3.9629999999999999E-2</v>
      </c>
      <c r="AZ8" t="s">
        <v>443</v>
      </c>
      <c r="BA8">
        <v>1.1732499999999999</v>
      </c>
      <c r="BB8">
        <v>3.048E-2</v>
      </c>
      <c r="BC8" t="s">
        <v>443</v>
      </c>
      <c r="BD8">
        <v>1.1753400000000001</v>
      </c>
      <c r="BE8">
        <v>1.721E-2</v>
      </c>
      <c r="BF8" t="s">
        <v>443</v>
      </c>
      <c r="BG8">
        <v>1.16675</v>
      </c>
      <c r="BH8">
        <v>1.542E-2</v>
      </c>
      <c r="BI8" t="s">
        <v>443</v>
      </c>
      <c r="BJ8">
        <v>1.22892</v>
      </c>
      <c r="BK8">
        <v>2.256E-2</v>
      </c>
      <c r="BL8" t="s">
        <v>443</v>
      </c>
      <c r="BM8">
        <v>1.19425</v>
      </c>
      <c r="BN8">
        <v>2.3539999999999998E-2</v>
      </c>
      <c r="BO8" t="s">
        <v>443</v>
      </c>
      <c r="BP8">
        <v>1.19024</v>
      </c>
      <c r="BQ8">
        <v>1.9939999999999999E-2</v>
      </c>
      <c r="BR8" t="s">
        <v>443</v>
      </c>
      <c r="BS8"/>
      <c r="BT8"/>
      <c r="BU8" t="s">
        <v>440</v>
      </c>
      <c r="BV8">
        <v>-1.19224</v>
      </c>
      <c r="BW8">
        <v>9.0200000000000002E-3</v>
      </c>
      <c r="BX8" t="s">
        <v>445</v>
      </c>
      <c r="BY8">
        <v>1.1441399999999999</v>
      </c>
      <c r="BZ8">
        <v>1.227E-2</v>
      </c>
      <c r="CA8" t="s">
        <v>443</v>
      </c>
      <c r="CB8">
        <v>1.10541</v>
      </c>
      <c r="CC8">
        <v>2.026E-2</v>
      </c>
      <c r="CD8" t="s">
        <v>443</v>
      </c>
      <c r="CE8">
        <v>1.1064000000000001</v>
      </c>
      <c r="CF8">
        <v>8.2100000000000003E-3</v>
      </c>
      <c r="CG8" t="s">
        <v>443</v>
      </c>
      <c r="CH8">
        <v>1.1246100000000001</v>
      </c>
      <c r="CI8">
        <v>6.94E-3</v>
      </c>
      <c r="CJ8" t="s">
        <v>443</v>
      </c>
      <c r="CK8">
        <v>1.2030000000000001</v>
      </c>
      <c r="CL8">
        <v>6.11E-3</v>
      </c>
      <c r="CM8" t="s">
        <v>443</v>
      </c>
      <c r="CN8">
        <v>7.4559100000000003</v>
      </c>
      <c r="CO8">
        <v>0.11859</v>
      </c>
      <c r="CP8" t="s">
        <v>443</v>
      </c>
      <c r="CQ8">
        <v>8.0082299999999993</v>
      </c>
      <c r="CR8">
        <v>3.7990000000000003E-2</v>
      </c>
      <c r="CS8" t="s">
        <v>443</v>
      </c>
      <c r="CT8">
        <v>3.94123</v>
      </c>
      <c r="CU8">
        <v>6.3799999999999996E-2</v>
      </c>
      <c r="CV8" t="s">
        <v>443</v>
      </c>
      <c r="CW8">
        <v>8.8891100000000005</v>
      </c>
      <c r="CX8">
        <v>0.48115000000000002</v>
      </c>
      <c r="CY8" t="s">
        <v>443</v>
      </c>
      <c r="CZ8">
        <v>1.30315</v>
      </c>
      <c r="DA8">
        <v>2.002E-2</v>
      </c>
      <c r="DB8" t="s">
        <v>443</v>
      </c>
      <c r="DC8">
        <v>22.484549999999999</v>
      </c>
      <c r="DD8">
        <v>0.24654999999999999</v>
      </c>
      <c r="DE8" t="s">
        <v>443</v>
      </c>
      <c r="DF8">
        <v>8.5654599999999999</v>
      </c>
      <c r="DG8">
        <v>8.8340000000000002E-2</v>
      </c>
      <c r="DH8" t="s">
        <v>443</v>
      </c>
      <c r="DI8">
        <v>1.1694800000000001</v>
      </c>
      <c r="DJ8">
        <v>8.9200000000000008E-3</v>
      </c>
      <c r="DK8" t="s">
        <v>443</v>
      </c>
      <c r="DL8">
        <v>1.14964</v>
      </c>
      <c r="DM8">
        <v>5.8999999999999999E-3</v>
      </c>
      <c r="DN8" t="s">
        <v>443</v>
      </c>
      <c r="DO8">
        <v>1.1542399999999999</v>
      </c>
      <c r="DP8">
        <v>3.6609999999999997E-2</v>
      </c>
      <c r="DQ8" t="s">
        <v>443</v>
      </c>
      <c r="DR8">
        <v>1.12141</v>
      </c>
      <c r="DS8">
        <v>2.1250000000000002E-2</v>
      </c>
      <c r="DT8" t="s">
        <v>443</v>
      </c>
      <c r="DU8">
        <v>3.67442</v>
      </c>
      <c r="DV8">
        <v>0.17405000000000001</v>
      </c>
      <c r="DW8" t="s">
        <v>443</v>
      </c>
      <c r="DX8">
        <v>1.1385000000000001</v>
      </c>
      <c r="DY8">
        <v>6.0720000000000003E-2</v>
      </c>
      <c r="DZ8" t="s">
        <v>443</v>
      </c>
      <c r="EA8">
        <v>1.0621400000000001</v>
      </c>
      <c r="EB8">
        <v>3.3919999999999999E-2</v>
      </c>
      <c r="EC8" t="s">
        <v>443</v>
      </c>
      <c r="ED8">
        <v>1.1342099999999999</v>
      </c>
      <c r="EE8">
        <v>6.2170000000000003E-2</v>
      </c>
      <c r="EF8" t="s">
        <v>443</v>
      </c>
      <c r="EG8">
        <v>4.85609</v>
      </c>
      <c r="EH8">
        <v>0.15773999999999999</v>
      </c>
      <c r="EI8" t="s">
        <v>443</v>
      </c>
      <c r="EJ8"/>
      <c r="EK8"/>
      <c r="EL8" t="s">
        <v>440</v>
      </c>
      <c r="EM8">
        <v>1.17292</v>
      </c>
      <c r="EN8">
        <v>5.0699999999999999E-3</v>
      </c>
      <c r="EO8" t="s">
        <v>443</v>
      </c>
      <c r="EP8"/>
      <c r="EQ8"/>
      <c r="ER8" t="s">
        <v>440</v>
      </c>
      <c r="ES8">
        <v>12.045629999999999</v>
      </c>
      <c r="ET8">
        <v>0.1008</v>
      </c>
      <c r="EU8" t="s">
        <v>443</v>
      </c>
      <c r="EV8">
        <v>1.47725</v>
      </c>
      <c r="EW8">
        <v>3.5720000000000002E-2</v>
      </c>
      <c r="EX8" t="s">
        <v>443</v>
      </c>
      <c r="EY8">
        <v>1.2537</v>
      </c>
      <c r="EZ8">
        <v>3.1119999999999998E-2</v>
      </c>
      <c r="FA8" t="s">
        <v>443</v>
      </c>
      <c r="FB8">
        <v>1.9424399999999999</v>
      </c>
      <c r="FC8">
        <v>0.26618999999999998</v>
      </c>
      <c r="FD8" t="s">
        <v>443</v>
      </c>
      <c r="FE8">
        <v>6.5358700000000001</v>
      </c>
      <c r="FF8">
        <v>0.24734999999999999</v>
      </c>
      <c r="FG8" t="s">
        <v>444</v>
      </c>
      <c r="FH8"/>
      <c r="FI8"/>
      <c r="FJ8" t="s">
        <v>440</v>
      </c>
      <c r="FK8"/>
      <c r="FL8"/>
      <c r="FM8" t="s">
        <v>440</v>
      </c>
      <c r="FN8">
        <v>1.2053400000000001</v>
      </c>
      <c r="FO8">
        <v>3.687E-2</v>
      </c>
      <c r="FP8" t="s">
        <v>444</v>
      </c>
      <c r="FQ8"/>
      <c r="FR8"/>
      <c r="FS8" t="s">
        <v>440</v>
      </c>
      <c r="FT8">
        <v>1</v>
      </c>
      <c r="FU8"/>
      <c r="FV8"/>
      <c r="FW8">
        <v>84</v>
      </c>
    </row>
    <row r="9" spans="1:179" x14ac:dyDescent="0.2">
      <c r="A9" t="s">
        <v>164</v>
      </c>
      <c r="B9">
        <v>1.1388799999999999</v>
      </c>
      <c r="C9">
        <v>2.93E-2</v>
      </c>
      <c r="D9" t="s">
        <v>443</v>
      </c>
      <c r="E9">
        <v>1.17266</v>
      </c>
      <c r="F9">
        <v>2.7269999999999999E-2</v>
      </c>
      <c r="G9" t="s">
        <v>443</v>
      </c>
      <c r="H9">
        <v>1.1352199999999999</v>
      </c>
      <c r="I9">
        <v>0.04</v>
      </c>
      <c r="J9" t="s">
        <v>443</v>
      </c>
      <c r="K9">
        <v>1.1627799999999999</v>
      </c>
      <c r="L9">
        <v>2.4119999999999999E-2</v>
      </c>
      <c r="M9" t="s">
        <v>443</v>
      </c>
      <c r="N9">
        <v>1.14829</v>
      </c>
      <c r="O9">
        <v>2.6079999999999999E-2</v>
      </c>
      <c r="P9" t="s">
        <v>443</v>
      </c>
      <c r="Q9">
        <v>1.1175900000000001</v>
      </c>
      <c r="R9">
        <v>3.236E-2</v>
      </c>
      <c r="S9" t="s">
        <v>443</v>
      </c>
      <c r="T9">
        <v>1.1366099999999999</v>
      </c>
      <c r="U9">
        <v>3.1910000000000001E-2</v>
      </c>
      <c r="V9" t="s">
        <v>443</v>
      </c>
      <c r="W9">
        <v>1.0965100000000001</v>
      </c>
      <c r="X9">
        <v>3.9149999999999997E-2</v>
      </c>
      <c r="Y9" t="s">
        <v>443</v>
      </c>
      <c r="Z9">
        <v>1.1208400000000001</v>
      </c>
      <c r="AA9">
        <v>4.1200000000000001E-2</v>
      </c>
      <c r="AB9" t="s">
        <v>443</v>
      </c>
      <c r="AC9">
        <v>1.12856</v>
      </c>
      <c r="AD9">
        <v>3.8309999999999997E-2</v>
      </c>
      <c r="AE9" t="s">
        <v>443</v>
      </c>
      <c r="AF9"/>
      <c r="AG9"/>
      <c r="AH9" t="s">
        <v>440</v>
      </c>
      <c r="AI9">
        <v>1.1172500000000001</v>
      </c>
      <c r="AJ9">
        <v>5.0470000000000001E-2</v>
      </c>
      <c r="AK9" t="s">
        <v>444</v>
      </c>
      <c r="AL9">
        <v>1.1706099999999999</v>
      </c>
      <c r="AM9">
        <v>4.2549999999999998E-2</v>
      </c>
      <c r="AN9" t="s">
        <v>443</v>
      </c>
      <c r="AO9">
        <v>1.15768</v>
      </c>
      <c r="AP9">
        <v>5.534E-2</v>
      </c>
      <c r="AQ9" t="s">
        <v>443</v>
      </c>
      <c r="AR9">
        <v>3.9136799999999998</v>
      </c>
      <c r="AS9">
        <v>0.15586</v>
      </c>
      <c r="AT9" t="s">
        <v>443</v>
      </c>
      <c r="AU9">
        <v>1.13856</v>
      </c>
      <c r="AV9">
        <v>4.9439999999999998E-2</v>
      </c>
      <c r="AW9" t="s">
        <v>443</v>
      </c>
      <c r="AX9">
        <v>1.1481300000000001</v>
      </c>
      <c r="AY9">
        <v>3.5790000000000002E-2</v>
      </c>
      <c r="AZ9" t="s">
        <v>443</v>
      </c>
      <c r="BA9">
        <v>1.14727</v>
      </c>
      <c r="BB9">
        <v>3.943E-2</v>
      </c>
      <c r="BC9" t="s">
        <v>443</v>
      </c>
      <c r="BD9">
        <v>1.15235</v>
      </c>
      <c r="BE9">
        <v>4.6899999999999997E-2</v>
      </c>
      <c r="BF9" t="s">
        <v>443</v>
      </c>
      <c r="BG9">
        <v>1.12954</v>
      </c>
      <c r="BH9">
        <v>2.8060000000000002E-2</v>
      </c>
      <c r="BI9" t="s">
        <v>443</v>
      </c>
      <c r="BJ9">
        <v>1.18604</v>
      </c>
      <c r="BK9">
        <v>3.6970000000000003E-2</v>
      </c>
      <c r="BL9" t="s">
        <v>443</v>
      </c>
      <c r="BM9">
        <v>1.1558900000000001</v>
      </c>
      <c r="BN9">
        <v>3.9190000000000003E-2</v>
      </c>
      <c r="BO9" t="s">
        <v>443</v>
      </c>
      <c r="BP9">
        <v>1.1606000000000001</v>
      </c>
      <c r="BQ9">
        <v>4.8759999999999998E-2</v>
      </c>
      <c r="BR9" t="s">
        <v>443</v>
      </c>
      <c r="BS9"/>
      <c r="BT9"/>
      <c r="BU9" t="s">
        <v>440</v>
      </c>
      <c r="BV9">
        <v>-1.2011000000000001</v>
      </c>
      <c r="BW9">
        <v>2.7400000000000001E-2</v>
      </c>
      <c r="BX9" t="s">
        <v>445</v>
      </c>
      <c r="BY9">
        <v>1.1395999999999999</v>
      </c>
      <c r="BZ9">
        <v>1.333E-2</v>
      </c>
      <c r="CA9" t="s">
        <v>443</v>
      </c>
      <c r="CB9">
        <v>1.0866499999999999</v>
      </c>
      <c r="CC9">
        <v>3.9399999999999998E-2</v>
      </c>
      <c r="CD9" t="s">
        <v>443</v>
      </c>
      <c r="CE9">
        <v>1.0972599999999999</v>
      </c>
      <c r="CF9">
        <v>3.8379999999999997E-2</v>
      </c>
      <c r="CG9" t="s">
        <v>443</v>
      </c>
      <c r="CH9">
        <v>1.09965</v>
      </c>
      <c r="CI9">
        <v>4.6609999999999999E-2</v>
      </c>
      <c r="CJ9" t="s">
        <v>443</v>
      </c>
      <c r="CK9">
        <v>1.20058</v>
      </c>
      <c r="CL9">
        <v>3.8449999999999998E-2</v>
      </c>
      <c r="CM9" t="s">
        <v>443</v>
      </c>
      <c r="CN9">
        <v>7.2759600000000004</v>
      </c>
      <c r="CO9">
        <v>6.9690000000000002E-2</v>
      </c>
      <c r="CP9" t="s">
        <v>443</v>
      </c>
      <c r="CQ9">
        <v>8.0501000000000005</v>
      </c>
      <c r="CR9">
        <v>0.14363999999999999</v>
      </c>
      <c r="CS9" t="s">
        <v>443</v>
      </c>
      <c r="CT9">
        <v>3.9406099999999999</v>
      </c>
      <c r="CU9">
        <v>0.12425</v>
      </c>
      <c r="CV9" t="s">
        <v>443</v>
      </c>
      <c r="CW9">
        <v>7.3215000000000003</v>
      </c>
      <c r="CX9">
        <v>0.21768999999999999</v>
      </c>
      <c r="CY9" t="s">
        <v>443</v>
      </c>
      <c r="CZ9">
        <v>1.2370099999999999</v>
      </c>
      <c r="DA9">
        <v>8.6330000000000004E-2</v>
      </c>
      <c r="DB9" t="s">
        <v>443</v>
      </c>
      <c r="DC9">
        <v>22.66835</v>
      </c>
      <c r="DD9">
        <v>8.8279999999999997E-2</v>
      </c>
      <c r="DE9" t="s">
        <v>443</v>
      </c>
      <c r="DF9">
        <v>8.6611200000000004</v>
      </c>
      <c r="DG9">
        <v>0.19650999999999999</v>
      </c>
      <c r="DH9" t="s">
        <v>443</v>
      </c>
      <c r="DI9">
        <v>1.1537500000000001</v>
      </c>
      <c r="DJ9">
        <v>6.6400000000000001E-3</v>
      </c>
      <c r="DK9" t="s">
        <v>443</v>
      </c>
      <c r="DL9">
        <v>1.1640900000000001</v>
      </c>
      <c r="DM9">
        <v>3.4259999999999999E-2</v>
      </c>
      <c r="DN9" t="s">
        <v>443</v>
      </c>
      <c r="DO9">
        <v>1.15509</v>
      </c>
      <c r="DP9">
        <v>3.3160000000000002E-2</v>
      </c>
      <c r="DQ9" t="s">
        <v>443</v>
      </c>
      <c r="DR9">
        <v>1.1170199999999999</v>
      </c>
      <c r="DS9">
        <v>1.992E-2</v>
      </c>
      <c r="DT9" t="s">
        <v>443</v>
      </c>
      <c r="DU9">
        <v>3.6288100000000001</v>
      </c>
      <c r="DV9">
        <v>9.6970000000000001E-2</v>
      </c>
      <c r="DW9" t="s">
        <v>443</v>
      </c>
      <c r="DX9">
        <v>1.15211</v>
      </c>
      <c r="DY9">
        <v>2.7869999999999999E-2</v>
      </c>
      <c r="DZ9" t="s">
        <v>443</v>
      </c>
      <c r="EA9">
        <v>1.05464</v>
      </c>
      <c r="EB9">
        <v>2.4639999999999999E-2</v>
      </c>
      <c r="EC9" t="s">
        <v>443</v>
      </c>
      <c r="ED9">
        <v>1.12999</v>
      </c>
      <c r="EE9">
        <v>1.3599999999999999E-2</v>
      </c>
      <c r="EF9" t="s">
        <v>443</v>
      </c>
      <c r="EG9">
        <v>4.8584800000000001</v>
      </c>
      <c r="EH9">
        <v>7.9990000000000006E-2</v>
      </c>
      <c r="EI9" t="s">
        <v>443</v>
      </c>
      <c r="EJ9"/>
      <c r="EK9"/>
      <c r="EL9" t="s">
        <v>440</v>
      </c>
      <c r="EM9">
        <v>1.13696</v>
      </c>
      <c r="EN9">
        <v>1.4069999999999999E-2</v>
      </c>
      <c r="EO9" t="s">
        <v>443</v>
      </c>
      <c r="EP9"/>
      <c r="EQ9"/>
      <c r="ER9" t="s">
        <v>440</v>
      </c>
      <c r="ES9">
        <v>11.8622</v>
      </c>
      <c r="ET9">
        <v>0.18389</v>
      </c>
      <c r="EU9" t="s">
        <v>443</v>
      </c>
      <c r="EV9">
        <v>1.4505999999999999</v>
      </c>
      <c r="EW9">
        <v>3.4880000000000001E-2</v>
      </c>
      <c r="EX9" t="s">
        <v>443</v>
      </c>
      <c r="EY9">
        <v>1.3768</v>
      </c>
      <c r="EZ9">
        <v>5.7779999999999998E-2</v>
      </c>
      <c r="FA9" t="s">
        <v>443</v>
      </c>
      <c r="FB9">
        <v>4.5151300000000001</v>
      </c>
      <c r="FC9">
        <v>0.53181999999999996</v>
      </c>
      <c r="FD9" t="s">
        <v>443</v>
      </c>
      <c r="FE9">
        <v>10.56508</v>
      </c>
      <c r="FF9">
        <v>0.51685000000000003</v>
      </c>
      <c r="FG9" t="s">
        <v>444</v>
      </c>
      <c r="FH9"/>
      <c r="FI9"/>
      <c r="FJ9" t="s">
        <v>440</v>
      </c>
      <c r="FK9"/>
      <c r="FL9"/>
      <c r="FM9" t="s">
        <v>440</v>
      </c>
      <c r="FN9">
        <v>1.22414</v>
      </c>
      <c r="FO9">
        <v>3.5860000000000003E-2</v>
      </c>
      <c r="FP9" t="s">
        <v>444</v>
      </c>
      <c r="FQ9"/>
      <c r="FR9"/>
      <c r="FS9" t="s">
        <v>440</v>
      </c>
      <c r="FT9">
        <v>1</v>
      </c>
      <c r="FU9"/>
      <c r="FV9"/>
      <c r="FW9">
        <v>97</v>
      </c>
    </row>
    <row r="10" spans="1:179" x14ac:dyDescent="0.2">
      <c r="A10" t="s">
        <v>177</v>
      </c>
      <c r="B10">
        <v>1.1383000000000001</v>
      </c>
      <c r="C10">
        <v>3.6150000000000002E-2</v>
      </c>
      <c r="D10" t="s">
        <v>443</v>
      </c>
      <c r="E10">
        <v>1.15995</v>
      </c>
      <c r="F10">
        <v>3.4250000000000003E-2</v>
      </c>
      <c r="G10" t="s">
        <v>443</v>
      </c>
      <c r="H10">
        <v>1.1270899999999999</v>
      </c>
      <c r="I10">
        <v>1.7979999999999999E-2</v>
      </c>
      <c r="J10" t="s">
        <v>443</v>
      </c>
      <c r="K10">
        <v>1.1605099999999999</v>
      </c>
      <c r="L10">
        <v>3.0130000000000001E-2</v>
      </c>
      <c r="M10" t="s">
        <v>443</v>
      </c>
      <c r="N10">
        <v>1.1419299999999999</v>
      </c>
      <c r="O10">
        <v>2.7869999999999999E-2</v>
      </c>
      <c r="P10" t="s">
        <v>443</v>
      </c>
      <c r="Q10">
        <v>1.09934</v>
      </c>
      <c r="R10">
        <v>3.1199999999999999E-2</v>
      </c>
      <c r="S10" t="s">
        <v>443</v>
      </c>
      <c r="T10">
        <v>1.1368100000000001</v>
      </c>
      <c r="U10">
        <v>2.826E-2</v>
      </c>
      <c r="V10" t="s">
        <v>443</v>
      </c>
      <c r="W10">
        <v>1.0991299999999999</v>
      </c>
      <c r="X10">
        <v>3.6850000000000001E-2</v>
      </c>
      <c r="Y10" t="s">
        <v>443</v>
      </c>
      <c r="Z10">
        <v>1.11046</v>
      </c>
      <c r="AA10">
        <v>3.4329999999999999E-2</v>
      </c>
      <c r="AB10" t="s">
        <v>443</v>
      </c>
      <c r="AC10">
        <v>1.12262</v>
      </c>
      <c r="AD10">
        <v>4.1669999999999999E-2</v>
      </c>
      <c r="AE10" t="s">
        <v>443</v>
      </c>
      <c r="AF10"/>
      <c r="AG10"/>
      <c r="AH10" t="s">
        <v>440</v>
      </c>
      <c r="AI10">
        <v>1.1107499999999999</v>
      </c>
      <c r="AJ10">
        <v>3.9419999999999997E-2</v>
      </c>
      <c r="AK10" t="s">
        <v>444</v>
      </c>
      <c r="AL10">
        <v>1.1658500000000001</v>
      </c>
      <c r="AM10">
        <v>3.8289999999999998E-2</v>
      </c>
      <c r="AN10" t="s">
        <v>443</v>
      </c>
      <c r="AO10">
        <v>1.15021</v>
      </c>
      <c r="AP10">
        <v>4.6390000000000001E-2</v>
      </c>
      <c r="AQ10" t="s">
        <v>443</v>
      </c>
      <c r="AR10">
        <v>3.9449800000000002</v>
      </c>
      <c r="AS10">
        <v>0.12931000000000001</v>
      </c>
      <c r="AT10" t="s">
        <v>443</v>
      </c>
      <c r="AU10">
        <v>1.14605</v>
      </c>
      <c r="AV10">
        <v>2.9170000000000001E-2</v>
      </c>
      <c r="AW10" t="s">
        <v>443</v>
      </c>
      <c r="AX10">
        <v>1.1432800000000001</v>
      </c>
      <c r="AY10">
        <v>3.9910000000000001E-2</v>
      </c>
      <c r="AZ10" t="s">
        <v>443</v>
      </c>
      <c r="BA10">
        <v>1.1504300000000001</v>
      </c>
      <c r="BB10">
        <v>3.9050000000000001E-2</v>
      </c>
      <c r="BC10" t="s">
        <v>443</v>
      </c>
      <c r="BD10">
        <v>1.15256</v>
      </c>
      <c r="BE10">
        <v>3.8769999999999999E-2</v>
      </c>
      <c r="BF10" t="s">
        <v>443</v>
      </c>
      <c r="BG10">
        <v>1.1426499999999999</v>
      </c>
      <c r="BH10">
        <v>4.4900000000000002E-2</v>
      </c>
      <c r="BI10" t="s">
        <v>443</v>
      </c>
      <c r="BJ10">
        <v>1.18662</v>
      </c>
      <c r="BK10">
        <v>4.4650000000000002E-2</v>
      </c>
      <c r="BL10" t="s">
        <v>443</v>
      </c>
      <c r="BM10">
        <v>1.16492</v>
      </c>
      <c r="BN10">
        <v>2.656E-2</v>
      </c>
      <c r="BO10" t="s">
        <v>443</v>
      </c>
      <c r="BP10">
        <v>1.1634800000000001</v>
      </c>
      <c r="BQ10">
        <v>2.6530000000000001E-2</v>
      </c>
      <c r="BR10" t="s">
        <v>443</v>
      </c>
      <c r="BS10"/>
      <c r="BT10"/>
      <c r="BU10" t="s">
        <v>440</v>
      </c>
      <c r="BV10">
        <v>-1.1936500000000001</v>
      </c>
      <c r="BW10">
        <v>3.6409999999999998E-2</v>
      </c>
      <c r="BX10" t="s">
        <v>445</v>
      </c>
      <c r="BY10">
        <v>1.13906</v>
      </c>
      <c r="BZ10">
        <v>3.6650000000000002E-2</v>
      </c>
      <c r="CA10" t="s">
        <v>443</v>
      </c>
      <c r="CB10">
        <v>1.10928</v>
      </c>
      <c r="CC10">
        <v>3.9940000000000003E-2</v>
      </c>
      <c r="CD10" t="s">
        <v>443</v>
      </c>
      <c r="CE10">
        <v>1.0973599999999999</v>
      </c>
      <c r="CF10">
        <v>4.3180000000000003E-2</v>
      </c>
      <c r="CG10" t="s">
        <v>443</v>
      </c>
      <c r="CH10">
        <v>1.12809</v>
      </c>
      <c r="CI10">
        <v>3.8260000000000002E-2</v>
      </c>
      <c r="CJ10" t="s">
        <v>443</v>
      </c>
      <c r="CK10">
        <v>1.2106600000000001</v>
      </c>
      <c r="CL10">
        <v>3.3849999999999998E-2</v>
      </c>
      <c r="CM10" t="s">
        <v>443</v>
      </c>
      <c r="CN10">
        <v>6.9397399999999996</v>
      </c>
      <c r="CO10">
        <v>0.14519000000000001</v>
      </c>
      <c r="CP10" t="s">
        <v>443</v>
      </c>
      <c r="CQ10">
        <v>7.7812599999999996</v>
      </c>
      <c r="CR10">
        <v>4.4159999999999998E-2</v>
      </c>
      <c r="CS10" t="s">
        <v>443</v>
      </c>
      <c r="CT10">
        <v>3.8321100000000001</v>
      </c>
      <c r="CU10">
        <v>2.537E-2</v>
      </c>
      <c r="CV10" t="s">
        <v>443</v>
      </c>
      <c r="CW10">
        <v>6.5996300000000003</v>
      </c>
      <c r="CX10">
        <v>0.19195999999999999</v>
      </c>
      <c r="CY10" t="s">
        <v>443</v>
      </c>
      <c r="CZ10">
        <v>1.18642</v>
      </c>
      <c r="DA10">
        <v>2.8080000000000001E-2</v>
      </c>
      <c r="DB10" t="s">
        <v>443</v>
      </c>
      <c r="DC10">
        <v>21.97214</v>
      </c>
      <c r="DD10">
        <v>0.26840000000000003</v>
      </c>
      <c r="DE10" t="s">
        <v>443</v>
      </c>
      <c r="DF10">
        <v>8.1291899999999995</v>
      </c>
      <c r="DG10">
        <v>0.15412999999999999</v>
      </c>
      <c r="DH10" t="s">
        <v>443</v>
      </c>
      <c r="DI10">
        <v>1.1120399999999999</v>
      </c>
      <c r="DJ10">
        <v>4.4889999999999999E-2</v>
      </c>
      <c r="DK10" t="s">
        <v>443</v>
      </c>
      <c r="DL10">
        <v>1.1311199999999999</v>
      </c>
      <c r="DM10">
        <v>1.5869999999999999E-2</v>
      </c>
      <c r="DN10" t="s">
        <v>443</v>
      </c>
      <c r="DO10">
        <v>1.12947</v>
      </c>
      <c r="DP10">
        <v>2.239E-2</v>
      </c>
      <c r="DQ10" t="s">
        <v>443</v>
      </c>
      <c r="DR10">
        <v>1.09964</v>
      </c>
      <c r="DS10">
        <v>2.47E-3</v>
      </c>
      <c r="DT10" t="s">
        <v>443</v>
      </c>
      <c r="DU10">
        <v>3.53538</v>
      </c>
      <c r="DV10">
        <v>3.2599999999999999E-3</v>
      </c>
      <c r="DW10" t="s">
        <v>443</v>
      </c>
      <c r="DX10">
        <v>1.1084099999999999</v>
      </c>
      <c r="DY10">
        <v>1.184E-2</v>
      </c>
      <c r="DZ10" t="s">
        <v>443</v>
      </c>
      <c r="EA10">
        <v>1.0252699999999999</v>
      </c>
      <c r="EB10">
        <v>2.3560000000000001E-2</v>
      </c>
      <c r="EC10" t="s">
        <v>443</v>
      </c>
      <c r="ED10">
        <v>1.10789</v>
      </c>
      <c r="EE10">
        <v>2.3279999999999999E-2</v>
      </c>
      <c r="EF10" t="s">
        <v>443</v>
      </c>
      <c r="EG10">
        <v>4.8305999999999996</v>
      </c>
      <c r="EH10">
        <v>9.912E-2</v>
      </c>
      <c r="EI10" t="s">
        <v>443</v>
      </c>
      <c r="EJ10"/>
      <c r="EK10"/>
      <c r="EL10" t="s">
        <v>440</v>
      </c>
      <c r="EM10">
        <v>1.11277</v>
      </c>
      <c r="EN10">
        <v>1.196E-2</v>
      </c>
      <c r="EO10" t="s">
        <v>443</v>
      </c>
      <c r="EP10"/>
      <c r="EQ10"/>
      <c r="ER10" t="s">
        <v>440</v>
      </c>
      <c r="ES10">
        <v>11.211880000000001</v>
      </c>
      <c r="ET10">
        <v>0.22706999999999999</v>
      </c>
      <c r="EU10" t="s">
        <v>443</v>
      </c>
      <c r="EV10">
        <v>1.4934499999999999</v>
      </c>
      <c r="EW10">
        <v>2.8029999999999999E-2</v>
      </c>
      <c r="EX10" t="s">
        <v>443</v>
      </c>
      <c r="EY10">
        <v>1.27305</v>
      </c>
      <c r="EZ10">
        <v>3.2969999999999999E-2</v>
      </c>
      <c r="FA10" t="s">
        <v>443</v>
      </c>
      <c r="FB10">
        <v>1.7772399999999999</v>
      </c>
      <c r="FC10">
        <v>0.28788000000000002</v>
      </c>
      <c r="FD10" t="s">
        <v>445</v>
      </c>
      <c r="FE10">
        <v>4.7327300000000001</v>
      </c>
      <c r="FF10">
        <v>0.19899</v>
      </c>
      <c r="FG10" t="s">
        <v>444</v>
      </c>
      <c r="FH10"/>
      <c r="FI10"/>
      <c r="FJ10" t="s">
        <v>440</v>
      </c>
      <c r="FK10"/>
      <c r="FL10"/>
      <c r="FM10" t="s">
        <v>440</v>
      </c>
      <c r="FN10">
        <v>1.1578599999999999</v>
      </c>
      <c r="FO10">
        <v>1.4919999999999999E-2</v>
      </c>
      <c r="FP10" t="s">
        <v>444</v>
      </c>
      <c r="FQ10"/>
      <c r="FR10"/>
      <c r="FS10" t="s">
        <v>440</v>
      </c>
      <c r="FT10">
        <v>1</v>
      </c>
      <c r="FU10"/>
      <c r="FV10"/>
      <c r="FW10">
        <v>110</v>
      </c>
    </row>
    <row r="11" spans="1:179" x14ac:dyDescent="0.2">
      <c r="A11" t="s">
        <v>185</v>
      </c>
      <c r="B11">
        <v>1.10629</v>
      </c>
      <c r="C11">
        <v>1.478E-2</v>
      </c>
      <c r="D11" t="s">
        <v>443</v>
      </c>
      <c r="E11">
        <v>1.11737</v>
      </c>
      <c r="F11">
        <v>3.3799999999999997E-2</v>
      </c>
      <c r="G11" t="s">
        <v>443</v>
      </c>
      <c r="H11">
        <v>1.1048500000000001</v>
      </c>
      <c r="I11">
        <v>2.197E-2</v>
      </c>
      <c r="J11" t="s">
        <v>443</v>
      </c>
      <c r="K11">
        <v>1.1386400000000001</v>
      </c>
      <c r="L11">
        <v>1.8159999999999999E-2</v>
      </c>
      <c r="M11" t="s">
        <v>443</v>
      </c>
      <c r="N11">
        <v>1.13239</v>
      </c>
      <c r="O11">
        <v>2.419E-2</v>
      </c>
      <c r="P11" t="s">
        <v>443</v>
      </c>
      <c r="Q11">
        <v>1.0947</v>
      </c>
      <c r="R11">
        <v>1.3950000000000001E-2</v>
      </c>
      <c r="S11" t="s">
        <v>443</v>
      </c>
      <c r="T11">
        <v>1.12331</v>
      </c>
      <c r="U11">
        <v>1.925E-2</v>
      </c>
      <c r="V11" t="s">
        <v>443</v>
      </c>
      <c r="W11">
        <v>1.0626199999999999</v>
      </c>
      <c r="X11">
        <v>1.5769999999999999E-2</v>
      </c>
      <c r="Y11" t="s">
        <v>443</v>
      </c>
      <c r="Z11">
        <v>1.08822</v>
      </c>
      <c r="AA11">
        <v>1.486E-2</v>
      </c>
      <c r="AB11" t="s">
        <v>443</v>
      </c>
      <c r="AC11">
        <v>1.09751</v>
      </c>
      <c r="AD11">
        <v>3.1609999999999999E-2</v>
      </c>
      <c r="AE11" t="s">
        <v>443</v>
      </c>
      <c r="AF11"/>
      <c r="AG11"/>
      <c r="AH11" t="s">
        <v>440</v>
      </c>
      <c r="AI11">
        <v>1.0850299999999999</v>
      </c>
      <c r="AJ11">
        <v>1.695E-2</v>
      </c>
      <c r="AK11" t="s">
        <v>444</v>
      </c>
      <c r="AL11">
        <v>1.14066</v>
      </c>
      <c r="AM11">
        <v>2.0240000000000001E-2</v>
      </c>
      <c r="AN11" t="s">
        <v>443</v>
      </c>
      <c r="AO11">
        <v>1.1293500000000001</v>
      </c>
      <c r="AP11">
        <v>2.0480000000000002E-2</v>
      </c>
      <c r="AQ11" t="s">
        <v>443</v>
      </c>
      <c r="AR11">
        <v>3.85562</v>
      </c>
      <c r="AS11">
        <v>2.682E-2</v>
      </c>
      <c r="AT11" t="s">
        <v>443</v>
      </c>
      <c r="AU11">
        <v>1.12914</v>
      </c>
      <c r="AV11">
        <v>3.3849999999999998E-2</v>
      </c>
      <c r="AW11" t="s">
        <v>443</v>
      </c>
      <c r="AX11">
        <v>1.1198699999999999</v>
      </c>
      <c r="AY11">
        <v>2.0420000000000001E-2</v>
      </c>
      <c r="AZ11" t="s">
        <v>443</v>
      </c>
      <c r="BA11">
        <v>1.12005</v>
      </c>
      <c r="BB11">
        <v>2.4330000000000001E-2</v>
      </c>
      <c r="BC11" t="s">
        <v>443</v>
      </c>
      <c r="BD11">
        <v>1.1318900000000001</v>
      </c>
      <c r="BE11">
        <v>2.026E-2</v>
      </c>
      <c r="BF11" t="s">
        <v>443</v>
      </c>
      <c r="BG11">
        <v>1.1206100000000001</v>
      </c>
      <c r="BH11">
        <v>1.44E-2</v>
      </c>
      <c r="BI11" t="s">
        <v>443</v>
      </c>
      <c r="BJ11">
        <v>1.1571899999999999</v>
      </c>
      <c r="BK11">
        <v>2.2450000000000001E-2</v>
      </c>
      <c r="BL11" t="s">
        <v>443</v>
      </c>
      <c r="BM11">
        <v>1.13615</v>
      </c>
      <c r="BN11">
        <v>2.6630000000000001E-2</v>
      </c>
      <c r="BO11" t="s">
        <v>443</v>
      </c>
      <c r="BP11">
        <v>1.1350800000000001</v>
      </c>
      <c r="BQ11">
        <v>3.5990000000000001E-2</v>
      </c>
      <c r="BR11" t="s">
        <v>443</v>
      </c>
      <c r="BS11"/>
      <c r="BT11"/>
      <c r="BU11" t="s">
        <v>440</v>
      </c>
      <c r="BV11">
        <v>-1.22265</v>
      </c>
      <c r="BW11">
        <v>1.5689999999999999E-2</v>
      </c>
      <c r="BX11" t="s">
        <v>445</v>
      </c>
      <c r="BY11">
        <v>1.1084400000000001</v>
      </c>
      <c r="BZ11">
        <v>2.3369999999999998E-2</v>
      </c>
      <c r="CA11" t="s">
        <v>443</v>
      </c>
      <c r="CB11">
        <v>1.0829899999999999</v>
      </c>
      <c r="CC11">
        <v>3.0620000000000001E-2</v>
      </c>
      <c r="CD11" t="s">
        <v>443</v>
      </c>
      <c r="CE11">
        <v>1.08867</v>
      </c>
      <c r="CF11">
        <v>2.6759999999999999E-2</v>
      </c>
      <c r="CG11" t="s">
        <v>443</v>
      </c>
      <c r="CH11">
        <v>1.0985</v>
      </c>
      <c r="CI11">
        <v>3.1919999999999997E-2</v>
      </c>
      <c r="CJ11" t="s">
        <v>443</v>
      </c>
      <c r="CK11">
        <v>1.18405</v>
      </c>
      <c r="CL11">
        <v>1.8100000000000002E-2</v>
      </c>
      <c r="CM11" t="s">
        <v>443</v>
      </c>
      <c r="CN11">
        <v>6.9674500000000004</v>
      </c>
      <c r="CO11">
        <v>8.2070000000000004E-2</v>
      </c>
      <c r="CP11" t="s">
        <v>443</v>
      </c>
      <c r="CQ11">
        <v>7.8443699999999996</v>
      </c>
      <c r="CR11">
        <v>1.78E-2</v>
      </c>
      <c r="CS11" t="s">
        <v>443</v>
      </c>
      <c r="CT11">
        <v>3.8465600000000002</v>
      </c>
      <c r="CU11">
        <v>4.0039999999999999E-2</v>
      </c>
      <c r="CV11" t="s">
        <v>443</v>
      </c>
      <c r="CW11">
        <v>6.2877400000000003</v>
      </c>
      <c r="CX11">
        <v>0.26249</v>
      </c>
      <c r="CY11" t="s">
        <v>443</v>
      </c>
      <c r="CZ11">
        <v>1.08439</v>
      </c>
      <c r="DA11">
        <v>4.5859999999999998E-2</v>
      </c>
      <c r="DB11" t="s">
        <v>443</v>
      </c>
      <c r="DC11">
        <v>21.924810000000001</v>
      </c>
      <c r="DD11">
        <v>4.1360000000000001E-2</v>
      </c>
      <c r="DE11" t="s">
        <v>443</v>
      </c>
      <c r="DF11">
        <v>7.8131199999999996</v>
      </c>
      <c r="DG11">
        <v>4.1029999999999997E-2</v>
      </c>
      <c r="DH11" t="s">
        <v>443</v>
      </c>
      <c r="DI11">
        <v>1.11513</v>
      </c>
      <c r="DJ11">
        <v>1.9709999999999998E-2</v>
      </c>
      <c r="DK11" t="s">
        <v>443</v>
      </c>
      <c r="DL11">
        <v>1.12643</v>
      </c>
      <c r="DM11">
        <v>1.4840000000000001E-2</v>
      </c>
      <c r="DN11" t="s">
        <v>443</v>
      </c>
      <c r="DO11">
        <v>1.1275599999999999</v>
      </c>
      <c r="DP11">
        <v>1.406E-2</v>
      </c>
      <c r="DQ11" t="s">
        <v>443</v>
      </c>
      <c r="DR11">
        <v>1.0963099999999999</v>
      </c>
      <c r="DS11">
        <v>1.6650000000000002E-2</v>
      </c>
      <c r="DT11" t="s">
        <v>443</v>
      </c>
      <c r="DU11">
        <v>3.5002300000000002</v>
      </c>
      <c r="DV11">
        <v>4.6260000000000003E-2</v>
      </c>
      <c r="DW11" t="s">
        <v>443</v>
      </c>
      <c r="DX11">
        <v>1.11721</v>
      </c>
      <c r="DY11">
        <v>2.0930000000000001E-2</v>
      </c>
      <c r="DZ11" t="s">
        <v>443</v>
      </c>
      <c r="EA11">
        <v>1.03637</v>
      </c>
      <c r="EB11">
        <v>2.0209999999999999E-2</v>
      </c>
      <c r="EC11" t="s">
        <v>443</v>
      </c>
      <c r="ED11">
        <v>1.1029199999999999</v>
      </c>
      <c r="EE11">
        <v>1.6109999999999999E-2</v>
      </c>
      <c r="EF11" t="s">
        <v>443</v>
      </c>
      <c r="EG11">
        <v>4.8822099999999997</v>
      </c>
      <c r="EH11">
        <v>0.11713999999999999</v>
      </c>
      <c r="EI11" t="s">
        <v>443</v>
      </c>
      <c r="EJ11"/>
      <c r="EK11"/>
      <c r="EL11" t="s">
        <v>440</v>
      </c>
      <c r="EM11">
        <v>1.13408</v>
      </c>
      <c r="EN11">
        <v>2.1600000000000001E-2</v>
      </c>
      <c r="EO11" t="s">
        <v>443</v>
      </c>
      <c r="EP11"/>
      <c r="EQ11"/>
      <c r="ER11" t="s">
        <v>440</v>
      </c>
      <c r="ES11">
        <v>10.73723</v>
      </c>
      <c r="ET11">
        <v>8.0790000000000001E-2</v>
      </c>
      <c r="EU11" t="s">
        <v>443</v>
      </c>
      <c r="EV11">
        <v>1.48566</v>
      </c>
      <c r="EW11">
        <v>3.6299999999999999E-2</v>
      </c>
      <c r="EX11" t="s">
        <v>443</v>
      </c>
      <c r="EY11">
        <v>1.19642</v>
      </c>
      <c r="EZ11">
        <v>4.0800000000000003E-3</v>
      </c>
      <c r="FA11" t="s">
        <v>443</v>
      </c>
      <c r="FB11">
        <v>3.3180000000000001</v>
      </c>
      <c r="FC11">
        <v>0.40917999999999999</v>
      </c>
      <c r="FD11" t="s">
        <v>443</v>
      </c>
      <c r="FE11">
        <v>8.0281000000000002</v>
      </c>
      <c r="FF11">
        <v>9.2179999999999998E-2</v>
      </c>
      <c r="FG11" t="s">
        <v>444</v>
      </c>
      <c r="FH11"/>
      <c r="FI11"/>
      <c r="FJ11" t="s">
        <v>440</v>
      </c>
      <c r="FK11"/>
      <c r="FL11"/>
      <c r="FM11" t="s">
        <v>440</v>
      </c>
      <c r="FN11">
        <v>1.1656599999999999</v>
      </c>
      <c r="FO11">
        <v>2.1199999999999999E-3</v>
      </c>
      <c r="FP11" t="s">
        <v>444</v>
      </c>
      <c r="FQ11"/>
      <c r="FR11"/>
      <c r="FS11" t="s">
        <v>440</v>
      </c>
      <c r="FT11">
        <v>1</v>
      </c>
      <c r="FU11"/>
      <c r="FV11"/>
      <c r="FW11">
        <v>118</v>
      </c>
    </row>
    <row r="12" spans="1:179" x14ac:dyDescent="0.2">
      <c r="A12" t="s">
        <v>79</v>
      </c>
      <c r="B12">
        <v>0.33613999999999999</v>
      </c>
      <c r="C12">
        <v>2.7799999999999999E-3</v>
      </c>
      <c r="D12" t="s">
        <v>446</v>
      </c>
      <c r="E12">
        <v>0.27594999999999997</v>
      </c>
      <c r="F12">
        <v>5.7800000000000004E-3</v>
      </c>
      <c r="G12" t="s">
        <v>446</v>
      </c>
      <c r="H12">
        <v>0.27609</v>
      </c>
      <c r="I12">
        <v>4.0600000000000002E-3</v>
      </c>
      <c r="J12" t="s">
        <v>446</v>
      </c>
      <c r="K12">
        <v>6.4755799999999999</v>
      </c>
      <c r="L12">
        <v>0.10471999999999999</v>
      </c>
      <c r="M12" t="s">
        <v>446</v>
      </c>
      <c r="N12">
        <v>5.8100000000000001E-3</v>
      </c>
      <c r="O12">
        <v>2.7E-4</v>
      </c>
      <c r="P12" t="s">
        <v>447</v>
      </c>
      <c r="Q12">
        <v>2.2532299999999998</v>
      </c>
      <c r="R12">
        <v>8.9300000000000004E-3</v>
      </c>
      <c r="S12" t="s">
        <v>446</v>
      </c>
      <c r="T12">
        <v>4.1700000000000001E-3</v>
      </c>
      <c r="U12">
        <v>6.0000000000000002E-5</v>
      </c>
      <c r="V12" t="s">
        <v>447</v>
      </c>
      <c r="W12">
        <v>2.1780000000000001E-2</v>
      </c>
      <c r="X12">
        <v>1.2099999999999999E-3</v>
      </c>
      <c r="Y12" t="s">
        <v>447</v>
      </c>
      <c r="Z12">
        <v>2.6450000000000001E-2</v>
      </c>
      <c r="AA12">
        <v>4.6000000000000001E-4</v>
      </c>
      <c r="AB12" s="29" t="s">
        <v>448</v>
      </c>
      <c r="AC12">
        <v>0.12515999999999999</v>
      </c>
      <c r="AD12">
        <v>3.4000000000000002E-4</v>
      </c>
      <c r="AE12" t="s">
        <v>446</v>
      </c>
      <c r="AF12"/>
      <c r="AG12"/>
      <c r="AH12" t="s">
        <v>440</v>
      </c>
      <c r="AI12">
        <v>4.6550000000000001E-2</v>
      </c>
      <c r="AJ12">
        <v>4.8000000000000001E-4</v>
      </c>
      <c r="AK12" t="s">
        <v>449</v>
      </c>
      <c r="AL12">
        <v>1.08351</v>
      </c>
      <c r="AM12">
        <v>3.2799999999999999E-3</v>
      </c>
      <c r="AN12" t="s">
        <v>446</v>
      </c>
      <c r="AO12">
        <v>1E-4</v>
      </c>
      <c r="AP12">
        <v>3.8000000000000002E-4</v>
      </c>
      <c r="AQ12" t="s">
        <v>450</v>
      </c>
      <c r="AR12">
        <v>10.27439</v>
      </c>
      <c r="AS12">
        <v>0.10118000000000001</v>
      </c>
      <c r="AT12" t="s">
        <v>446</v>
      </c>
      <c r="AU12">
        <v>1.2999999999999999E-4</v>
      </c>
      <c r="AV12">
        <v>5.0000000000000002E-5</v>
      </c>
      <c r="AW12" t="s">
        <v>450</v>
      </c>
      <c r="AX12">
        <v>-3.3400000000000001E-3</v>
      </c>
      <c r="AY12">
        <v>5.0000000000000002E-5</v>
      </c>
      <c r="AZ12" t="s">
        <v>450</v>
      </c>
      <c r="BA12">
        <v>4.0699999999999998E-3</v>
      </c>
      <c r="BB12">
        <v>3.3E-4</v>
      </c>
      <c r="BC12" t="s">
        <v>447</v>
      </c>
      <c r="BD12">
        <v>1.74E-3</v>
      </c>
      <c r="BE12">
        <v>1.4999999999999999E-4</v>
      </c>
      <c r="BF12" t="s">
        <v>447</v>
      </c>
      <c r="BG12">
        <v>2.97E-3</v>
      </c>
      <c r="BH12">
        <v>2.1000000000000001E-4</v>
      </c>
      <c r="BI12" t="s">
        <v>447</v>
      </c>
      <c r="BJ12">
        <v>3.5699999999999998E-3</v>
      </c>
      <c r="BK12">
        <v>9.0000000000000006E-5</v>
      </c>
      <c r="BL12" t="s">
        <v>447</v>
      </c>
      <c r="BM12">
        <v>1.81E-3</v>
      </c>
      <c r="BN12">
        <v>1E-4</v>
      </c>
      <c r="BO12" t="s">
        <v>447</v>
      </c>
      <c r="BP12">
        <v>4.8399999999999997E-3</v>
      </c>
      <c r="BQ12">
        <v>5.1000000000000004E-4</v>
      </c>
      <c r="BR12" t="s">
        <v>447</v>
      </c>
      <c r="BS12"/>
      <c r="BT12"/>
      <c r="BU12" t="s">
        <v>440</v>
      </c>
      <c r="BV12">
        <v>-0.16916999999999999</v>
      </c>
      <c r="BW12">
        <v>0.11670999999999999</v>
      </c>
      <c r="BX12" t="s">
        <v>450</v>
      </c>
      <c r="BY12">
        <v>0.13838</v>
      </c>
      <c r="BZ12">
        <v>3.1700000000000001E-3</v>
      </c>
      <c r="CA12" t="s">
        <v>446</v>
      </c>
      <c r="CB12">
        <v>0.33443000000000001</v>
      </c>
      <c r="CC12">
        <v>1.112E-2</v>
      </c>
      <c r="CD12" t="s">
        <v>446</v>
      </c>
      <c r="CE12">
        <v>0.35066999999999998</v>
      </c>
      <c r="CF12">
        <v>6.4900000000000001E-3</v>
      </c>
      <c r="CG12" t="s">
        <v>446</v>
      </c>
      <c r="CH12">
        <v>0.36132999999999998</v>
      </c>
      <c r="CI12">
        <v>1.0030000000000001E-2</v>
      </c>
      <c r="CJ12" t="s">
        <v>446</v>
      </c>
      <c r="CK12">
        <v>0.25509999999999999</v>
      </c>
      <c r="CL12">
        <v>6.5700000000000003E-3</v>
      </c>
      <c r="CM12" t="s">
        <v>447</v>
      </c>
      <c r="CN12">
        <v>434.12536</v>
      </c>
      <c r="CO12">
        <v>144.18131</v>
      </c>
      <c r="CP12" s="29" t="s">
        <v>448</v>
      </c>
      <c r="CQ12">
        <v>176.63907</v>
      </c>
      <c r="CR12">
        <v>57.768749999999997</v>
      </c>
      <c r="CS12" s="29" t="s">
        <v>448</v>
      </c>
      <c r="CT12">
        <v>3.3569900000000001</v>
      </c>
      <c r="CU12">
        <v>1.29756</v>
      </c>
      <c r="CV12" s="29" t="s">
        <v>448</v>
      </c>
      <c r="CW12">
        <v>5.71455</v>
      </c>
      <c r="CX12">
        <v>7.5606099999999996</v>
      </c>
      <c r="CY12" s="29" t="s">
        <v>448</v>
      </c>
      <c r="CZ12">
        <v>1.8110000000000001E-2</v>
      </c>
      <c r="DA12">
        <v>6.6720000000000002E-2</v>
      </c>
      <c r="DB12" t="s">
        <v>450</v>
      </c>
      <c r="DC12">
        <v>1.65744</v>
      </c>
      <c r="DD12">
        <v>2.8413599999999999</v>
      </c>
      <c r="DE12" t="s">
        <v>447</v>
      </c>
      <c r="DF12">
        <v>681.85401000000002</v>
      </c>
      <c r="DG12">
        <v>246.12924000000001</v>
      </c>
      <c r="DH12" s="29" t="s">
        <v>448</v>
      </c>
      <c r="DI12">
        <v>-3.7000000000000002E-3</v>
      </c>
      <c r="DJ12">
        <v>8.4600000000000005E-3</v>
      </c>
      <c r="DK12" t="s">
        <v>450</v>
      </c>
      <c r="DL12">
        <v>0.90130999999999994</v>
      </c>
      <c r="DM12">
        <v>0.32530999999999999</v>
      </c>
      <c r="DN12" s="29" t="s">
        <v>448</v>
      </c>
      <c r="DO12">
        <v>0.45821000000000001</v>
      </c>
      <c r="DP12">
        <v>0.16214000000000001</v>
      </c>
      <c r="DQ12" s="29" t="s">
        <v>448</v>
      </c>
      <c r="DR12">
        <v>0.87727999999999995</v>
      </c>
      <c r="DS12">
        <v>0.29049999999999998</v>
      </c>
      <c r="DT12" s="29" t="s">
        <v>448</v>
      </c>
      <c r="DU12">
        <v>1.9373800000000001</v>
      </c>
      <c r="DV12">
        <v>0.75463999999999998</v>
      </c>
      <c r="DW12" t="s">
        <v>446</v>
      </c>
      <c r="DX12">
        <v>0.60684000000000005</v>
      </c>
      <c r="DY12">
        <v>0.20382</v>
      </c>
      <c r="DZ12" s="29" t="s">
        <v>448</v>
      </c>
      <c r="EA12">
        <v>1.32233</v>
      </c>
      <c r="EB12">
        <v>0.40237000000000001</v>
      </c>
      <c r="EC12" t="s">
        <v>446</v>
      </c>
      <c r="ED12">
        <v>0.50378999999999996</v>
      </c>
      <c r="EE12">
        <v>0.16250000000000001</v>
      </c>
      <c r="EF12" s="29" t="s">
        <v>448</v>
      </c>
      <c r="EG12">
        <v>1.8458300000000001</v>
      </c>
      <c r="EH12">
        <v>0.65810000000000002</v>
      </c>
      <c r="EI12" s="29" t="s">
        <v>448</v>
      </c>
      <c r="EJ12"/>
      <c r="EK12"/>
      <c r="EL12" t="s">
        <v>440</v>
      </c>
      <c r="EM12">
        <v>-1.9970000000000002E-2</v>
      </c>
      <c r="EN12">
        <v>1.89E-3</v>
      </c>
      <c r="EO12" t="s">
        <v>450</v>
      </c>
      <c r="EP12"/>
      <c r="EQ12"/>
      <c r="ER12" t="s">
        <v>440</v>
      </c>
      <c r="ES12">
        <v>40.653530000000003</v>
      </c>
      <c r="ET12">
        <v>0.78554000000000002</v>
      </c>
      <c r="EU12" t="s">
        <v>446</v>
      </c>
      <c r="EV12">
        <v>2.6800000000000001E-3</v>
      </c>
      <c r="EW12">
        <v>1.47E-3</v>
      </c>
      <c r="EX12" t="s">
        <v>450</v>
      </c>
      <c r="EY12">
        <v>1.1745399999999999</v>
      </c>
      <c r="EZ12">
        <v>2.1909999999999999E-2</v>
      </c>
      <c r="FA12" t="s">
        <v>446</v>
      </c>
      <c r="FB12">
        <v>0.26657999999999998</v>
      </c>
      <c r="FC12">
        <v>6.6220000000000001E-2</v>
      </c>
      <c r="FD12" s="29" t="s">
        <v>451</v>
      </c>
      <c r="FE12">
        <v>0.82840000000000003</v>
      </c>
      <c r="FF12">
        <v>2.1649999999999999E-2</v>
      </c>
      <c r="FG12" s="29" t="s">
        <v>452</v>
      </c>
      <c r="FH12"/>
      <c r="FI12"/>
      <c r="FJ12" t="s">
        <v>440</v>
      </c>
      <c r="FK12"/>
      <c r="FL12"/>
      <c r="FM12" t="s">
        <v>440</v>
      </c>
      <c r="FN12">
        <v>-3.31E-3</v>
      </c>
      <c r="FO12">
        <v>6.8999999999999997E-4</v>
      </c>
      <c r="FP12" t="s">
        <v>449</v>
      </c>
      <c r="FQ12"/>
      <c r="FR12"/>
      <c r="FS12" t="s">
        <v>440</v>
      </c>
      <c r="FT12">
        <v>1</v>
      </c>
      <c r="FU12"/>
      <c r="FV12"/>
      <c r="FW12">
        <v>12</v>
      </c>
    </row>
    <row r="13" spans="1:179" x14ac:dyDescent="0.2">
      <c r="A13" t="s">
        <v>80</v>
      </c>
      <c r="B13">
        <v>19.7638</v>
      </c>
      <c r="C13">
        <v>0.19788</v>
      </c>
      <c r="D13" s="29" t="s">
        <v>448</v>
      </c>
      <c r="E13">
        <v>15.505699999999999</v>
      </c>
      <c r="F13">
        <v>0.64722999999999997</v>
      </c>
      <c r="G13" t="s">
        <v>446</v>
      </c>
      <c r="H13">
        <v>13.08427</v>
      </c>
      <c r="I13">
        <v>0.32490999999999998</v>
      </c>
      <c r="J13" t="s">
        <v>446</v>
      </c>
      <c r="K13">
        <v>333.30040000000002</v>
      </c>
      <c r="L13">
        <v>3.28369</v>
      </c>
      <c r="M13" t="s">
        <v>446</v>
      </c>
      <c r="N13">
        <v>3.8600000000000002E-2</v>
      </c>
      <c r="O13">
        <v>7.2999999999999996E-4</v>
      </c>
      <c r="P13" t="s">
        <v>447</v>
      </c>
      <c r="Q13">
        <v>113.96487</v>
      </c>
      <c r="R13">
        <v>3.1021700000000001</v>
      </c>
      <c r="S13" t="s">
        <v>446</v>
      </c>
      <c r="T13">
        <v>2.0420000000000001E-2</v>
      </c>
      <c r="U13">
        <v>1.9000000000000001E-4</v>
      </c>
      <c r="V13" t="s">
        <v>447</v>
      </c>
      <c r="W13">
        <v>0.19101000000000001</v>
      </c>
      <c r="X13">
        <v>6.0899999999999999E-3</v>
      </c>
      <c r="Y13" t="s">
        <v>447</v>
      </c>
      <c r="Z13">
        <v>1.3032999999999999</v>
      </c>
      <c r="AA13">
        <v>3.98E-3</v>
      </c>
      <c r="AB13" s="29" t="s">
        <v>448</v>
      </c>
      <c r="AC13">
        <v>6.9095300000000002</v>
      </c>
      <c r="AD13">
        <v>0.24066000000000001</v>
      </c>
      <c r="AE13" s="29" t="s">
        <v>448</v>
      </c>
      <c r="AF13"/>
      <c r="AG13"/>
      <c r="AH13" t="s">
        <v>440</v>
      </c>
      <c r="AI13">
        <v>0.10305</v>
      </c>
      <c r="AJ13">
        <v>3.16E-3</v>
      </c>
      <c r="AK13" t="s">
        <v>449</v>
      </c>
      <c r="AL13">
        <v>47.622660000000003</v>
      </c>
      <c r="AM13">
        <v>1.5084299999999999</v>
      </c>
      <c r="AN13" t="s">
        <v>446</v>
      </c>
      <c r="AO13">
        <v>-4.6000000000000001E-4</v>
      </c>
      <c r="AP13">
        <v>2.9999999999999997E-4</v>
      </c>
      <c r="AQ13" t="s">
        <v>450</v>
      </c>
      <c r="AR13">
        <v>472.33069</v>
      </c>
      <c r="AS13">
        <v>9.6099700000000006</v>
      </c>
      <c r="AT13" t="s">
        <v>446</v>
      </c>
      <c r="AU13">
        <v>1.583E-2</v>
      </c>
      <c r="AV13">
        <v>2.7E-4</v>
      </c>
      <c r="AW13" t="s">
        <v>447</v>
      </c>
      <c r="AX13">
        <v>7.8899999999999994E-3</v>
      </c>
      <c r="AY13">
        <v>1.3999999999999999E-4</v>
      </c>
      <c r="AZ13" t="s">
        <v>447</v>
      </c>
      <c r="BA13">
        <v>1.26E-2</v>
      </c>
      <c r="BB13">
        <v>5.1999999999999995E-4</v>
      </c>
      <c r="BC13" t="s">
        <v>447</v>
      </c>
      <c r="BD13">
        <v>3.5300000000000002E-3</v>
      </c>
      <c r="BE13">
        <v>4.0000000000000003E-5</v>
      </c>
      <c r="BF13" t="s">
        <v>447</v>
      </c>
      <c r="BG13">
        <v>1.8180000000000002E-2</v>
      </c>
      <c r="BH13">
        <v>8.4999999999999995E-4</v>
      </c>
      <c r="BI13" t="s">
        <v>447</v>
      </c>
      <c r="BJ13">
        <v>2.4599999999999999E-3</v>
      </c>
      <c r="BK13">
        <v>5.0000000000000002E-5</v>
      </c>
      <c r="BL13" t="s">
        <v>447</v>
      </c>
      <c r="BM13">
        <v>8.5999999999999998E-4</v>
      </c>
      <c r="BN13">
        <v>1.6000000000000001E-4</v>
      </c>
      <c r="BO13" t="s">
        <v>450</v>
      </c>
      <c r="BP13">
        <v>2.0979999999999999E-2</v>
      </c>
      <c r="BQ13">
        <v>7.6999999999999996E-4</v>
      </c>
      <c r="BR13" t="s">
        <v>447</v>
      </c>
      <c r="BS13"/>
      <c r="BT13"/>
      <c r="BU13" t="s">
        <v>440</v>
      </c>
      <c r="BV13">
        <v>-2.0413600000000001</v>
      </c>
      <c r="BW13">
        <v>8.7000000000000001E-4</v>
      </c>
      <c r="BX13" t="s">
        <v>450</v>
      </c>
      <c r="BY13">
        <v>5.9459400000000002</v>
      </c>
      <c r="BZ13">
        <v>0.21887000000000001</v>
      </c>
      <c r="CA13" t="s">
        <v>446</v>
      </c>
      <c r="CB13">
        <v>16.474599999999999</v>
      </c>
      <c r="CC13">
        <v>0.26751999999999998</v>
      </c>
      <c r="CD13" t="s">
        <v>446</v>
      </c>
      <c r="CE13">
        <v>15.840059999999999</v>
      </c>
      <c r="CF13">
        <v>0.10445</v>
      </c>
      <c r="CG13" t="s">
        <v>446</v>
      </c>
      <c r="CH13">
        <v>16.349150000000002</v>
      </c>
      <c r="CI13">
        <v>0.14637</v>
      </c>
      <c r="CJ13" t="s">
        <v>446</v>
      </c>
      <c r="CK13">
        <v>10.76667</v>
      </c>
      <c r="CL13">
        <v>0.20063</v>
      </c>
      <c r="CM13" t="s">
        <v>447</v>
      </c>
      <c r="CN13">
        <v>19387.464339999999</v>
      </c>
      <c r="CO13">
        <v>491.13788</v>
      </c>
      <c r="CP13" t="s">
        <v>446</v>
      </c>
      <c r="CQ13">
        <v>7596.4909299999999</v>
      </c>
      <c r="CR13">
        <v>352.74250000000001</v>
      </c>
      <c r="CS13" t="s">
        <v>446</v>
      </c>
      <c r="CT13">
        <v>143.18414000000001</v>
      </c>
      <c r="CU13">
        <v>6.9985400000000002</v>
      </c>
      <c r="CV13" t="s">
        <v>446</v>
      </c>
      <c r="CW13">
        <v>15.314970000000001</v>
      </c>
      <c r="CX13">
        <v>0.93250999999999995</v>
      </c>
      <c r="CY13" s="29" t="s">
        <v>448</v>
      </c>
      <c r="CZ13">
        <v>1.2931900000000001</v>
      </c>
      <c r="DA13">
        <v>3.6810000000000002E-2</v>
      </c>
      <c r="DB13" t="s">
        <v>447</v>
      </c>
      <c r="DC13">
        <v>7.4673499999999997</v>
      </c>
      <c r="DD13">
        <v>0.29403000000000001</v>
      </c>
      <c r="DE13" t="s">
        <v>447</v>
      </c>
      <c r="DF13">
        <v>29523.05903</v>
      </c>
      <c r="DG13">
        <v>640.09168999999997</v>
      </c>
      <c r="DH13" t="s">
        <v>446</v>
      </c>
      <c r="DI13">
        <v>5.7299999999999997E-2</v>
      </c>
      <c r="DJ13">
        <v>6.9699999999999996E-3</v>
      </c>
      <c r="DK13" t="s">
        <v>447</v>
      </c>
      <c r="DL13">
        <v>39.853760000000001</v>
      </c>
      <c r="DM13">
        <v>0.52354999999999996</v>
      </c>
      <c r="DN13" t="s">
        <v>446</v>
      </c>
      <c r="DO13">
        <v>19.25966</v>
      </c>
      <c r="DP13">
        <v>0.57330999999999999</v>
      </c>
      <c r="DQ13" t="s">
        <v>446</v>
      </c>
      <c r="DR13">
        <v>39.960189999999997</v>
      </c>
      <c r="DS13">
        <v>0.13922999999999999</v>
      </c>
      <c r="DT13" t="s">
        <v>446</v>
      </c>
      <c r="DU13">
        <v>92.645110000000003</v>
      </c>
      <c r="DV13">
        <v>1.0344500000000001</v>
      </c>
      <c r="DW13" t="s">
        <v>446</v>
      </c>
      <c r="DX13">
        <v>27.763529999999999</v>
      </c>
      <c r="DY13">
        <v>1.01349</v>
      </c>
      <c r="DZ13" t="s">
        <v>446</v>
      </c>
      <c r="EA13">
        <v>56.824620000000003</v>
      </c>
      <c r="EB13">
        <v>0.66752999999999996</v>
      </c>
      <c r="EC13" t="s">
        <v>446</v>
      </c>
      <c r="ED13">
        <v>21.875699999999998</v>
      </c>
      <c r="EE13">
        <v>0.49237999999999998</v>
      </c>
      <c r="EF13" t="s">
        <v>446</v>
      </c>
      <c r="EG13">
        <v>78.718459999999993</v>
      </c>
      <c r="EH13">
        <v>2.8676599999999999</v>
      </c>
      <c r="EI13" t="s">
        <v>446</v>
      </c>
      <c r="EJ13"/>
      <c r="EK13"/>
      <c r="EL13" t="s">
        <v>440</v>
      </c>
      <c r="EM13">
        <v>4.1279999999999997E-2</v>
      </c>
      <c r="EN13">
        <v>2.2799999999999999E-3</v>
      </c>
      <c r="EO13" t="s">
        <v>447</v>
      </c>
      <c r="EP13"/>
      <c r="EQ13"/>
      <c r="ER13" t="s">
        <v>440</v>
      </c>
      <c r="ES13">
        <v>2127.8195799999999</v>
      </c>
      <c r="ET13">
        <v>108.21254</v>
      </c>
      <c r="EU13" t="s">
        <v>446</v>
      </c>
      <c r="EV13">
        <v>5.3099999999999996E-3</v>
      </c>
      <c r="EW13">
        <v>3.8600000000000001E-3</v>
      </c>
      <c r="EX13" t="s">
        <v>450</v>
      </c>
      <c r="EY13">
        <v>29.874199999999998</v>
      </c>
      <c r="EZ13">
        <v>1.06158</v>
      </c>
      <c r="FA13" s="29" t="s">
        <v>448</v>
      </c>
      <c r="FB13">
        <v>5.2233200000000002</v>
      </c>
      <c r="FC13">
        <v>6.7680000000000004E-2</v>
      </c>
      <c r="FD13" s="29" t="s">
        <v>448</v>
      </c>
      <c r="FE13">
        <v>5.5556799999999997</v>
      </c>
      <c r="FF13">
        <v>0.22966</v>
      </c>
      <c r="FG13" s="29" t="s">
        <v>452</v>
      </c>
      <c r="FH13"/>
      <c r="FI13"/>
      <c r="FJ13" t="s">
        <v>440</v>
      </c>
      <c r="FK13"/>
      <c r="FL13"/>
      <c r="FM13" t="s">
        <v>440</v>
      </c>
      <c r="FN13">
        <v>5.7759999999999999E-2</v>
      </c>
      <c r="FO13">
        <v>3.0899999999999999E-3</v>
      </c>
      <c r="FP13" t="s">
        <v>449</v>
      </c>
      <c r="FQ13"/>
      <c r="FR13"/>
      <c r="FS13" t="s">
        <v>440</v>
      </c>
      <c r="FT13">
        <v>1</v>
      </c>
      <c r="FU13"/>
      <c r="FV13"/>
      <c r="FW13">
        <v>13</v>
      </c>
    </row>
    <row r="14" spans="1:179" x14ac:dyDescent="0.2">
      <c r="A14" t="s">
        <v>183</v>
      </c>
      <c r="B14">
        <v>8.9770000000000003E-2</v>
      </c>
      <c r="C14">
        <v>2.0100000000000001E-3</v>
      </c>
      <c r="D14" s="29" t="s">
        <v>448</v>
      </c>
      <c r="E14">
        <v>2.904E-2</v>
      </c>
      <c r="F14">
        <v>5.3299999999999997E-3</v>
      </c>
      <c r="G14" s="29" t="s">
        <v>448</v>
      </c>
      <c r="H14">
        <v>9.6030000000000004E-2</v>
      </c>
      <c r="I14">
        <v>3.8999999999999999E-4</v>
      </c>
      <c r="J14" s="29" t="s">
        <v>448</v>
      </c>
      <c r="K14">
        <v>1.15384</v>
      </c>
      <c r="L14">
        <v>7.6400000000000001E-3</v>
      </c>
      <c r="M14" s="29" t="s">
        <v>448</v>
      </c>
      <c r="N14">
        <v>6.0630000000000003E-2</v>
      </c>
      <c r="O14">
        <v>8.8999999999999995E-4</v>
      </c>
      <c r="P14" t="s">
        <v>447</v>
      </c>
      <c r="Q14">
        <v>9.5850000000000005E-2</v>
      </c>
      <c r="R14">
        <v>1.3699999999999999E-3</v>
      </c>
      <c r="S14" s="29" t="s">
        <v>448</v>
      </c>
      <c r="T14">
        <v>1.42E-3</v>
      </c>
      <c r="U14">
        <v>8.0000000000000007E-5</v>
      </c>
      <c r="V14" t="s">
        <v>450</v>
      </c>
      <c r="W14">
        <v>1.491E-2</v>
      </c>
      <c r="X14">
        <v>2.7E-4</v>
      </c>
      <c r="Y14" t="s">
        <v>450</v>
      </c>
      <c r="Z14">
        <v>4.036E-2</v>
      </c>
      <c r="AA14">
        <v>1.01E-3</v>
      </c>
      <c r="AB14" s="29" t="s">
        <v>448</v>
      </c>
      <c r="AC14">
        <v>0.44658999999999999</v>
      </c>
      <c r="AD14">
        <v>7.3200000000000001E-3</v>
      </c>
      <c r="AE14" s="29" t="s">
        <v>448</v>
      </c>
      <c r="AF14"/>
      <c r="AG14"/>
      <c r="AH14" t="s">
        <v>440</v>
      </c>
      <c r="AI14">
        <v>0.23780000000000001</v>
      </c>
      <c r="AJ14">
        <v>3.49E-3</v>
      </c>
      <c r="AK14" t="s">
        <v>449</v>
      </c>
      <c r="AL14">
        <v>0.17741000000000001</v>
      </c>
      <c r="AM14">
        <v>2.8400000000000001E-3</v>
      </c>
      <c r="AN14" s="29" t="s">
        <v>448</v>
      </c>
      <c r="AO14">
        <v>-7.6699999999999997E-3</v>
      </c>
      <c r="AP14">
        <v>1.1E-4</v>
      </c>
      <c r="AQ14" t="s">
        <v>450</v>
      </c>
      <c r="AR14">
        <v>3.6503399999999999</v>
      </c>
      <c r="AS14">
        <v>6.1179999999999998E-2</v>
      </c>
      <c r="AT14" s="29" t="s">
        <v>448</v>
      </c>
      <c r="AU14">
        <v>0.11151999999999999</v>
      </c>
      <c r="AV14">
        <v>1.8799999999999999E-3</v>
      </c>
      <c r="AW14" t="s">
        <v>447</v>
      </c>
      <c r="AX14">
        <v>0.15013000000000001</v>
      </c>
      <c r="AY14">
        <v>1.1000000000000001E-3</v>
      </c>
      <c r="AZ14" t="s">
        <v>447</v>
      </c>
      <c r="BA14">
        <v>9.1889999999999999E-2</v>
      </c>
      <c r="BB14">
        <v>2.3500000000000001E-3</v>
      </c>
      <c r="BC14" t="s">
        <v>447</v>
      </c>
      <c r="BD14">
        <v>1.668E-2</v>
      </c>
      <c r="BE14">
        <v>5.9000000000000003E-4</v>
      </c>
      <c r="BF14" t="s">
        <v>447</v>
      </c>
      <c r="BG14">
        <v>1.7749999999999998E-2</v>
      </c>
      <c r="BH14">
        <v>5.0000000000000001E-4</v>
      </c>
      <c r="BI14" t="s">
        <v>447</v>
      </c>
      <c r="BJ14">
        <v>3.5999999999999999E-3</v>
      </c>
      <c r="BK14">
        <v>6.0000000000000002E-5</v>
      </c>
      <c r="BL14" t="s">
        <v>447</v>
      </c>
      <c r="BM14">
        <v>1.001E-2</v>
      </c>
      <c r="BN14">
        <v>4.0999999999999999E-4</v>
      </c>
      <c r="BO14" t="s">
        <v>447</v>
      </c>
      <c r="BP14">
        <v>6.5700000000000003E-3</v>
      </c>
      <c r="BQ14">
        <v>8.0000000000000004E-4</v>
      </c>
      <c r="BR14" t="s">
        <v>447</v>
      </c>
      <c r="BS14"/>
      <c r="BT14"/>
      <c r="BU14" t="s">
        <v>440</v>
      </c>
      <c r="BV14">
        <v>-2.0509200000000001</v>
      </c>
      <c r="BW14">
        <v>2.7999999999999998E-4</v>
      </c>
      <c r="BX14" t="s">
        <v>450</v>
      </c>
      <c r="BY14">
        <v>1.243E-2</v>
      </c>
      <c r="BZ14">
        <v>3.2000000000000003E-4</v>
      </c>
      <c r="CA14" s="29" t="s">
        <v>448</v>
      </c>
      <c r="CB14">
        <v>41.981229999999996</v>
      </c>
      <c r="CC14">
        <v>1.1265099999999999</v>
      </c>
      <c r="CD14" s="29" t="s">
        <v>448</v>
      </c>
      <c r="CE14">
        <v>38.295430000000003</v>
      </c>
      <c r="CF14">
        <v>8.133E-2</v>
      </c>
      <c r="CG14" s="29" t="s">
        <v>448</v>
      </c>
      <c r="CH14">
        <v>40.52467</v>
      </c>
      <c r="CI14">
        <v>0.55591999999999997</v>
      </c>
      <c r="CJ14" s="29" t="s">
        <v>448</v>
      </c>
      <c r="CK14">
        <v>3.3450000000000001E-2</v>
      </c>
      <c r="CL14">
        <v>1.4599999999999999E-3</v>
      </c>
      <c r="CM14" t="s">
        <v>447</v>
      </c>
      <c r="CN14">
        <v>13.98274</v>
      </c>
      <c r="CO14">
        <v>0.66513</v>
      </c>
      <c r="CP14" s="29" t="s">
        <v>448</v>
      </c>
      <c r="CQ14">
        <v>44.066310000000001</v>
      </c>
      <c r="CR14">
        <v>1.9091899999999999</v>
      </c>
      <c r="CS14" s="29" t="s">
        <v>448</v>
      </c>
      <c r="CT14">
        <v>61.117530000000002</v>
      </c>
      <c r="CU14">
        <v>3.0402200000000001</v>
      </c>
      <c r="CV14" s="29" t="s">
        <v>448</v>
      </c>
      <c r="CW14">
        <v>58.315950000000001</v>
      </c>
      <c r="CX14">
        <v>2.67299</v>
      </c>
      <c r="CY14" s="29" t="s">
        <v>448</v>
      </c>
      <c r="CZ14">
        <v>47.804859999999998</v>
      </c>
      <c r="DA14">
        <v>2.35134</v>
      </c>
      <c r="DB14" t="s">
        <v>447</v>
      </c>
      <c r="DC14">
        <v>444.78622000000001</v>
      </c>
      <c r="DD14">
        <v>15.448919999999999</v>
      </c>
      <c r="DE14" t="s">
        <v>447</v>
      </c>
      <c r="DF14">
        <v>402.75373000000002</v>
      </c>
      <c r="DG14">
        <v>17.713170000000002</v>
      </c>
      <c r="DH14" s="29" t="s">
        <v>448</v>
      </c>
      <c r="DI14">
        <v>2.33345</v>
      </c>
      <c r="DJ14">
        <v>6.2939999999999996E-2</v>
      </c>
      <c r="DK14" t="s">
        <v>447</v>
      </c>
      <c r="DL14">
        <v>0.60933999999999999</v>
      </c>
      <c r="DM14">
        <v>2.896E-2</v>
      </c>
      <c r="DN14" s="29" t="s">
        <v>448</v>
      </c>
      <c r="DO14">
        <v>0.42054000000000002</v>
      </c>
      <c r="DP14">
        <v>7.28E-3</v>
      </c>
      <c r="DQ14" s="29" t="s">
        <v>448</v>
      </c>
      <c r="DR14">
        <v>4.16066</v>
      </c>
      <c r="DS14">
        <v>9.1079999999999994E-2</v>
      </c>
      <c r="DT14" s="29" t="s">
        <v>448</v>
      </c>
      <c r="DU14">
        <v>102.05568</v>
      </c>
      <c r="DV14">
        <v>2.4935200000000002</v>
      </c>
      <c r="DW14" s="29" t="s">
        <v>448</v>
      </c>
      <c r="DX14">
        <v>6.182E-2</v>
      </c>
      <c r="DY14">
        <v>1.07E-3</v>
      </c>
      <c r="DZ14" s="29" t="s">
        <v>448</v>
      </c>
      <c r="EA14">
        <v>0.32712999999999998</v>
      </c>
      <c r="EB14">
        <v>1.2330000000000001E-2</v>
      </c>
      <c r="EC14" s="29" t="s">
        <v>448</v>
      </c>
      <c r="ED14">
        <v>3.5949599999999999</v>
      </c>
      <c r="EE14">
        <v>9.0219999999999995E-2</v>
      </c>
      <c r="EF14" s="29" t="s">
        <v>448</v>
      </c>
      <c r="EG14">
        <v>28.376190000000001</v>
      </c>
      <c r="EH14">
        <v>0.66144000000000003</v>
      </c>
      <c r="EI14" s="29" t="s">
        <v>448</v>
      </c>
      <c r="EJ14"/>
      <c r="EK14"/>
      <c r="EL14" t="s">
        <v>440</v>
      </c>
      <c r="EM14">
        <v>0.18697</v>
      </c>
      <c r="EN14">
        <v>9.41E-3</v>
      </c>
      <c r="EO14" t="s">
        <v>447</v>
      </c>
      <c r="EP14"/>
      <c r="EQ14"/>
      <c r="ER14" t="s">
        <v>440</v>
      </c>
      <c r="ES14">
        <v>34.83925</v>
      </c>
      <c r="ET14">
        <v>0.77019000000000004</v>
      </c>
      <c r="EU14" s="29" t="s">
        <v>448</v>
      </c>
      <c r="EV14">
        <v>7.2059999999999999E-2</v>
      </c>
      <c r="EW14">
        <v>2.2200000000000002E-3</v>
      </c>
      <c r="EX14" t="s">
        <v>447</v>
      </c>
      <c r="EY14">
        <v>0.60818000000000005</v>
      </c>
      <c r="EZ14">
        <v>9.5099999999999994E-3</v>
      </c>
      <c r="FA14" s="29" t="s">
        <v>448</v>
      </c>
      <c r="FB14">
        <v>5.2048500000000004</v>
      </c>
      <c r="FC14">
        <v>0.23238</v>
      </c>
      <c r="FD14" s="29" t="s">
        <v>448</v>
      </c>
      <c r="FE14">
        <v>10.850350000000001</v>
      </c>
      <c r="FF14">
        <v>0.78305000000000002</v>
      </c>
      <c r="FG14" s="29" t="s">
        <v>452</v>
      </c>
      <c r="FH14"/>
      <c r="FI14"/>
      <c r="FJ14" t="s">
        <v>440</v>
      </c>
      <c r="FK14"/>
      <c r="FL14"/>
      <c r="FM14" t="s">
        <v>440</v>
      </c>
      <c r="FN14">
        <v>0.21626999999999999</v>
      </c>
      <c r="FO14">
        <v>2.0539999999999999E-2</v>
      </c>
      <c r="FP14" t="s">
        <v>449</v>
      </c>
      <c r="FQ14"/>
      <c r="FR14"/>
      <c r="FS14" t="s">
        <v>440</v>
      </c>
      <c r="FT14">
        <v>1</v>
      </c>
      <c r="FU14"/>
      <c r="FV14"/>
      <c r="FW14">
        <v>116</v>
      </c>
    </row>
    <row r="15" spans="1:179" x14ac:dyDescent="0.2">
      <c r="A15" t="s">
        <v>85</v>
      </c>
      <c r="B15">
        <v>5.8389999999999997E-2</v>
      </c>
      <c r="C15">
        <v>1.3699999999999999E-3</v>
      </c>
      <c r="D15" t="s">
        <v>442</v>
      </c>
      <c r="E15">
        <v>1.6080000000000001E-2</v>
      </c>
      <c r="F15">
        <v>5.6999999999999998E-4</v>
      </c>
      <c r="G15" t="s">
        <v>439</v>
      </c>
      <c r="H15">
        <v>3.9640000000000002E-2</v>
      </c>
      <c r="I15">
        <v>8.4000000000000003E-4</v>
      </c>
      <c r="J15" t="s">
        <v>442</v>
      </c>
      <c r="K15">
        <v>5.5169999999999997E-2</v>
      </c>
      <c r="L15">
        <v>7.2000000000000005E-4</v>
      </c>
      <c r="M15" t="s">
        <v>442</v>
      </c>
      <c r="N15">
        <v>6.1500000000000001E-3</v>
      </c>
      <c r="O15">
        <v>6.0000000000000002E-5</v>
      </c>
      <c r="P15" t="s">
        <v>442</v>
      </c>
      <c r="Q15">
        <v>0.34079999999999999</v>
      </c>
      <c r="R15">
        <v>1.8500000000000001E-3</v>
      </c>
      <c r="S15" t="s">
        <v>442</v>
      </c>
      <c r="T15">
        <v>1.5299999999999999E-3</v>
      </c>
      <c r="U15">
        <v>3.0000000000000001E-5</v>
      </c>
      <c r="V15" t="s">
        <v>439</v>
      </c>
      <c r="W15">
        <v>1.7000000000000001E-2</v>
      </c>
      <c r="X15">
        <v>8.4000000000000003E-4</v>
      </c>
      <c r="Y15" t="s">
        <v>439</v>
      </c>
      <c r="Z15">
        <v>8.4510000000000002E-2</v>
      </c>
      <c r="AA15">
        <v>1E-3</v>
      </c>
      <c r="AB15" t="s">
        <v>442</v>
      </c>
      <c r="AC15">
        <v>6.5799999999999999E-3</v>
      </c>
      <c r="AD15">
        <v>8.4999999999999995E-4</v>
      </c>
      <c r="AE15" t="s">
        <v>442</v>
      </c>
      <c r="AF15"/>
      <c r="AG15"/>
      <c r="AH15" t="s">
        <v>440</v>
      </c>
      <c r="AI15">
        <v>0.10314</v>
      </c>
      <c r="AJ15">
        <v>1.6299999999999999E-3</v>
      </c>
      <c r="AK15" t="s">
        <v>441</v>
      </c>
      <c r="AL15">
        <v>0.83603000000000005</v>
      </c>
      <c r="AM15">
        <v>1.4E-2</v>
      </c>
      <c r="AN15" t="s">
        <v>442</v>
      </c>
      <c r="AO15">
        <v>-8.6700000000000006E-3</v>
      </c>
      <c r="AP15">
        <v>5.0000000000000002E-5</v>
      </c>
      <c r="AQ15" t="s">
        <v>439</v>
      </c>
      <c r="AR15">
        <v>0.98051999999999995</v>
      </c>
      <c r="AS15">
        <v>2.35E-2</v>
      </c>
      <c r="AT15" t="s">
        <v>442</v>
      </c>
      <c r="AU15">
        <v>1.5200000000000001E-3</v>
      </c>
      <c r="AV15">
        <v>4.0000000000000003E-5</v>
      </c>
      <c r="AW15" t="s">
        <v>442</v>
      </c>
      <c r="AX15">
        <v>1.82E-3</v>
      </c>
      <c r="AY15">
        <v>1.7000000000000001E-4</v>
      </c>
      <c r="AZ15" t="s">
        <v>442</v>
      </c>
      <c r="BA15">
        <v>5.6299999999999996E-3</v>
      </c>
      <c r="BB15">
        <v>2.9999999999999997E-4</v>
      </c>
      <c r="BC15" t="s">
        <v>442</v>
      </c>
      <c r="BD15">
        <v>2.9999999999999997E-4</v>
      </c>
      <c r="BE15">
        <v>6.9999999999999994E-5</v>
      </c>
      <c r="BF15" t="s">
        <v>439</v>
      </c>
      <c r="BG15">
        <v>2.0500000000000002E-3</v>
      </c>
      <c r="BH15">
        <v>4.0999999999999999E-4</v>
      </c>
      <c r="BI15" t="s">
        <v>442</v>
      </c>
      <c r="BJ15">
        <v>1.64E-3</v>
      </c>
      <c r="BK15">
        <v>2.0000000000000002E-5</v>
      </c>
      <c r="BL15" t="s">
        <v>439</v>
      </c>
      <c r="BM15">
        <v>2.5000000000000001E-4</v>
      </c>
      <c r="BN15">
        <v>1.1E-4</v>
      </c>
      <c r="BO15" t="s">
        <v>439</v>
      </c>
      <c r="BP15">
        <v>3.2079999999999997E-2</v>
      </c>
      <c r="BQ15">
        <v>6.9999999999999999E-4</v>
      </c>
      <c r="BR15" t="s">
        <v>442</v>
      </c>
      <c r="BS15"/>
      <c r="BT15"/>
      <c r="BU15" t="s">
        <v>440</v>
      </c>
      <c r="BV15">
        <v>-2.0491199999999998</v>
      </c>
      <c r="BW15">
        <v>7.7999999999999999E-4</v>
      </c>
      <c r="BX15" t="s">
        <v>439</v>
      </c>
      <c r="BY15">
        <v>3.2499999999999999E-3</v>
      </c>
      <c r="BZ15">
        <v>5.0000000000000002E-5</v>
      </c>
      <c r="CA15" t="s">
        <v>439</v>
      </c>
      <c r="CB15">
        <v>1.61307</v>
      </c>
      <c r="CC15">
        <v>1.1939999999999999E-2</v>
      </c>
      <c r="CD15" t="s">
        <v>442</v>
      </c>
      <c r="CE15">
        <v>1.5608299999999999</v>
      </c>
      <c r="CF15">
        <v>3.4979999999999997E-2</v>
      </c>
      <c r="CG15" t="s">
        <v>442</v>
      </c>
      <c r="CH15">
        <v>1.6256999999999999</v>
      </c>
      <c r="CI15">
        <v>2.2710000000000001E-2</v>
      </c>
      <c r="CJ15" t="s">
        <v>442</v>
      </c>
      <c r="CK15">
        <v>1.54331</v>
      </c>
      <c r="CL15">
        <v>2.7720000000000002E-2</v>
      </c>
      <c r="CM15" t="s">
        <v>442</v>
      </c>
      <c r="CN15">
        <v>46.383949999999999</v>
      </c>
      <c r="CO15">
        <v>1.1407</v>
      </c>
      <c r="CP15" t="s">
        <v>442</v>
      </c>
      <c r="CQ15">
        <v>2.6676799999999998</v>
      </c>
      <c r="CR15">
        <v>9.3039999999999998E-2</v>
      </c>
      <c r="CS15" t="s">
        <v>442</v>
      </c>
      <c r="CT15">
        <v>21.04373</v>
      </c>
      <c r="CU15">
        <v>0.56491000000000002</v>
      </c>
      <c r="CV15" t="s">
        <v>442</v>
      </c>
      <c r="CW15">
        <v>6.5139300000000002</v>
      </c>
      <c r="CX15">
        <v>0.23683000000000001</v>
      </c>
      <c r="CY15" t="s">
        <v>442</v>
      </c>
      <c r="CZ15">
        <v>4.4964199999999996</v>
      </c>
      <c r="DA15">
        <v>0.21231</v>
      </c>
      <c r="DB15" t="s">
        <v>442</v>
      </c>
      <c r="DC15">
        <v>3.4750700000000001</v>
      </c>
      <c r="DD15">
        <v>0.19616</v>
      </c>
      <c r="DE15" t="s">
        <v>442</v>
      </c>
      <c r="DF15">
        <v>9.6872199999999999</v>
      </c>
      <c r="DG15">
        <v>0.35970999999999997</v>
      </c>
      <c r="DH15" t="s">
        <v>442</v>
      </c>
      <c r="DI15">
        <v>5.0650000000000001E-2</v>
      </c>
      <c r="DJ15">
        <v>1.8600000000000001E-3</v>
      </c>
      <c r="DK15" t="s">
        <v>442</v>
      </c>
      <c r="DL15">
        <v>3.1980000000000001E-2</v>
      </c>
      <c r="DM15">
        <v>1.1999999999999999E-3</v>
      </c>
      <c r="DN15" t="s">
        <v>442</v>
      </c>
      <c r="DO15">
        <v>13.729810000000001</v>
      </c>
      <c r="DP15">
        <v>0.23963000000000001</v>
      </c>
      <c r="DQ15" t="s">
        <v>442</v>
      </c>
      <c r="DR15">
        <v>4.0512899999999998</v>
      </c>
      <c r="DS15">
        <v>0.11212999999999999</v>
      </c>
      <c r="DT15" t="s">
        <v>442</v>
      </c>
      <c r="DU15">
        <v>43.355829999999997</v>
      </c>
      <c r="DV15">
        <v>1.1254599999999999</v>
      </c>
      <c r="DW15" t="s">
        <v>442</v>
      </c>
      <c r="DX15">
        <v>0.11688999999999999</v>
      </c>
      <c r="DY15">
        <v>5.5999999999999999E-3</v>
      </c>
      <c r="DZ15" t="s">
        <v>442</v>
      </c>
      <c r="EA15">
        <v>8.5364400000000007</v>
      </c>
      <c r="EB15">
        <v>0.22741</v>
      </c>
      <c r="EC15" t="s">
        <v>442</v>
      </c>
      <c r="ED15">
        <v>14.89171</v>
      </c>
      <c r="EE15">
        <v>0.28469</v>
      </c>
      <c r="EF15" t="s">
        <v>442</v>
      </c>
      <c r="EG15">
        <v>4.0781999999999998</v>
      </c>
      <c r="EH15">
        <v>4.8840000000000001E-2</v>
      </c>
      <c r="EI15" t="s">
        <v>442</v>
      </c>
      <c r="EJ15"/>
      <c r="EK15"/>
      <c r="EL15" t="s">
        <v>440</v>
      </c>
      <c r="EM15">
        <v>3.8960000000000002E-2</v>
      </c>
      <c r="EN15">
        <v>3.3899999999999998E-3</v>
      </c>
      <c r="EO15" t="s">
        <v>442</v>
      </c>
      <c r="EP15"/>
      <c r="EQ15"/>
      <c r="ER15" t="s">
        <v>440</v>
      </c>
      <c r="ES15">
        <v>7.7384899999999996</v>
      </c>
      <c r="ET15">
        <v>0.33443000000000001</v>
      </c>
      <c r="EU15" t="s">
        <v>442</v>
      </c>
      <c r="EV15">
        <v>-1.07E-3</v>
      </c>
      <c r="EW15">
        <v>0</v>
      </c>
      <c r="EX15" t="s">
        <v>439</v>
      </c>
      <c r="EY15">
        <v>-7.1999999999999998E-3</v>
      </c>
      <c r="EZ15">
        <v>6.1700000000000001E-3</v>
      </c>
      <c r="FA15" t="s">
        <v>439</v>
      </c>
      <c r="FB15">
        <v>2.555E-2</v>
      </c>
      <c r="FC15">
        <v>7.714E-2</v>
      </c>
      <c r="FD15" t="s">
        <v>439</v>
      </c>
      <c r="FE15">
        <v>1.0621799999999999</v>
      </c>
      <c r="FF15">
        <v>0.17674999999999999</v>
      </c>
      <c r="FG15" t="s">
        <v>441</v>
      </c>
      <c r="FH15"/>
      <c r="FI15"/>
      <c r="FJ15" t="s">
        <v>440</v>
      </c>
      <c r="FK15"/>
      <c r="FL15"/>
      <c r="FM15" t="s">
        <v>440</v>
      </c>
      <c r="FN15">
        <v>6.132E-2</v>
      </c>
      <c r="FO15">
        <v>4.5399999999999998E-3</v>
      </c>
      <c r="FP15" t="s">
        <v>441</v>
      </c>
      <c r="FQ15"/>
      <c r="FR15"/>
      <c r="FS15" t="s">
        <v>440</v>
      </c>
      <c r="FT15">
        <v>2</v>
      </c>
      <c r="FU15"/>
      <c r="FV15"/>
      <c r="FW15">
        <v>18</v>
      </c>
    </row>
    <row r="16" spans="1:179" x14ac:dyDescent="0.2">
      <c r="A16" t="s">
        <v>93</v>
      </c>
      <c r="B16">
        <v>5.7689999999999998E-2</v>
      </c>
      <c r="C16">
        <v>2.98E-3</v>
      </c>
      <c r="D16" t="s">
        <v>569</v>
      </c>
      <c r="E16">
        <v>1.507E-2</v>
      </c>
      <c r="F16">
        <v>3.0300000000000001E-3</v>
      </c>
      <c r="G16" t="s">
        <v>569</v>
      </c>
      <c r="H16">
        <v>3.8159999999999999E-2</v>
      </c>
      <c r="I16">
        <v>1.0399999999999999E-3</v>
      </c>
      <c r="J16" t="s">
        <v>569</v>
      </c>
      <c r="K16">
        <v>5.441E-2</v>
      </c>
      <c r="L16">
        <v>2.3500000000000001E-3</v>
      </c>
      <c r="M16" t="s">
        <v>569</v>
      </c>
      <c r="N16">
        <v>5.9800000000000001E-3</v>
      </c>
      <c r="O16">
        <v>1.7000000000000001E-4</v>
      </c>
      <c r="P16" t="s">
        <v>569</v>
      </c>
      <c r="Q16">
        <v>0.33118999999999998</v>
      </c>
      <c r="R16">
        <v>5.5500000000000002E-3</v>
      </c>
      <c r="S16" t="s">
        <v>569</v>
      </c>
      <c r="T16">
        <v>1.48E-3</v>
      </c>
      <c r="U16">
        <v>1.4999999999999999E-4</v>
      </c>
      <c r="V16" t="s">
        <v>569</v>
      </c>
      <c r="W16">
        <v>1.5699999999999999E-2</v>
      </c>
      <c r="X16">
        <v>4.2999999999999999E-4</v>
      </c>
      <c r="Y16" t="s">
        <v>569</v>
      </c>
      <c r="Z16">
        <v>8.4659999999999999E-2</v>
      </c>
      <c r="AA16">
        <v>2.9099999999999998E-3</v>
      </c>
      <c r="AB16" t="s">
        <v>569</v>
      </c>
      <c r="AC16">
        <v>5.9899999999999997E-3</v>
      </c>
      <c r="AD16">
        <v>4.0000000000000002E-4</v>
      </c>
      <c r="AE16" t="s">
        <v>569</v>
      </c>
      <c r="AF16"/>
      <c r="AG16"/>
      <c r="AH16" t="e">
        <v>#DIV/0!</v>
      </c>
      <c r="AI16">
        <v>0.10872</v>
      </c>
      <c r="AJ16">
        <v>2.1700000000000001E-3</v>
      </c>
      <c r="AK16" t="s">
        <v>569</v>
      </c>
      <c r="AL16">
        <v>0.83535999999999999</v>
      </c>
      <c r="AM16">
        <v>1.924E-2</v>
      </c>
      <c r="AN16" t="s">
        <v>569</v>
      </c>
      <c r="AO16">
        <v>-9.1199999999999996E-3</v>
      </c>
      <c r="AP16">
        <v>1.6000000000000001E-4</v>
      </c>
      <c r="AQ16" t="s">
        <v>569</v>
      </c>
      <c r="AR16">
        <v>0.98080999999999996</v>
      </c>
      <c r="AS16">
        <v>3.0179999999999998E-2</v>
      </c>
      <c r="AT16" t="s">
        <v>569</v>
      </c>
      <c r="AU16">
        <v>1.64E-3</v>
      </c>
      <c r="AV16">
        <v>5.0000000000000002E-5</v>
      </c>
      <c r="AW16" t="s">
        <v>569</v>
      </c>
      <c r="AX16">
        <v>1.5E-3</v>
      </c>
      <c r="AY16">
        <v>4.0000000000000003E-5</v>
      </c>
      <c r="AZ16" t="s">
        <v>569</v>
      </c>
      <c r="BA16">
        <v>5.47E-3</v>
      </c>
      <c r="BB16">
        <v>1.7000000000000001E-4</v>
      </c>
      <c r="BC16" t="s">
        <v>569</v>
      </c>
      <c r="BD16">
        <v>2.7999999999999998E-4</v>
      </c>
      <c r="BE16">
        <v>1.2E-4</v>
      </c>
      <c r="BF16" t="s">
        <v>569</v>
      </c>
      <c r="BG16">
        <v>1.75E-3</v>
      </c>
      <c r="BH16">
        <v>3.5E-4</v>
      </c>
      <c r="BI16" t="s">
        <v>569</v>
      </c>
      <c r="BJ16">
        <v>1.7099999999999999E-3</v>
      </c>
      <c r="BK16">
        <v>0</v>
      </c>
      <c r="BL16" t="s">
        <v>569</v>
      </c>
      <c r="BM16">
        <v>1.6000000000000001E-4</v>
      </c>
      <c r="BN16">
        <v>1.9000000000000001E-4</v>
      </c>
      <c r="BO16" s="29" t="s">
        <v>570</v>
      </c>
      <c r="BP16">
        <v>2.913E-2</v>
      </c>
      <c r="BQ16">
        <v>1.2700000000000001E-3</v>
      </c>
      <c r="BR16" t="s">
        <v>569</v>
      </c>
      <c r="BS16"/>
      <c r="BT16"/>
      <c r="BU16" t="e">
        <v>#DIV/0!</v>
      </c>
      <c r="BV16">
        <v>-2.04833</v>
      </c>
      <c r="BW16">
        <v>1.2E-4</v>
      </c>
      <c r="BX16" t="s">
        <v>569</v>
      </c>
      <c r="BY16">
        <v>3.1099999999999999E-3</v>
      </c>
      <c r="BZ16">
        <v>6.9999999999999994E-5</v>
      </c>
      <c r="CA16" t="s">
        <v>569</v>
      </c>
      <c r="CB16">
        <v>1.6234900000000001</v>
      </c>
      <c r="CC16">
        <v>3.4959999999999998E-2</v>
      </c>
      <c r="CD16" t="s">
        <v>569</v>
      </c>
      <c r="CE16">
        <v>1.5657300000000001</v>
      </c>
      <c r="CF16">
        <v>2.2110000000000001E-2</v>
      </c>
      <c r="CG16" t="s">
        <v>569</v>
      </c>
      <c r="CH16">
        <v>1.6209899999999999</v>
      </c>
      <c r="CI16">
        <v>2.9270000000000001E-2</v>
      </c>
      <c r="CJ16" t="s">
        <v>569</v>
      </c>
      <c r="CK16">
        <v>1.5357000000000001</v>
      </c>
      <c r="CL16">
        <v>2.3970000000000002E-2</v>
      </c>
      <c r="CM16" t="s">
        <v>569</v>
      </c>
      <c r="CN16">
        <v>46.564520000000002</v>
      </c>
      <c r="CO16">
        <v>0.79969999999999997</v>
      </c>
      <c r="CP16" t="s">
        <v>569</v>
      </c>
      <c r="CQ16">
        <v>2.5967199999999999</v>
      </c>
      <c r="CR16">
        <v>6.5860000000000002E-2</v>
      </c>
      <c r="CS16" t="s">
        <v>569</v>
      </c>
      <c r="CT16">
        <v>21.111460000000001</v>
      </c>
      <c r="CU16">
        <v>0.15135999999999999</v>
      </c>
      <c r="CV16" t="s">
        <v>569</v>
      </c>
      <c r="CW16">
        <v>7.1325599999999998</v>
      </c>
      <c r="CX16">
        <v>0.28488999999999998</v>
      </c>
      <c r="CY16" t="s">
        <v>569</v>
      </c>
      <c r="CZ16">
        <v>4.6506699999999999</v>
      </c>
      <c r="DA16">
        <v>0.10094</v>
      </c>
      <c r="DB16" t="s">
        <v>569</v>
      </c>
      <c r="DC16">
        <v>3.3498800000000002</v>
      </c>
      <c r="DD16">
        <v>0.27855000000000002</v>
      </c>
      <c r="DE16" t="s">
        <v>569</v>
      </c>
      <c r="DF16">
        <v>9.3344000000000005</v>
      </c>
      <c r="DG16">
        <v>0.19453000000000001</v>
      </c>
      <c r="DH16" t="s">
        <v>569</v>
      </c>
      <c r="DI16">
        <v>5.1520000000000003E-2</v>
      </c>
      <c r="DJ16">
        <v>1.189E-2</v>
      </c>
      <c r="DK16" t="s">
        <v>569</v>
      </c>
      <c r="DL16">
        <v>3.3210000000000003E-2</v>
      </c>
      <c r="DM16">
        <v>4.6000000000000001E-4</v>
      </c>
      <c r="DN16" t="s">
        <v>569</v>
      </c>
      <c r="DO16">
        <v>14.22518</v>
      </c>
      <c r="DP16">
        <v>0.25953999999999999</v>
      </c>
      <c r="DQ16" t="s">
        <v>569</v>
      </c>
      <c r="DR16">
        <v>4.15557</v>
      </c>
      <c r="DS16">
        <v>6.8640000000000007E-2</v>
      </c>
      <c r="DT16" t="s">
        <v>569</v>
      </c>
      <c r="DU16">
        <v>44.151780000000002</v>
      </c>
      <c r="DV16">
        <v>0.57957999999999998</v>
      </c>
      <c r="DW16" t="s">
        <v>569</v>
      </c>
      <c r="DX16">
        <v>0.12383</v>
      </c>
      <c r="DY16">
        <v>2.82E-3</v>
      </c>
      <c r="DZ16" t="s">
        <v>569</v>
      </c>
      <c r="EA16">
        <v>8.6383299999999998</v>
      </c>
      <c r="EB16">
        <v>0.17186000000000001</v>
      </c>
      <c r="EC16" t="s">
        <v>569</v>
      </c>
      <c r="ED16">
        <v>15.012040000000001</v>
      </c>
      <c r="EE16">
        <v>0.57047000000000003</v>
      </c>
      <c r="EF16" t="s">
        <v>569</v>
      </c>
      <c r="EG16">
        <v>4.2577299999999996</v>
      </c>
      <c r="EH16">
        <v>0.14480000000000001</v>
      </c>
      <c r="EI16" t="s">
        <v>569</v>
      </c>
      <c r="EJ16"/>
      <c r="EK16"/>
      <c r="EL16" t="e">
        <v>#DIV/0!</v>
      </c>
      <c r="EM16">
        <v>5.4109999999999998E-2</v>
      </c>
      <c r="EN16">
        <v>1.8400000000000001E-3</v>
      </c>
      <c r="EO16" s="29" t="s">
        <v>570</v>
      </c>
      <c r="EP16"/>
      <c r="EQ16"/>
      <c r="ER16" t="e">
        <v>#DIV/0!</v>
      </c>
      <c r="ES16">
        <v>7.9427000000000003</v>
      </c>
      <c r="ET16">
        <v>0.33657999999999999</v>
      </c>
      <c r="EU16" t="s">
        <v>569</v>
      </c>
      <c r="EV16">
        <v>1.6199999999999999E-3</v>
      </c>
      <c r="EW16">
        <v>1.2899999999999999E-3</v>
      </c>
      <c r="EX16" s="29" t="s">
        <v>570</v>
      </c>
      <c r="EY16">
        <v>-1.187E-2</v>
      </c>
      <c r="EZ16">
        <v>3.3400000000000001E-3</v>
      </c>
      <c r="FA16" t="s">
        <v>569</v>
      </c>
      <c r="FB16">
        <v>8.4239999999999995E-2</v>
      </c>
      <c r="FC16">
        <v>9.5490000000000005E-2</v>
      </c>
      <c r="FD16" s="29" t="s">
        <v>570</v>
      </c>
      <c r="FE16">
        <v>1.5086299999999999</v>
      </c>
      <c r="FF16">
        <v>0.26247999999999999</v>
      </c>
      <c r="FG16" s="29" t="s">
        <v>570</v>
      </c>
      <c r="FH16"/>
      <c r="FI16"/>
      <c r="FJ16" t="e">
        <v>#DIV/0!</v>
      </c>
      <c r="FK16"/>
      <c r="FL16"/>
      <c r="FM16" t="e">
        <v>#DIV/0!</v>
      </c>
      <c r="FN16">
        <v>7.1910000000000002E-2</v>
      </c>
      <c r="FO16">
        <v>1.1100000000000001E-3</v>
      </c>
      <c r="FP16" t="s">
        <v>569</v>
      </c>
      <c r="FQ16"/>
      <c r="FR16"/>
      <c r="FS16" t="e">
        <v>#DIV/0!</v>
      </c>
      <c r="FT16">
        <v>2</v>
      </c>
      <c r="FU16"/>
      <c r="FV16"/>
      <c r="FW16">
        <v>26</v>
      </c>
    </row>
    <row r="17" spans="1:179" x14ac:dyDescent="0.2">
      <c r="A17" t="s">
        <v>98</v>
      </c>
      <c r="B17">
        <v>8.2299999999999998E-2</v>
      </c>
      <c r="C17">
        <v>7.2100000000000003E-3</v>
      </c>
      <c r="D17" t="s">
        <v>442</v>
      </c>
      <c r="E17">
        <v>1.661E-2</v>
      </c>
      <c r="F17">
        <v>1.2999999999999999E-3</v>
      </c>
      <c r="G17" t="s">
        <v>439</v>
      </c>
      <c r="H17">
        <v>0.91747999999999996</v>
      </c>
      <c r="I17">
        <v>2.452E-2</v>
      </c>
      <c r="J17" t="s">
        <v>442</v>
      </c>
      <c r="K17">
        <v>7.8299999999999995E-2</v>
      </c>
      <c r="L17">
        <v>4.8399999999999997E-3</v>
      </c>
      <c r="M17" t="s">
        <v>442</v>
      </c>
      <c r="N17">
        <v>4.1200000000000004E-3</v>
      </c>
      <c r="O17">
        <v>6.9999999999999994E-5</v>
      </c>
      <c r="P17" t="s">
        <v>442</v>
      </c>
      <c r="Q17">
        <v>0.17530999999999999</v>
      </c>
      <c r="R17">
        <v>7.0800000000000004E-3</v>
      </c>
      <c r="S17" t="s">
        <v>442</v>
      </c>
      <c r="T17">
        <v>7.1000000000000002E-4</v>
      </c>
      <c r="U17">
        <v>5.0000000000000002E-5</v>
      </c>
      <c r="V17" t="s">
        <v>439</v>
      </c>
      <c r="W17">
        <v>1.3690000000000001E-2</v>
      </c>
      <c r="X17">
        <v>2.0000000000000001E-4</v>
      </c>
      <c r="Y17" t="s">
        <v>439</v>
      </c>
      <c r="Z17">
        <v>0.62602999999999998</v>
      </c>
      <c r="AA17">
        <v>2.0760000000000001E-2</v>
      </c>
      <c r="AB17" t="s">
        <v>442</v>
      </c>
      <c r="AC17">
        <v>0.34737000000000001</v>
      </c>
      <c r="AD17">
        <v>1.051E-2</v>
      </c>
      <c r="AE17" t="s">
        <v>442</v>
      </c>
      <c r="AF17"/>
      <c r="AG17"/>
      <c r="AH17" t="s">
        <v>440</v>
      </c>
      <c r="AI17">
        <v>5.1881399999999998</v>
      </c>
      <c r="AJ17">
        <v>0.63851999999999998</v>
      </c>
      <c r="AK17" t="s">
        <v>441</v>
      </c>
      <c r="AL17">
        <v>6.6924200000000003</v>
      </c>
      <c r="AM17">
        <v>1.39446</v>
      </c>
      <c r="AN17" t="s">
        <v>442</v>
      </c>
      <c r="AO17">
        <v>1.8950000000000002E-2</v>
      </c>
      <c r="AP17">
        <v>5.8599999999999998E-3</v>
      </c>
      <c r="AQ17" t="s">
        <v>442</v>
      </c>
      <c r="AR17">
        <v>0.75478000000000001</v>
      </c>
      <c r="AS17">
        <v>6.7369999999999999E-2</v>
      </c>
      <c r="AT17" t="s">
        <v>442</v>
      </c>
      <c r="AU17">
        <v>-3.6000000000000002E-4</v>
      </c>
      <c r="AV17">
        <v>2.0000000000000001E-4</v>
      </c>
      <c r="AW17" t="s">
        <v>439</v>
      </c>
      <c r="AX17">
        <v>-3.0300000000000001E-3</v>
      </c>
      <c r="AY17">
        <v>3.1E-4</v>
      </c>
      <c r="AZ17" t="s">
        <v>439</v>
      </c>
      <c r="BA17">
        <v>3.16E-3</v>
      </c>
      <c r="BB17">
        <v>1.6000000000000001E-4</v>
      </c>
      <c r="BC17" t="s">
        <v>442</v>
      </c>
      <c r="BD17">
        <v>-1.1E-4</v>
      </c>
      <c r="BE17">
        <v>1.3999999999999999E-4</v>
      </c>
      <c r="BF17" t="s">
        <v>439</v>
      </c>
      <c r="BG17">
        <v>1.1999999999999999E-3</v>
      </c>
      <c r="BH17">
        <v>1.2999999999999999E-4</v>
      </c>
      <c r="BI17" t="s">
        <v>439</v>
      </c>
      <c r="BJ17">
        <v>1.5399999999999999E-3</v>
      </c>
      <c r="BK17">
        <v>3.0000000000000001E-5</v>
      </c>
      <c r="BL17" t="s">
        <v>439</v>
      </c>
      <c r="BM17">
        <v>-1.6000000000000001E-4</v>
      </c>
      <c r="BN17">
        <v>2.2000000000000001E-4</v>
      </c>
      <c r="BO17" t="s">
        <v>439</v>
      </c>
      <c r="BP17">
        <v>2.7799999999999998E-2</v>
      </c>
      <c r="BQ17">
        <v>1.9499999999999999E-3</v>
      </c>
      <c r="BR17" t="s">
        <v>442</v>
      </c>
      <c r="BS17"/>
      <c r="BT17"/>
      <c r="BU17" t="s">
        <v>440</v>
      </c>
      <c r="BV17">
        <v>-2.0485199999999999</v>
      </c>
      <c r="BW17">
        <v>2.3000000000000001E-4</v>
      </c>
      <c r="BX17" t="s">
        <v>439</v>
      </c>
      <c r="BY17">
        <v>2.9780000000000001E-2</v>
      </c>
      <c r="BZ17">
        <v>2.5200000000000001E-3</v>
      </c>
      <c r="CA17" t="s">
        <v>442</v>
      </c>
      <c r="CB17">
        <v>3.3584200000000002</v>
      </c>
      <c r="CC17">
        <v>0.30824000000000001</v>
      </c>
      <c r="CD17" t="s">
        <v>442</v>
      </c>
      <c r="CE17">
        <v>3.2840400000000001</v>
      </c>
      <c r="CF17">
        <v>0.24174000000000001</v>
      </c>
      <c r="CG17" t="s">
        <v>442</v>
      </c>
      <c r="CH17">
        <v>3.4748899999999998</v>
      </c>
      <c r="CI17">
        <v>0.31534000000000001</v>
      </c>
      <c r="CJ17" t="s">
        <v>442</v>
      </c>
      <c r="CK17">
        <v>0.49458000000000002</v>
      </c>
      <c r="CL17">
        <v>4.5830000000000003E-2</v>
      </c>
      <c r="CM17" t="s">
        <v>442</v>
      </c>
      <c r="CN17">
        <v>125.33043000000001</v>
      </c>
      <c r="CO17">
        <v>1.74997</v>
      </c>
      <c r="CP17" t="s">
        <v>442</v>
      </c>
      <c r="CQ17">
        <v>1.6495200000000001</v>
      </c>
      <c r="CR17">
        <v>2.044E-2</v>
      </c>
      <c r="CS17" t="s">
        <v>442</v>
      </c>
      <c r="CT17">
        <v>6.00326</v>
      </c>
      <c r="CU17">
        <v>0.10983999999999999</v>
      </c>
      <c r="CV17" t="s">
        <v>442</v>
      </c>
      <c r="CW17">
        <v>40.256689999999999</v>
      </c>
      <c r="CX17">
        <v>0.38899</v>
      </c>
      <c r="CY17" t="s">
        <v>442</v>
      </c>
      <c r="CZ17">
        <v>15.00512</v>
      </c>
      <c r="DA17">
        <v>0.14982000000000001</v>
      </c>
      <c r="DB17" t="s">
        <v>442</v>
      </c>
      <c r="DC17">
        <v>51.426000000000002</v>
      </c>
      <c r="DD17">
        <v>0.24529999999999999</v>
      </c>
      <c r="DE17" t="s">
        <v>442</v>
      </c>
      <c r="DF17">
        <v>11.89983</v>
      </c>
      <c r="DG17">
        <v>0.38913999999999999</v>
      </c>
      <c r="DH17" t="s">
        <v>442</v>
      </c>
      <c r="DI17">
        <v>2.341E-2</v>
      </c>
      <c r="DJ17">
        <v>5.9699999999999996E-3</v>
      </c>
      <c r="DK17" t="s">
        <v>439</v>
      </c>
      <c r="DL17">
        <v>1.005E-2</v>
      </c>
      <c r="DM17">
        <v>2.3000000000000001E-4</v>
      </c>
      <c r="DN17" t="s">
        <v>442</v>
      </c>
      <c r="DO17">
        <v>3.1842299999999999</v>
      </c>
      <c r="DP17">
        <v>3.8150000000000003E-2</v>
      </c>
      <c r="DQ17" t="s">
        <v>442</v>
      </c>
      <c r="DR17">
        <v>1.19309</v>
      </c>
      <c r="DS17">
        <v>1.7350000000000001E-2</v>
      </c>
      <c r="DT17" t="s">
        <v>442</v>
      </c>
      <c r="DU17">
        <v>7.14588</v>
      </c>
      <c r="DV17">
        <v>0.15612000000000001</v>
      </c>
      <c r="DW17" t="s">
        <v>442</v>
      </c>
      <c r="DX17">
        <v>5.4030000000000002E-2</v>
      </c>
      <c r="DY17">
        <v>1.65E-3</v>
      </c>
      <c r="DZ17" t="s">
        <v>442</v>
      </c>
      <c r="EA17">
        <v>0.65169999999999995</v>
      </c>
      <c r="EB17">
        <v>8.6499999999999997E-3</v>
      </c>
      <c r="EC17" t="s">
        <v>442</v>
      </c>
      <c r="ED17">
        <v>3.7575699999999999</v>
      </c>
      <c r="EE17">
        <v>4.0219999999999999E-2</v>
      </c>
      <c r="EF17" t="s">
        <v>442</v>
      </c>
      <c r="EG17">
        <v>655.35036000000002</v>
      </c>
      <c r="EH17">
        <v>10.28961</v>
      </c>
      <c r="EI17" t="s">
        <v>442</v>
      </c>
      <c r="EJ17"/>
      <c r="EK17"/>
      <c r="EL17" t="s">
        <v>440</v>
      </c>
      <c r="EM17">
        <v>5.5281200000000004</v>
      </c>
      <c r="EN17">
        <v>9.1179999999999997E-2</v>
      </c>
      <c r="EO17" t="s">
        <v>442</v>
      </c>
      <c r="EP17"/>
      <c r="EQ17"/>
      <c r="ER17" t="s">
        <v>440</v>
      </c>
      <c r="ES17">
        <v>308.39940000000001</v>
      </c>
      <c r="ET17">
        <v>7.8527300000000002</v>
      </c>
      <c r="EU17" t="s">
        <v>442</v>
      </c>
      <c r="EV17">
        <v>5.2540000000000003E-2</v>
      </c>
      <c r="EW17">
        <v>1.47E-3</v>
      </c>
      <c r="EX17" t="s">
        <v>442</v>
      </c>
      <c r="EY17">
        <v>1.91394</v>
      </c>
      <c r="EZ17">
        <v>5.3760000000000002E-2</v>
      </c>
      <c r="FA17" t="s">
        <v>442</v>
      </c>
      <c r="FB17">
        <v>0.22484999999999999</v>
      </c>
      <c r="FC17">
        <v>4.6440000000000002E-2</v>
      </c>
      <c r="FD17" t="s">
        <v>439</v>
      </c>
      <c r="FE17">
        <v>2.0026999999999999</v>
      </c>
      <c r="FF17">
        <v>0.15651999999999999</v>
      </c>
      <c r="FG17" t="s">
        <v>441</v>
      </c>
      <c r="FH17"/>
      <c r="FI17"/>
      <c r="FJ17" t="s">
        <v>440</v>
      </c>
      <c r="FK17"/>
      <c r="FL17"/>
      <c r="FM17" t="s">
        <v>440</v>
      </c>
      <c r="FN17">
        <v>5.8158700000000003</v>
      </c>
      <c r="FO17">
        <v>0.18528</v>
      </c>
      <c r="FP17" t="s">
        <v>441</v>
      </c>
      <c r="FQ17"/>
      <c r="FR17"/>
      <c r="FS17" t="s">
        <v>440</v>
      </c>
      <c r="FT17">
        <v>2</v>
      </c>
      <c r="FU17"/>
      <c r="FV17"/>
      <c r="FW17">
        <v>31</v>
      </c>
    </row>
    <row r="18" spans="1:179" x14ac:dyDescent="0.2">
      <c r="A18" t="s">
        <v>106</v>
      </c>
      <c r="B18">
        <v>7.8659999999999994E-2</v>
      </c>
      <c r="C18">
        <v>1.67E-3</v>
      </c>
      <c r="D18" t="s">
        <v>569</v>
      </c>
      <c r="E18">
        <v>1.6060000000000001E-2</v>
      </c>
      <c r="F18">
        <v>9.3000000000000005E-4</v>
      </c>
      <c r="G18" t="s">
        <v>569</v>
      </c>
      <c r="H18">
        <v>0.89844999999999997</v>
      </c>
      <c r="I18">
        <v>7.9799999999999992E-3</v>
      </c>
      <c r="J18" t="s">
        <v>569</v>
      </c>
      <c r="K18">
        <v>6.8919999999999995E-2</v>
      </c>
      <c r="L18">
        <v>1.49E-3</v>
      </c>
      <c r="M18" t="s">
        <v>569</v>
      </c>
      <c r="N18">
        <v>3.9699999999999996E-3</v>
      </c>
      <c r="O18">
        <v>1.0000000000000001E-5</v>
      </c>
      <c r="P18" t="s">
        <v>569</v>
      </c>
      <c r="Q18">
        <v>0.16786999999999999</v>
      </c>
      <c r="R18">
        <v>1.57E-3</v>
      </c>
      <c r="S18" t="s">
        <v>569</v>
      </c>
      <c r="T18">
        <v>7.9000000000000001E-4</v>
      </c>
      <c r="U18">
        <v>4.0000000000000003E-5</v>
      </c>
      <c r="V18" t="s">
        <v>569</v>
      </c>
      <c r="W18">
        <v>1.3180000000000001E-2</v>
      </c>
      <c r="X18">
        <v>7.3999999999999999E-4</v>
      </c>
      <c r="Y18" t="s">
        <v>569</v>
      </c>
      <c r="Z18">
        <v>0.59167999999999998</v>
      </c>
      <c r="AA18">
        <v>1.025E-2</v>
      </c>
      <c r="AB18" t="s">
        <v>569</v>
      </c>
      <c r="AC18">
        <v>0.33596999999999999</v>
      </c>
      <c r="AD18">
        <v>4.1700000000000001E-3</v>
      </c>
      <c r="AE18" t="s">
        <v>569</v>
      </c>
      <c r="AF18"/>
      <c r="AG18"/>
      <c r="AH18" t="e">
        <v>#DIV/0!</v>
      </c>
      <c r="AI18">
        <v>5.2687099999999996</v>
      </c>
      <c r="AJ18">
        <v>3.9100000000000003E-2</v>
      </c>
      <c r="AK18" t="s">
        <v>569</v>
      </c>
      <c r="AL18">
        <v>7.0954199999999998</v>
      </c>
      <c r="AM18">
        <v>7.7660000000000007E-2</v>
      </c>
      <c r="AN18" t="s">
        <v>569</v>
      </c>
      <c r="AO18">
        <v>1.9769999999999999E-2</v>
      </c>
      <c r="AP18">
        <v>2.7999999999999998E-4</v>
      </c>
      <c r="AQ18" t="s">
        <v>569</v>
      </c>
      <c r="AR18">
        <v>0.75302000000000002</v>
      </c>
      <c r="AS18">
        <v>4.2399999999999998E-3</v>
      </c>
      <c r="AT18" t="s">
        <v>569</v>
      </c>
      <c r="AU18">
        <v>-4.8000000000000001E-4</v>
      </c>
      <c r="AV18">
        <v>1.1E-4</v>
      </c>
      <c r="AW18" t="s">
        <v>569</v>
      </c>
      <c r="AX18">
        <v>-3.0100000000000001E-3</v>
      </c>
      <c r="AY18">
        <v>2.1000000000000001E-4</v>
      </c>
      <c r="AZ18" t="s">
        <v>569</v>
      </c>
      <c r="BA18">
        <v>2.9199999999999999E-3</v>
      </c>
      <c r="BB18">
        <v>1.3999999999999999E-4</v>
      </c>
      <c r="BC18" t="s">
        <v>569</v>
      </c>
      <c r="BD18">
        <v>1.0000000000000001E-5</v>
      </c>
      <c r="BE18">
        <v>1.2999999999999999E-4</v>
      </c>
      <c r="BF18" t="s">
        <v>569</v>
      </c>
      <c r="BG18">
        <v>1.1199999999999999E-3</v>
      </c>
      <c r="BH18">
        <v>2.7999999999999998E-4</v>
      </c>
      <c r="BI18" t="s">
        <v>569</v>
      </c>
      <c r="BJ18">
        <v>1.5200000000000001E-3</v>
      </c>
      <c r="BK18">
        <v>1.0000000000000001E-5</v>
      </c>
      <c r="BL18" t="s">
        <v>569</v>
      </c>
      <c r="BM18">
        <v>-3.3E-4</v>
      </c>
      <c r="BN18">
        <v>6.9999999999999994E-5</v>
      </c>
      <c r="BO18" t="s">
        <v>569</v>
      </c>
      <c r="BP18">
        <v>2.6849999999999999E-2</v>
      </c>
      <c r="BQ18">
        <v>9.2000000000000003E-4</v>
      </c>
      <c r="BR18" t="s">
        <v>569</v>
      </c>
      <c r="BS18"/>
      <c r="BT18"/>
      <c r="BU18" t="e">
        <v>#DIV/0!</v>
      </c>
      <c r="BV18">
        <v>-2.0491100000000002</v>
      </c>
      <c r="BW18">
        <v>5.6999999999999998E-4</v>
      </c>
      <c r="BX18" t="s">
        <v>569</v>
      </c>
      <c r="BY18">
        <v>2.8420000000000001E-2</v>
      </c>
      <c r="BZ18">
        <v>2.7E-4</v>
      </c>
      <c r="CA18" t="s">
        <v>569</v>
      </c>
      <c r="CB18">
        <v>3.21902</v>
      </c>
      <c r="CC18">
        <v>5.9389999999999998E-2</v>
      </c>
      <c r="CD18" t="s">
        <v>569</v>
      </c>
      <c r="CE18">
        <v>3.19739</v>
      </c>
      <c r="CF18">
        <v>2.5260000000000001E-2</v>
      </c>
      <c r="CG18" t="s">
        <v>569</v>
      </c>
      <c r="CH18">
        <v>3.3377699999999999</v>
      </c>
      <c r="CI18">
        <v>5.5820000000000002E-2</v>
      </c>
      <c r="CJ18" t="s">
        <v>569</v>
      </c>
      <c r="CK18">
        <v>0.47605999999999998</v>
      </c>
      <c r="CL18">
        <v>6.4900000000000001E-3</v>
      </c>
      <c r="CM18" t="s">
        <v>569</v>
      </c>
      <c r="CN18">
        <v>125.14086</v>
      </c>
      <c r="CO18">
        <v>3.4855800000000001</v>
      </c>
      <c r="CP18" t="s">
        <v>569</v>
      </c>
      <c r="CQ18">
        <v>1.65544</v>
      </c>
      <c r="CR18">
        <v>6.3990000000000005E-2</v>
      </c>
      <c r="CS18" t="s">
        <v>569</v>
      </c>
      <c r="CT18">
        <v>6.1338999999999997</v>
      </c>
      <c r="CU18">
        <v>0.21115999999999999</v>
      </c>
      <c r="CV18" t="s">
        <v>569</v>
      </c>
      <c r="CW18">
        <v>39.513030000000001</v>
      </c>
      <c r="CX18">
        <v>1.32928</v>
      </c>
      <c r="CY18" t="s">
        <v>569</v>
      </c>
      <c r="CZ18">
        <v>15.305059999999999</v>
      </c>
      <c r="DA18">
        <v>0.65215999999999996</v>
      </c>
      <c r="DB18" t="s">
        <v>569</v>
      </c>
      <c r="DC18">
        <v>52.856960000000001</v>
      </c>
      <c r="DD18">
        <v>1.8204899999999999</v>
      </c>
      <c r="DE18" t="s">
        <v>569</v>
      </c>
      <c r="DF18">
        <v>11.8527</v>
      </c>
      <c r="DG18">
        <v>0.31864999999999999</v>
      </c>
      <c r="DH18" t="s">
        <v>569</v>
      </c>
      <c r="DI18">
        <v>1.8859999999999998E-2</v>
      </c>
      <c r="DJ18">
        <v>9.9699999999999997E-3</v>
      </c>
      <c r="DK18" s="29" t="s">
        <v>570</v>
      </c>
      <c r="DL18">
        <v>9.7300000000000008E-3</v>
      </c>
      <c r="DM18">
        <v>7.5000000000000002E-4</v>
      </c>
      <c r="DN18" t="s">
        <v>569</v>
      </c>
      <c r="DO18">
        <v>3.2415600000000002</v>
      </c>
      <c r="DP18">
        <v>6.6589999999999996E-2</v>
      </c>
      <c r="DQ18" t="s">
        <v>569</v>
      </c>
      <c r="DR18">
        <v>1.2291399999999999</v>
      </c>
      <c r="DS18">
        <v>1.5709999999999998E-2</v>
      </c>
      <c r="DT18" t="s">
        <v>569</v>
      </c>
      <c r="DU18">
        <v>7.1926199999999998</v>
      </c>
      <c r="DV18">
        <v>5.8590000000000003E-2</v>
      </c>
      <c r="DW18" t="s">
        <v>569</v>
      </c>
      <c r="DX18">
        <v>5.4140000000000001E-2</v>
      </c>
      <c r="DY18">
        <v>1.16E-3</v>
      </c>
      <c r="DZ18" t="s">
        <v>569</v>
      </c>
      <c r="EA18">
        <v>0.64912000000000003</v>
      </c>
      <c r="EB18">
        <v>9.3799999999999994E-3</v>
      </c>
      <c r="EC18" t="s">
        <v>569</v>
      </c>
      <c r="ED18">
        <v>3.8177599999999998</v>
      </c>
      <c r="EE18">
        <v>2.9229999999999999E-2</v>
      </c>
      <c r="EF18" t="s">
        <v>569</v>
      </c>
      <c r="EG18">
        <v>660.61032999999998</v>
      </c>
      <c r="EH18">
        <v>1.3427800000000001</v>
      </c>
      <c r="EI18" t="s">
        <v>569</v>
      </c>
      <c r="EJ18"/>
      <c r="EK18"/>
      <c r="EL18" t="e">
        <v>#DIV/0!</v>
      </c>
      <c r="EM18">
        <v>5.4474</v>
      </c>
      <c r="EN18">
        <v>0.10585</v>
      </c>
      <c r="EO18" t="s">
        <v>569</v>
      </c>
      <c r="EP18"/>
      <c r="EQ18"/>
      <c r="ER18" t="e">
        <v>#DIV/0!</v>
      </c>
      <c r="ES18">
        <v>303.00089000000003</v>
      </c>
      <c r="ET18">
        <v>10.786060000000001</v>
      </c>
      <c r="EU18" t="s">
        <v>569</v>
      </c>
      <c r="EV18">
        <v>4.7940000000000003E-2</v>
      </c>
      <c r="EW18">
        <v>3.2000000000000002E-3</v>
      </c>
      <c r="EX18" t="s">
        <v>569</v>
      </c>
      <c r="EY18">
        <v>1.8300099999999999</v>
      </c>
      <c r="EZ18">
        <v>4.8239999999999998E-2</v>
      </c>
      <c r="FA18" t="s">
        <v>569</v>
      </c>
      <c r="FB18">
        <v>0.26194000000000001</v>
      </c>
      <c r="FC18">
        <v>6.6570000000000004E-2</v>
      </c>
      <c r="FD18" t="s">
        <v>569</v>
      </c>
      <c r="FE18">
        <v>1.65604</v>
      </c>
      <c r="FF18">
        <v>8.9520000000000002E-2</v>
      </c>
      <c r="FG18" t="s">
        <v>569</v>
      </c>
      <c r="FH18"/>
      <c r="FI18"/>
      <c r="FJ18" t="e">
        <v>#DIV/0!</v>
      </c>
      <c r="FK18"/>
      <c r="FL18"/>
      <c r="FM18" t="e">
        <v>#DIV/0!</v>
      </c>
      <c r="FN18">
        <v>5.5663200000000002</v>
      </c>
      <c r="FO18">
        <v>0.12811</v>
      </c>
      <c r="FP18" t="s">
        <v>569</v>
      </c>
      <c r="FQ18"/>
      <c r="FR18"/>
      <c r="FS18" t="e">
        <v>#DIV/0!</v>
      </c>
      <c r="FT18">
        <v>2</v>
      </c>
      <c r="FU18"/>
      <c r="FV18"/>
      <c r="FW18">
        <v>39</v>
      </c>
    </row>
    <row r="19" spans="1:179" x14ac:dyDescent="0.2">
      <c r="A19" t="s">
        <v>111</v>
      </c>
      <c r="B19">
        <v>7.0040000000000005E-2</v>
      </c>
      <c r="C19">
        <v>1.73E-3</v>
      </c>
      <c r="D19" t="s">
        <v>442</v>
      </c>
      <c r="E19">
        <v>1.2789999999999999E-2</v>
      </c>
      <c r="F19">
        <v>3.9300000000000003E-3</v>
      </c>
      <c r="G19" t="s">
        <v>439</v>
      </c>
      <c r="H19">
        <v>0.78417999999999999</v>
      </c>
      <c r="I19">
        <v>1.021E-2</v>
      </c>
      <c r="J19" t="s">
        <v>442</v>
      </c>
      <c r="K19">
        <v>5.6649999999999999E-2</v>
      </c>
      <c r="L19">
        <v>1.16E-3</v>
      </c>
      <c r="M19" t="s">
        <v>442</v>
      </c>
      <c r="N19">
        <v>4.3400000000000001E-3</v>
      </c>
      <c r="O19">
        <v>1.2999999999999999E-4</v>
      </c>
      <c r="P19" t="s">
        <v>442</v>
      </c>
      <c r="Q19">
        <v>0.10091</v>
      </c>
      <c r="R19">
        <v>1.1800000000000001E-3</v>
      </c>
      <c r="S19" t="s">
        <v>442</v>
      </c>
      <c r="T19">
        <v>5.8E-4</v>
      </c>
      <c r="U19">
        <v>1E-4</v>
      </c>
      <c r="V19" t="s">
        <v>439</v>
      </c>
      <c r="W19">
        <v>1.2239999999999999E-2</v>
      </c>
      <c r="X19">
        <v>4.6999999999999999E-4</v>
      </c>
      <c r="Y19" t="s">
        <v>439</v>
      </c>
      <c r="Z19">
        <v>0.10705000000000001</v>
      </c>
      <c r="AA19">
        <v>1.9599999999999999E-3</v>
      </c>
      <c r="AB19" t="s">
        <v>442</v>
      </c>
      <c r="AC19">
        <v>0.24437999999999999</v>
      </c>
      <c r="AD19">
        <v>7.5399999999999998E-3</v>
      </c>
      <c r="AE19" t="s">
        <v>442</v>
      </c>
      <c r="AF19"/>
      <c r="AG19"/>
      <c r="AH19" t="s">
        <v>440</v>
      </c>
      <c r="AI19">
        <v>4.5260499999999997</v>
      </c>
      <c r="AJ19">
        <v>8.8349999999999998E-2</v>
      </c>
      <c r="AK19" t="s">
        <v>441</v>
      </c>
      <c r="AL19">
        <v>3.9738899999999999</v>
      </c>
      <c r="AM19">
        <v>4.4970000000000003E-2</v>
      </c>
      <c r="AN19" t="s">
        <v>442</v>
      </c>
      <c r="AO19">
        <v>1.83E-2</v>
      </c>
      <c r="AP19">
        <v>4.6000000000000001E-4</v>
      </c>
      <c r="AQ19" t="s">
        <v>442</v>
      </c>
      <c r="AR19">
        <v>0.38708999999999999</v>
      </c>
      <c r="AS19">
        <v>3.31E-3</v>
      </c>
      <c r="AT19" t="s">
        <v>442</v>
      </c>
      <c r="AU19">
        <v>-5.1999999999999995E-4</v>
      </c>
      <c r="AV19">
        <v>1.2E-4</v>
      </c>
      <c r="AW19" t="s">
        <v>439</v>
      </c>
      <c r="AX19">
        <v>-2.7499999999999998E-3</v>
      </c>
      <c r="AY19">
        <v>1.3999999999999999E-4</v>
      </c>
      <c r="AZ19" t="s">
        <v>439</v>
      </c>
      <c r="BA19">
        <v>3.0100000000000001E-3</v>
      </c>
      <c r="BB19">
        <v>1.7000000000000001E-4</v>
      </c>
      <c r="BC19" t="s">
        <v>442</v>
      </c>
      <c r="BD19">
        <v>1.0000000000000001E-5</v>
      </c>
      <c r="BE19">
        <v>2.3000000000000001E-4</v>
      </c>
      <c r="BF19" t="s">
        <v>439</v>
      </c>
      <c r="BG19">
        <v>7.3999999999999999E-4</v>
      </c>
      <c r="BH19">
        <v>1.6000000000000001E-4</v>
      </c>
      <c r="BI19" t="s">
        <v>439</v>
      </c>
      <c r="BJ19">
        <v>1.5200000000000001E-3</v>
      </c>
      <c r="BK19">
        <v>4.0000000000000003E-5</v>
      </c>
      <c r="BL19" t="s">
        <v>439</v>
      </c>
      <c r="BM19">
        <v>-3.5E-4</v>
      </c>
      <c r="BN19">
        <v>4.0000000000000003E-5</v>
      </c>
      <c r="BO19" t="s">
        <v>439</v>
      </c>
      <c r="BP19">
        <v>9.6699999999999998E-3</v>
      </c>
      <c r="BQ19">
        <v>3.2000000000000003E-4</v>
      </c>
      <c r="BR19" t="s">
        <v>442</v>
      </c>
      <c r="BS19"/>
      <c r="BT19"/>
      <c r="BU19" t="s">
        <v>440</v>
      </c>
      <c r="BV19">
        <v>-2.0487899999999999</v>
      </c>
      <c r="BW19">
        <v>4.2999999999999999E-4</v>
      </c>
      <c r="BX19" t="s">
        <v>439</v>
      </c>
      <c r="BY19">
        <v>2.614E-2</v>
      </c>
      <c r="BZ19">
        <v>2.5999999999999998E-4</v>
      </c>
      <c r="CA19" t="s">
        <v>442</v>
      </c>
      <c r="CB19">
        <v>2.0263200000000001</v>
      </c>
      <c r="CC19">
        <v>5.0560000000000001E-2</v>
      </c>
      <c r="CD19" t="s">
        <v>442</v>
      </c>
      <c r="CE19">
        <v>1.9794499999999999</v>
      </c>
      <c r="CF19">
        <v>2.3439999999999999E-2</v>
      </c>
      <c r="CG19" t="s">
        <v>442</v>
      </c>
      <c r="CH19">
        <v>2.0611899999999999</v>
      </c>
      <c r="CI19">
        <v>1.9709999999999998E-2</v>
      </c>
      <c r="CJ19" t="s">
        <v>442</v>
      </c>
      <c r="CK19">
        <v>0.70965999999999996</v>
      </c>
      <c r="CL19">
        <v>1.481E-2</v>
      </c>
      <c r="CM19" t="s">
        <v>442</v>
      </c>
      <c r="CN19">
        <v>83.480860000000007</v>
      </c>
      <c r="CO19">
        <v>2.1452599999999999</v>
      </c>
      <c r="CP19" t="s">
        <v>442</v>
      </c>
      <c r="CQ19">
        <v>1.1502600000000001</v>
      </c>
      <c r="CR19">
        <v>4.8329999999999998E-2</v>
      </c>
      <c r="CS19" t="s">
        <v>442</v>
      </c>
      <c r="CT19">
        <v>5.6297699999999997</v>
      </c>
      <c r="CU19">
        <v>0.26682</v>
      </c>
      <c r="CV19" t="s">
        <v>442</v>
      </c>
      <c r="CW19">
        <v>19.704440000000002</v>
      </c>
      <c r="CX19">
        <v>0.85658000000000001</v>
      </c>
      <c r="CY19" t="s">
        <v>442</v>
      </c>
      <c r="CZ19">
        <v>21.119039999999998</v>
      </c>
      <c r="DA19">
        <v>0.90383999999999998</v>
      </c>
      <c r="DB19" t="s">
        <v>442</v>
      </c>
      <c r="DC19">
        <v>100.7366</v>
      </c>
      <c r="DD19">
        <v>2.9375399999999998</v>
      </c>
      <c r="DE19" t="s">
        <v>442</v>
      </c>
      <c r="DF19">
        <v>10.99578</v>
      </c>
      <c r="DG19">
        <v>0.35782000000000003</v>
      </c>
      <c r="DH19" t="s">
        <v>442</v>
      </c>
      <c r="DI19">
        <v>2.4330000000000001E-2</v>
      </c>
      <c r="DJ19">
        <v>4.5900000000000003E-3</v>
      </c>
      <c r="DK19" t="s">
        <v>439</v>
      </c>
      <c r="DL19">
        <v>5.8999999999999999E-3</v>
      </c>
      <c r="DM19">
        <v>1.2199999999999999E-3</v>
      </c>
      <c r="DN19" t="s">
        <v>442</v>
      </c>
      <c r="DO19">
        <v>3.7424300000000001</v>
      </c>
      <c r="DP19">
        <v>0.11944</v>
      </c>
      <c r="DQ19" t="s">
        <v>442</v>
      </c>
      <c r="DR19">
        <v>0.77351999999999999</v>
      </c>
      <c r="DS19">
        <v>1.206E-2</v>
      </c>
      <c r="DT19" t="s">
        <v>442</v>
      </c>
      <c r="DU19">
        <v>5.5738799999999999</v>
      </c>
      <c r="DV19">
        <v>8.6550000000000002E-2</v>
      </c>
      <c r="DW19" t="s">
        <v>442</v>
      </c>
      <c r="DX19">
        <v>2.3879999999999998E-2</v>
      </c>
      <c r="DY19">
        <v>1.2899999999999999E-3</v>
      </c>
      <c r="DZ19" t="s">
        <v>439</v>
      </c>
      <c r="EA19">
        <v>0.93052999999999997</v>
      </c>
      <c r="EB19">
        <v>7.5500000000000003E-3</v>
      </c>
      <c r="EC19" t="s">
        <v>442</v>
      </c>
      <c r="ED19">
        <v>2.6027200000000001</v>
      </c>
      <c r="EE19">
        <v>2.819E-2</v>
      </c>
      <c r="EF19" t="s">
        <v>442</v>
      </c>
      <c r="EG19">
        <v>231.16585000000001</v>
      </c>
      <c r="EH19">
        <v>4.1176399999999997</v>
      </c>
      <c r="EI19" t="s">
        <v>442</v>
      </c>
      <c r="EJ19"/>
      <c r="EK19"/>
      <c r="EL19" t="s">
        <v>440</v>
      </c>
      <c r="EM19">
        <v>4.5280500000000004</v>
      </c>
      <c r="EN19">
        <v>0.16067000000000001</v>
      </c>
      <c r="EO19" t="s">
        <v>442</v>
      </c>
      <c r="EP19"/>
      <c r="EQ19"/>
      <c r="ER19" t="s">
        <v>440</v>
      </c>
      <c r="ES19">
        <v>241.08482000000001</v>
      </c>
      <c r="ET19">
        <v>2.6238000000000001</v>
      </c>
      <c r="EU19" t="s">
        <v>442</v>
      </c>
      <c r="EV19">
        <v>2.6530000000000001E-2</v>
      </c>
      <c r="EW19">
        <v>8.0800000000000004E-3</v>
      </c>
      <c r="EX19" t="s">
        <v>442</v>
      </c>
      <c r="EY19">
        <v>1.2153700000000001</v>
      </c>
      <c r="EZ19">
        <v>5.2659999999999998E-2</v>
      </c>
      <c r="FA19" t="s">
        <v>442</v>
      </c>
      <c r="FB19">
        <v>0.34179999999999999</v>
      </c>
      <c r="FC19">
        <v>4.224E-2</v>
      </c>
      <c r="FD19" t="s">
        <v>439</v>
      </c>
      <c r="FE19">
        <v>1.20682</v>
      </c>
      <c r="FF19">
        <v>8.677E-2</v>
      </c>
      <c r="FG19" t="s">
        <v>441</v>
      </c>
      <c r="FH19"/>
      <c r="FI19"/>
      <c r="FJ19" t="s">
        <v>440</v>
      </c>
      <c r="FK19"/>
      <c r="FL19"/>
      <c r="FM19" t="s">
        <v>440</v>
      </c>
      <c r="FN19">
        <v>4.7714100000000004</v>
      </c>
      <c r="FO19">
        <v>0.15123</v>
      </c>
      <c r="FP19" t="s">
        <v>441</v>
      </c>
      <c r="FQ19"/>
      <c r="FR19"/>
      <c r="FS19" t="s">
        <v>440</v>
      </c>
      <c r="FT19">
        <v>2</v>
      </c>
      <c r="FU19"/>
      <c r="FV19"/>
      <c r="FW19">
        <v>44</v>
      </c>
    </row>
    <row r="20" spans="1:179" x14ac:dyDescent="0.2">
      <c r="A20" t="s">
        <v>119</v>
      </c>
      <c r="B20">
        <v>7.0510000000000003E-2</v>
      </c>
      <c r="C20">
        <v>1.1999999999999999E-3</v>
      </c>
      <c r="D20" t="s">
        <v>569</v>
      </c>
      <c r="E20">
        <v>1.6469999999999999E-2</v>
      </c>
      <c r="F20">
        <v>2.4299999999999999E-3</v>
      </c>
      <c r="G20" s="29" t="s">
        <v>570</v>
      </c>
      <c r="H20">
        <v>0.77100000000000002</v>
      </c>
      <c r="I20">
        <v>7.9799999999999992E-3</v>
      </c>
      <c r="J20" t="s">
        <v>569</v>
      </c>
      <c r="K20">
        <v>5.0720000000000001E-2</v>
      </c>
      <c r="L20">
        <v>1.24E-3</v>
      </c>
      <c r="M20" t="s">
        <v>569</v>
      </c>
      <c r="N20">
        <v>4.2100000000000002E-3</v>
      </c>
      <c r="O20">
        <v>1.2999999999999999E-4</v>
      </c>
      <c r="P20" t="s">
        <v>569</v>
      </c>
      <c r="Q20">
        <v>0.10059999999999999</v>
      </c>
      <c r="R20">
        <v>1.7899999999999999E-3</v>
      </c>
      <c r="S20" t="s">
        <v>569</v>
      </c>
      <c r="T20">
        <v>7.2000000000000005E-4</v>
      </c>
      <c r="U20">
        <v>5.0000000000000002E-5</v>
      </c>
      <c r="V20" s="29" t="s">
        <v>570</v>
      </c>
      <c r="W20">
        <v>1.2529999999999999E-2</v>
      </c>
      <c r="X20">
        <v>1.8000000000000001E-4</v>
      </c>
      <c r="Y20" t="s">
        <v>569</v>
      </c>
      <c r="Z20">
        <v>0.10589</v>
      </c>
      <c r="AA20">
        <v>1.99E-3</v>
      </c>
      <c r="AB20" t="s">
        <v>569</v>
      </c>
      <c r="AC20">
        <v>0.24232000000000001</v>
      </c>
      <c r="AD20">
        <v>4.1200000000000004E-3</v>
      </c>
      <c r="AE20" t="s">
        <v>569</v>
      </c>
      <c r="AF20"/>
      <c r="AG20"/>
      <c r="AH20" t="e">
        <v>#DIV/0!</v>
      </c>
      <c r="AI20">
        <v>4.4515900000000004</v>
      </c>
      <c r="AJ20">
        <v>5.1639999999999998E-2</v>
      </c>
      <c r="AK20" t="s">
        <v>569</v>
      </c>
      <c r="AL20">
        <v>3.9587599999999998</v>
      </c>
      <c r="AM20">
        <v>6.6189999999999999E-2</v>
      </c>
      <c r="AN20" t="s">
        <v>569</v>
      </c>
      <c r="AO20">
        <v>1.8010000000000002E-2</v>
      </c>
      <c r="AP20">
        <v>9.2000000000000003E-4</v>
      </c>
      <c r="AQ20" t="s">
        <v>569</v>
      </c>
      <c r="AR20">
        <v>0.38478000000000001</v>
      </c>
      <c r="AS20">
        <v>5.7999999999999996E-3</v>
      </c>
      <c r="AT20" t="s">
        <v>569</v>
      </c>
      <c r="AU20">
        <v>-4.0999999999999999E-4</v>
      </c>
      <c r="AV20">
        <v>2.1000000000000001E-4</v>
      </c>
      <c r="AW20" t="s">
        <v>569</v>
      </c>
      <c r="AX20">
        <v>-2.7699999999999999E-3</v>
      </c>
      <c r="AY20">
        <v>1E-4</v>
      </c>
      <c r="AZ20" t="s">
        <v>569</v>
      </c>
      <c r="BA20">
        <v>3.2699999999999999E-3</v>
      </c>
      <c r="BB20">
        <v>2.4000000000000001E-4</v>
      </c>
      <c r="BC20" t="s">
        <v>569</v>
      </c>
      <c r="BD20">
        <v>4.8000000000000001E-4</v>
      </c>
      <c r="BE20">
        <v>2.7E-4</v>
      </c>
      <c r="BF20" s="29" t="s">
        <v>570</v>
      </c>
      <c r="BG20">
        <v>6.4000000000000005E-4</v>
      </c>
      <c r="BH20">
        <v>6.9999999999999994E-5</v>
      </c>
      <c r="BI20" t="s">
        <v>569</v>
      </c>
      <c r="BJ20">
        <v>1.5100000000000001E-3</v>
      </c>
      <c r="BK20">
        <v>1.0000000000000001E-5</v>
      </c>
      <c r="BL20" t="s">
        <v>569</v>
      </c>
      <c r="BM20">
        <v>-3.6999999999999999E-4</v>
      </c>
      <c r="BN20">
        <v>1E-4</v>
      </c>
      <c r="BO20" t="s">
        <v>569</v>
      </c>
      <c r="BP20">
        <v>9.8300000000000002E-3</v>
      </c>
      <c r="BQ20">
        <v>5.5999999999999995E-4</v>
      </c>
      <c r="BR20" t="s">
        <v>569</v>
      </c>
      <c r="BS20"/>
      <c r="BT20"/>
      <c r="BU20" t="e">
        <v>#DIV/0!</v>
      </c>
      <c r="BV20">
        <v>-2.0495700000000001</v>
      </c>
      <c r="BW20">
        <v>3.6000000000000002E-4</v>
      </c>
      <c r="BX20" t="s">
        <v>569</v>
      </c>
      <c r="BY20">
        <v>2.5950000000000001E-2</v>
      </c>
      <c r="BZ20">
        <v>1E-3</v>
      </c>
      <c r="CA20" t="s">
        <v>569</v>
      </c>
      <c r="CB20">
        <v>1.99905</v>
      </c>
      <c r="CC20">
        <v>7.8640000000000002E-2</v>
      </c>
      <c r="CD20" t="s">
        <v>569</v>
      </c>
      <c r="CE20">
        <v>1.9549000000000001</v>
      </c>
      <c r="CF20">
        <v>4.981E-2</v>
      </c>
      <c r="CG20" t="s">
        <v>569</v>
      </c>
      <c r="CH20">
        <v>2.0101100000000001</v>
      </c>
      <c r="CI20">
        <v>5.2949999999999997E-2</v>
      </c>
      <c r="CJ20" t="s">
        <v>569</v>
      </c>
      <c r="CK20">
        <v>0.69079000000000002</v>
      </c>
      <c r="CL20">
        <v>1.8489999999999999E-2</v>
      </c>
      <c r="CM20" t="s">
        <v>569</v>
      </c>
      <c r="CN20">
        <v>83.804469999999995</v>
      </c>
      <c r="CO20">
        <v>2.2235800000000001</v>
      </c>
      <c r="CP20" t="s">
        <v>569</v>
      </c>
      <c r="CQ20">
        <v>1.1400300000000001</v>
      </c>
      <c r="CR20">
        <v>2.1999999999999999E-2</v>
      </c>
      <c r="CS20" t="s">
        <v>569</v>
      </c>
      <c r="CT20">
        <v>5.6152100000000003</v>
      </c>
      <c r="CU20">
        <v>0.11353000000000001</v>
      </c>
      <c r="CV20" t="s">
        <v>569</v>
      </c>
      <c r="CW20">
        <v>18.92493</v>
      </c>
      <c r="CX20">
        <v>0.58477000000000001</v>
      </c>
      <c r="CY20" t="s">
        <v>569</v>
      </c>
      <c r="CZ20">
        <v>21.09553</v>
      </c>
      <c r="DA20">
        <v>0.50629999999999997</v>
      </c>
      <c r="DB20" t="s">
        <v>569</v>
      </c>
      <c r="DC20">
        <v>100.55528</v>
      </c>
      <c r="DD20">
        <v>1.6769400000000001</v>
      </c>
      <c r="DE20" t="s">
        <v>569</v>
      </c>
      <c r="DF20">
        <v>11.20478</v>
      </c>
      <c r="DG20">
        <v>9.5820000000000002E-2</v>
      </c>
      <c r="DH20" t="s">
        <v>569</v>
      </c>
      <c r="DI20">
        <v>1.9040000000000001E-2</v>
      </c>
      <c r="DJ20">
        <v>1.7899999999999999E-3</v>
      </c>
      <c r="DK20" s="29" t="s">
        <v>570</v>
      </c>
      <c r="DL20">
        <v>5.8999999999999999E-3</v>
      </c>
      <c r="DM20">
        <v>6.4999999999999997E-4</v>
      </c>
      <c r="DN20" t="s">
        <v>569</v>
      </c>
      <c r="DO20">
        <v>3.7016100000000001</v>
      </c>
      <c r="DP20">
        <v>8.1140000000000004E-2</v>
      </c>
      <c r="DQ20" t="s">
        <v>569</v>
      </c>
      <c r="DR20">
        <v>0.76037999999999994</v>
      </c>
      <c r="DS20">
        <v>1.9810000000000001E-2</v>
      </c>
      <c r="DT20" t="s">
        <v>569</v>
      </c>
      <c r="DU20">
        <v>5.4823599999999999</v>
      </c>
      <c r="DV20">
        <v>0.16582</v>
      </c>
      <c r="DW20" t="s">
        <v>569</v>
      </c>
      <c r="DX20">
        <v>2.2020000000000001E-2</v>
      </c>
      <c r="DY20">
        <v>1.1299999999999999E-3</v>
      </c>
      <c r="DZ20" t="s">
        <v>569</v>
      </c>
      <c r="EA20">
        <v>0.93267</v>
      </c>
      <c r="EB20">
        <v>4.0960000000000003E-2</v>
      </c>
      <c r="EC20" t="s">
        <v>569</v>
      </c>
      <c r="ED20">
        <v>2.5842100000000001</v>
      </c>
      <c r="EE20">
        <v>9.2149999999999996E-2</v>
      </c>
      <c r="EF20" t="s">
        <v>569</v>
      </c>
      <c r="EG20">
        <v>227.85684000000001</v>
      </c>
      <c r="EH20">
        <v>8.4164100000000008</v>
      </c>
      <c r="EI20" t="s">
        <v>569</v>
      </c>
      <c r="EJ20"/>
      <c r="EK20"/>
      <c r="EL20" t="e">
        <v>#DIV/0!</v>
      </c>
      <c r="EM20">
        <v>4.4355900000000004</v>
      </c>
      <c r="EN20">
        <v>9.4570000000000001E-2</v>
      </c>
      <c r="EO20" t="s">
        <v>569</v>
      </c>
      <c r="EP20"/>
      <c r="EQ20"/>
      <c r="ER20" t="e">
        <v>#DIV/0!</v>
      </c>
      <c r="ES20">
        <v>237.92464000000001</v>
      </c>
      <c r="ET20">
        <v>5.28911</v>
      </c>
      <c r="EU20" t="s">
        <v>569</v>
      </c>
      <c r="EV20">
        <v>3.4590000000000003E-2</v>
      </c>
      <c r="EW20">
        <v>1.4149999999999999E-2</v>
      </c>
      <c r="EX20" s="29" t="s">
        <v>570</v>
      </c>
      <c r="EY20">
        <v>1.2672600000000001</v>
      </c>
      <c r="EZ20">
        <v>9.2079999999999995E-2</v>
      </c>
      <c r="FA20" t="s">
        <v>569</v>
      </c>
      <c r="FB20">
        <v>0.53161000000000003</v>
      </c>
      <c r="FC20">
        <v>0.14135</v>
      </c>
      <c r="FD20" s="29" t="s">
        <v>570</v>
      </c>
      <c r="FE20">
        <v>2.59036</v>
      </c>
      <c r="FF20">
        <v>0.12461</v>
      </c>
      <c r="FG20" s="29" t="s">
        <v>570</v>
      </c>
      <c r="FH20"/>
      <c r="FI20"/>
      <c r="FJ20" t="e">
        <v>#DIV/0!</v>
      </c>
      <c r="FK20"/>
      <c r="FL20"/>
      <c r="FM20" t="e">
        <v>#DIV/0!</v>
      </c>
      <c r="FN20">
        <v>4.5897800000000002</v>
      </c>
      <c r="FO20">
        <v>0.26052999999999998</v>
      </c>
      <c r="FP20" t="s">
        <v>569</v>
      </c>
      <c r="FQ20"/>
      <c r="FR20"/>
      <c r="FS20" t="e">
        <v>#DIV/0!</v>
      </c>
      <c r="FT20">
        <v>2</v>
      </c>
      <c r="FU20"/>
      <c r="FV20"/>
      <c r="FW20">
        <v>52</v>
      </c>
    </row>
    <row r="21" spans="1:179" x14ac:dyDescent="0.2">
      <c r="A21" t="s">
        <v>176</v>
      </c>
      <c r="B21">
        <v>4.2840000000000003E-2</v>
      </c>
      <c r="C21">
        <v>3.13E-3</v>
      </c>
      <c r="D21" t="s">
        <v>439</v>
      </c>
      <c r="E21">
        <v>1.242E-2</v>
      </c>
      <c r="F21">
        <v>1.8E-3</v>
      </c>
      <c r="G21" t="s">
        <v>439</v>
      </c>
      <c r="H21">
        <v>0.22192999999999999</v>
      </c>
      <c r="I21">
        <v>3.0100000000000001E-3</v>
      </c>
      <c r="J21" t="s">
        <v>442</v>
      </c>
      <c r="K21">
        <v>9.4710000000000003E-2</v>
      </c>
      <c r="L21">
        <v>2.5500000000000002E-3</v>
      </c>
      <c r="M21" t="s">
        <v>442</v>
      </c>
      <c r="N21">
        <v>4.7099999999999998E-3</v>
      </c>
      <c r="O21">
        <v>5.0000000000000002E-5</v>
      </c>
      <c r="P21" t="s">
        <v>442</v>
      </c>
      <c r="Q21">
        <v>5.9630000000000002E-2</v>
      </c>
      <c r="R21">
        <v>1.56E-3</v>
      </c>
      <c r="S21" t="s">
        <v>442</v>
      </c>
      <c r="T21">
        <v>3.5E-4</v>
      </c>
      <c r="U21">
        <v>9.0000000000000006E-5</v>
      </c>
      <c r="V21" t="s">
        <v>439</v>
      </c>
      <c r="W21">
        <v>9.7800000000000005E-3</v>
      </c>
      <c r="X21">
        <v>9.0000000000000006E-5</v>
      </c>
      <c r="Y21" t="s">
        <v>439</v>
      </c>
      <c r="Z21">
        <v>2.6159999999999999E-2</v>
      </c>
      <c r="AA21">
        <v>4.0999999999999999E-4</v>
      </c>
      <c r="AB21" t="s">
        <v>442</v>
      </c>
      <c r="AC21">
        <v>0.12182999999999999</v>
      </c>
      <c r="AD21">
        <v>6.4999999999999997E-3</v>
      </c>
      <c r="AE21" t="s">
        <v>442</v>
      </c>
      <c r="AF21"/>
      <c r="AG21"/>
      <c r="AH21" t="s">
        <v>440</v>
      </c>
      <c r="AI21">
        <v>2.6749100000000001</v>
      </c>
      <c r="AJ21">
        <v>6.6129999999999994E-2</v>
      </c>
      <c r="AK21" t="s">
        <v>441</v>
      </c>
      <c r="AL21">
        <v>14.11542</v>
      </c>
      <c r="AM21">
        <v>0.22936000000000001</v>
      </c>
      <c r="AN21" t="s">
        <v>442</v>
      </c>
      <c r="AO21">
        <v>-5.8900000000000003E-3</v>
      </c>
      <c r="AP21">
        <v>3.4000000000000002E-4</v>
      </c>
      <c r="AQ21" t="s">
        <v>439</v>
      </c>
      <c r="AR21">
        <v>0.51590999999999998</v>
      </c>
      <c r="AS21">
        <v>1.8200000000000001E-2</v>
      </c>
      <c r="AT21" t="s">
        <v>442</v>
      </c>
      <c r="AU21">
        <v>1.34E-3</v>
      </c>
      <c r="AV21">
        <v>2.3000000000000001E-4</v>
      </c>
      <c r="AW21" t="s">
        <v>439</v>
      </c>
      <c r="AX21">
        <v>-1.64E-3</v>
      </c>
      <c r="AY21">
        <v>9.0000000000000006E-5</v>
      </c>
      <c r="AZ21" t="s">
        <v>439</v>
      </c>
      <c r="BA21">
        <v>3.62E-3</v>
      </c>
      <c r="BB21">
        <v>4.8000000000000001E-4</v>
      </c>
      <c r="BC21" t="s">
        <v>442</v>
      </c>
      <c r="BD21">
        <v>1.07E-3</v>
      </c>
      <c r="BE21">
        <v>1.9000000000000001E-4</v>
      </c>
      <c r="BF21" t="s">
        <v>439</v>
      </c>
      <c r="BG21">
        <v>4.4000000000000002E-4</v>
      </c>
      <c r="BH21">
        <v>1.2999999999999999E-4</v>
      </c>
      <c r="BI21" t="s">
        <v>439</v>
      </c>
      <c r="BJ21">
        <v>1.5399999999999999E-3</v>
      </c>
      <c r="BK21">
        <v>2.0000000000000002E-5</v>
      </c>
      <c r="BL21" t="s">
        <v>439</v>
      </c>
      <c r="BM21">
        <v>-2.7E-4</v>
      </c>
      <c r="BN21">
        <v>1.0000000000000001E-5</v>
      </c>
      <c r="BO21" t="s">
        <v>439</v>
      </c>
      <c r="BP21">
        <v>6.9999999999999999E-4</v>
      </c>
      <c r="BQ21">
        <v>2.1000000000000001E-4</v>
      </c>
      <c r="BR21" t="s">
        <v>439</v>
      </c>
      <c r="BS21"/>
      <c r="BT21"/>
      <c r="BU21" t="s">
        <v>440</v>
      </c>
      <c r="BV21">
        <v>-2.0533399999999999</v>
      </c>
      <c r="BW21">
        <v>3.8999999999999999E-4</v>
      </c>
      <c r="BX21" t="s">
        <v>439</v>
      </c>
      <c r="BY21">
        <v>5.2599999999999999E-3</v>
      </c>
      <c r="BZ21">
        <v>2.0000000000000002E-5</v>
      </c>
      <c r="CA21" t="s">
        <v>442</v>
      </c>
      <c r="CB21">
        <v>0.69274999999999998</v>
      </c>
      <c r="CC21">
        <v>9.2999999999999992E-3</v>
      </c>
      <c r="CD21" t="s">
        <v>442</v>
      </c>
      <c r="CE21">
        <v>0.69547000000000003</v>
      </c>
      <c r="CF21">
        <v>1.4919999999999999E-2</v>
      </c>
      <c r="CG21" t="s">
        <v>442</v>
      </c>
      <c r="CH21">
        <v>0.69377999999999995</v>
      </c>
      <c r="CI21">
        <v>1.208E-2</v>
      </c>
      <c r="CJ21" t="s">
        <v>442</v>
      </c>
      <c r="CK21">
        <v>6.7280000000000006E-2</v>
      </c>
      <c r="CL21">
        <v>1.9499999999999999E-3</v>
      </c>
      <c r="CM21" t="s">
        <v>442</v>
      </c>
      <c r="CN21">
        <v>42.511609999999997</v>
      </c>
      <c r="CO21">
        <v>1.6034999999999999</v>
      </c>
      <c r="CP21" t="s">
        <v>442</v>
      </c>
      <c r="CQ21">
        <v>4.1451399999999996</v>
      </c>
      <c r="CR21">
        <v>0.18608</v>
      </c>
      <c r="CS21" t="s">
        <v>442</v>
      </c>
      <c r="CT21">
        <v>6.4187599999999998</v>
      </c>
      <c r="CU21">
        <v>0.34710999999999997</v>
      </c>
      <c r="CV21" t="s">
        <v>442</v>
      </c>
      <c r="CW21">
        <v>26.13138</v>
      </c>
      <c r="CX21">
        <v>0.98472000000000004</v>
      </c>
      <c r="CY21" t="s">
        <v>442</v>
      </c>
      <c r="CZ21">
        <v>12.19275</v>
      </c>
      <c r="DA21">
        <v>0.34969</v>
      </c>
      <c r="DB21" t="s">
        <v>442</v>
      </c>
      <c r="DC21">
        <v>43.34337</v>
      </c>
      <c r="DD21">
        <v>0.98697000000000001</v>
      </c>
      <c r="DE21" t="s">
        <v>442</v>
      </c>
      <c r="DF21">
        <v>43.470190000000002</v>
      </c>
      <c r="DG21">
        <v>0.96862999999999999</v>
      </c>
      <c r="DH21" t="s">
        <v>442</v>
      </c>
      <c r="DI21">
        <v>0.13200000000000001</v>
      </c>
      <c r="DJ21">
        <v>8.8800000000000007E-3</v>
      </c>
      <c r="DK21" t="s">
        <v>442</v>
      </c>
      <c r="DL21">
        <v>7.7299999999999999E-3</v>
      </c>
      <c r="DM21">
        <v>1.0399999999999999E-3</v>
      </c>
      <c r="DN21" t="s">
        <v>442</v>
      </c>
      <c r="DO21">
        <v>1.2694000000000001</v>
      </c>
      <c r="DP21">
        <v>3.1150000000000001E-2</v>
      </c>
      <c r="DQ21" t="s">
        <v>442</v>
      </c>
      <c r="DR21">
        <v>0.97404000000000002</v>
      </c>
      <c r="DS21">
        <v>1.8149999999999999E-2</v>
      </c>
      <c r="DT21" t="s">
        <v>442</v>
      </c>
      <c r="DU21">
        <v>6.3065800000000003</v>
      </c>
      <c r="DV21">
        <v>0.16627</v>
      </c>
      <c r="DW21" t="s">
        <v>442</v>
      </c>
      <c r="DX21">
        <v>4.4170000000000001E-2</v>
      </c>
      <c r="DY21">
        <v>2.0300000000000001E-3</v>
      </c>
      <c r="DZ21" t="s">
        <v>442</v>
      </c>
      <c r="EA21">
        <v>1.2287300000000001</v>
      </c>
      <c r="EB21">
        <v>4.607E-2</v>
      </c>
      <c r="EC21" t="s">
        <v>442</v>
      </c>
      <c r="ED21">
        <v>0.84231999999999996</v>
      </c>
      <c r="EE21">
        <v>3.9449999999999999E-2</v>
      </c>
      <c r="EF21" t="s">
        <v>442</v>
      </c>
      <c r="EG21">
        <v>190.73831999999999</v>
      </c>
      <c r="EH21">
        <v>3.6973799999999999</v>
      </c>
      <c r="EI21" t="s">
        <v>442</v>
      </c>
      <c r="EJ21"/>
      <c r="EK21"/>
      <c r="EL21" t="s">
        <v>440</v>
      </c>
      <c r="EM21">
        <v>2.8844799999999999</v>
      </c>
      <c r="EN21">
        <v>0.12859000000000001</v>
      </c>
      <c r="EO21" t="s">
        <v>442</v>
      </c>
      <c r="EP21"/>
      <c r="EQ21"/>
      <c r="ER21" t="s">
        <v>440</v>
      </c>
      <c r="ES21">
        <v>63.890929999999997</v>
      </c>
      <c r="ET21">
        <v>0.94901000000000002</v>
      </c>
      <c r="EU21" t="s">
        <v>442</v>
      </c>
      <c r="EV21">
        <v>1.329E-2</v>
      </c>
      <c r="EW21">
        <v>3.9100000000000003E-3</v>
      </c>
      <c r="EX21" t="s">
        <v>442</v>
      </c>
      <c r="EY21">
        <v>7.6674499999999997</v>
      </c>
      <c r="EZ21">
        <v>0.16997000000000001</v>
      </c>
      <c r="FA21" t="s">
        <v>442</v>
      </c>
      <c r="FB21">
        <v>2.00013</v>
      </c>
      <c r="FC21">
        <v>0.15218999999999999</v>
      </c>
      <c r="FD21" t="s">
        <v>442</v>
      </c>
      <c r="FE21">
        <v>6.40618</v>
      </c>
      <c r="FF21">
        <v>0.68095000000000006</v>
      </c>
      <c r="FG21" t="s">
        <v>441</v>
      </c>
      <c r="FH21"/>
      <c r="FI21"/>
      <c r="FJ21" t="s">
        <v>440</v>
      </c>
      <c r="FK21"/>
      <c r="FL21"/>
      <c r="FM21" t="s">
        <v>440</v>
      </c>
      <c r="FN21">
        <v>2.8349299999999999</v>
      </c>
      <c r="FO21">
        <v>2.086E-2</v>
      </c>
      <c r="FP21" t="s">
        <v>441</v>
      </c>
      <c r="FQ21"/>
      <c r="FR21"/>
      <c r="FS21" t="s">
        <v>440</v>
      </c>
      <c r="FT21">
        <v>2</v>
      </c>
      <c r="FU21"/>
      <c r="FV21"/>
      <c r="FW21">
        <v>109</v>
      </c>
    </row>
    <row r="22" spans="1:179" x14ac:dyDescent="0.2">
      <c r="A22" t="s">
        <v>184</v>
      </c>
      <c r="B22">
        <v>4.2209999999999998E-2</v>
      </c>
      <c r="C22">
        <v>1.08E-3</v>
      </c>
      <c r="D22" t="s">
        <v>569</v>
      </c>
      <c r="E22">
        <v>1.324E-2</v>
      </c>
      <c r="F22">
        <v>1.72E-3</v>
      </c>
      <c r="G22" t="s">
        <v>569</v>
      </c>
      <c r="H22">
        <v>0.21543000000000001</v>
      </c>
      <c r="I22">
        <v>3.16E-3</v>
      </c>
      <c r="J22" t="s">
        <v>569</v>
      </c>
      <c r="K22">
        <v>9.0609999999999996E-2</v>
      </c>
      <c r="L22">
        <v>2.2300000000000002E-3</v>
      </c>
      <c r="M22" t="s">
        <v>569</v>
      </c>
      <c r="N22">
        <v>4.62E-3</v>
      </c>
      <c r="O22">
        <v>1E-4</v>
      </c>
      <c r="P22" t="s">
        <v>569</v>
      </c>
      <c r="Q22">
        <v>5.8500000000000003E-2</v>
      </c>
      <c r="R22">
        <v>4.2999999999999999E-4</v>
      </c>
      <c r="S22" t="s">
        <v>569</v>
      </c>
      <c r="T22">
        <v>4.0999999999999999E-4</v>
      </c>
      <c r="U22">
        <v>5.0000000000000002E-5</v>
      </c>
      <c r="V22" t="s">
        <v>569</v>
      </c>
      <c r="W22">
        <v>9.9600000000000001E-3</v>
      </c>
      <c r="X22">
        <v>2.7E-4</v>
      </c>
      <c r="Y22" t="s">
        <v>569</v>
      </c>
      <c r="Z22">
        <v>2.606E-2</v>
      </c>
      <c r="AA22">
        <v>3.6999999999999999E-4</v>
      </c>
      <c r="AB22" t="s">
        <v>569</v>
      </c>
      <c r="AC22">
        <v>0.11814</v>
      </c>
      <c r="AD22">
        <v>4.1999999999999997E-3</v>
      </c>
      <c r="AE22" t="s">
        <v>569</v>
      </c>
      <c r="AF22"/>
      <c r="AG22"/>
      <c r="AH22" t="e">
        <v>#DIV/0!</v>
      </c>
      <c r="AI22">
        <v>2.6067100000000001</v>
      </c>
      <c r="AJ22">
        <v>3.9919999999999997E-2</v>
      </c>
      <c r="AK22" t="s">
        <v>569</v>
      </c>
      <c r="AL22">
        <v>13.712289999999999</v>
      </c>
      <c r="AM22">
        <v>0.19511999999999999</v>
      </c>
      <c r="AN22" t="s">
        <v>569</v>
      </c>
      <c r="AO22">
        <v>-5.6100000000000004E-3</v>
      </c>
      <c r="AP22">
        <v>8.0000000000000007E-5</v>
      </c>
      <c r="AQ22" t="s">
        <v>569</v>
      </c>
      <c r="AR22">
        <v>0.49574000000000001</v>
      </c>
      <c r="AS22">
        <v>5.1799999999999997E-3</v>
      </c>
      <c r="AT22" t="s">
        <v>569</v>
      </c>
      <c r="AU22">
        <v>1.1299999999999999E-3</v>
      </c>
      <c r="AV22">
        <v>1.1E-4</v>
      </c>
      <c r="AW22" t="s">
        <v>569</v>
      </c>
      <c r="AX22">
        <v>-1.6199999999999999E-3</v>
      </c>
      <c r="AY22">
        <v>1.1E-4</v>
      </c>
      <c r="AZ22" t="s">
        <v>569</v>
      </c>
      <c r="BA22">
        <v>3.5400000000000002E-3</v>
      </c>
      <c r="BB22">
        <v>3.1E-4</v>
      </c>
      <c r="BC22" t="s">
        <v>569</v>
      </c>
      <c r="BD22">
        <v>7.5000000000000002E-4</v>
      </c>
      <c r="BE22">
        <v>1.4999999999999999E-4</v>
      </c>
      <c r="BF22" s="29" t="s">
        <v>570</v>
      </c>
      <c r="BG22">
        <v>2.9999999999999997E-4</v>
      </c>
      <c r="BH22">
        <v>3.3E-4</v>
      </c>
      <c r="BI22" s="29" t="s">
        <v>570</v>
      </c>
      <c r="BJ22">
        <v>1.5200000000000001E-3</v>
      </c>
      <c r="BK22">
        <v>3.0000000000000001E-5</v>
      </c>
      <c r="BL22" t="s">
        <v>569</v>
      </c>
      <c r="BM22">
        <v>-2.9999999999999997E-4</v>
      </c>
      <c r="BN22">
        <v>4.0000000000000003E-5</v>
      </c>
      <c r="BO22" t="s">
        <v>569</v>
      </c>
      <c r="BP22">
        <v>5.9999999999999995E-4</v>
      </c>
      <c r="BQ22">
        <v>2.4000000000000001E-4</v>
      </c>
      <c r="BR22" t="s">
        <v>569</v>
      </c>
      <c r="BS22"/>
      <c r="BT22"/>
      <c r="BU22" t="e">
        <v>#DIV/0!</v>
      </c>
      <c r="BV22">
        <v>-2.0534300000000001</v>
      </c>
      <c r="BW22">
        <v>3.8999999999999999E-4</v>
      </c>
      <c r="BX22" t="s">
        <v>569</v>
      </c>
      <c r="BY22">
        <v>5.2500000000000003E-3</v>
      </c>
      <c r="BZ22">
        <v>4.0000000000000003E-5</v>
      </c>
      <c r="CA22" t="s">
        <v>569</v>
      </c>
      <c r="CB22">
        <v>0.68928</v>
      </c>
      <c r="CC22">
        <v>9.4800000000000006E-3</v>
      </c>
      <c r="CD22" t="s">
        <v>569</v>
      </c>
      <c r="CE22">
        <v>0.68625999999999998</v>
      </c>
      <c r="CF22">
        <v>1.924E-2</v>
      </c>
      <c r="CG22" t="s">
        <v>569</v>
      </c>
      <c r="CH22">
        <v>0.68369000000000002</v>
      </c>
      <c r="CI22">
        <v>1.0019999999999999E-2</v>
      </c>
      <c r="CJ22" t="s">
        <v>569</v>
      </c>
      <c r="CK22">
        <v>6.6479999999999997E-2</v>
      </c>
      <c r="CL22">
        <v>1.4400000000000001E-3</v>
      </c>
      <c r="CM22" t="s">
        <v>569</v>
      </c>
      <c r="CN22">
        <v>40.842460000000003</v>
      </c>
      <c r="CO22">
        <v>0.84116000000000002</v>
      </c>
      <c r="CP22" t="s">
        <v>569</v>
      </c>
      <c r="CQ22">
        <v>4.0390300000000003</v>
      </c>
      <c r="CR22">
        <v>0.13564000000000001</v>
      </c>
      <c r="CS22" t="s">
        <v>569</v>
      </c>
      <c r="CT22">
        <v>6.3968100000000003</v>
      </c>
      <c r="CU22">
        <v>0.24152000000000001</v>
      </c>
      <c r="CV22" t="s">
        <v>569</v>
      </c>
      <c r="CW22">
        <v>24.080159999999999</v>
      </c>
      <c r="CX22">
        <v>0.70404999999999995</v>
      </c>
      <c r="CY22" t="s">
        <v>569</v>
      </c>
      <c r="CZ22">
        <v>11.96217</v>
      </c>
      <c r="DA22">
        <v>0.55586999999999998</v>
      </c>
      <c r="DB22" t="s">
        <v>569</v>
      </c>
      <c r="DC22">
        <v>41.908819999999999</v>
      </c>
      <c r="DD22">
        <v>1.0729900000000001</v>
      </c>
      <c r="DE22" t="s">
        <v>569</v>
      </c>
      <c r="DF22">
        <v>42.784820000000003</v>
      </c>
      <c r="DG22">
        <v>1.17788</v>
      </c>
      <c r="DH22" t="s">
        <v>569</v>
      </c>
      <c r="DI22">
        <v>0.14692</v>
      </c>
      <c r="DJ22">
        <v>9.0399999999999994E-3</v>
      </c>
      <c r="DK22" t="s">
        <v>569</v>
      </c>
      <c r="DL22">
        <v>8.8900000000000003E-3</v>
      </c>
      <c r="DM22">
        <v>1.4499999999999999E-3</v>
      </c>
      <c r="DN22" t="s">
        <v>569</v>
      </c>
      <c r="DO22">
        <v>1.2143699999999999</v>
      </c>
      <c r="DP22">
        <v>2.2089999999999999E-2</v>
      </c>
      <c r="DQ22" t="s">
        <v>569</v>
      </c>
      <c r="DR22">
        <v>0.92166999999999999</v>
      </c>
      <c r="DS22">
        <v>3.2750000000000001E-2</v>
      </c>
      <c r="DT22" t="s">
        <v>569</v>
      </c>
      <c r="DU22">
        <v>6.0702199999999999</v>
      </c>
      <c r="DV22">
        <v>0.17312</v>
      </c>
      <c r="DW22" t="s">
        <v>569</v>
      </c>
      <c r="DX22">
        <v>4.2500000000000003E-2</v>
      </c>
      <c r="DY22">
        <v>2.66E-3</v>
      </c>
      <c r="DZ22" t="s">
        <v>569</v>
      </c>
      <c r="EA22">
        <v>1.20604</v>
      </c>
      <c r="EB22">
        <v>2.9340000000000001E-2</v>
      </c>
      <c r="EC22" t="s">
        <v>569</v>
      </c>
      <c r="ED22">
        <v>0.79798000000000002</v>
      </c>
      <c r="EE22">
        <v>1.984E-2</v>
      </c>
      <c r="EF22" t="s">
        <v>569</v>
      </c>
      <c r="EG22">
        <v>183.64105000000001</v>
      </c>
      <c r="EH22">
        <v>2.6892800000000001</v>
      </c>
      <c r="EI22" t="s">
        <v>569</v>
      </c>
      <c r="EJ22"/>
      <c r="EK22"/>
      <c r="EL22" t="e">
        <v>#DIV/0!</v>
      </c>
      <c r="EM22">
        <v>2.7845399999999998</v>
      </c>
      <c r="EN22">
        <v>6.7830000000000001E-2</v>
      </c>
      <c r="EO22" t="s">
        <v>569</v>
      </c>
      <c r="EP22"/>
      <c r="EQ22"/>
      <c r="ER22" t="e">
        <v>#DIV/0!</v>
      </c>
      <c r="ES22">
        <v>65.657660000000007</v>
      </c>
      <c r="ET22">
        <v>1.31809</v>
      </c>
      <c r="EU22" t="s">
        <v>569</v>
      </c>
      <c r="EV22">
        <v>1.1520000000000001E-2</v>
      </c>
      <c r="EW22">
        <v>5.96E-3</v>
      </c>
      <c r="EX22" t="s">
        <v>569</v>
      </c>
      <c r="EY22">
        <v>7.9288699999999999</v>
      </c>
      <c r="EZ22">
        <v>0.14895</v>
      </c>
      <c r="FA22" t="s">
        <v>569</v>
      </c>
      <c r="FB22">
        <v>0.81301999999999996</v>
      </c>
      <c r="FC22">
        <v>0.21847</v>
      </c>
      <c r="FD22" s="29" t="s">
        <v>570</v>
      </c>
      <c r="FE22">
        <v>3.2741600000000002</v>
      </c>
      <c r="FF22">
        <v>0.34762999999999999</v>
      </c>
      <c r="FG22" s="29" t="s">
        <v>570</v>
      </c>
      <c r="FH22"/>
      <c r="FI22"/>
      <c r="FJ22" t="e">
        <v>#DIV/0!</v>
      </c>
      <c r="FK22"/>
      <c r="FL22"/>
      <c r="FM22" t="e">
        <v>#DIV/0!</v>
      </c>
      <c r="FN22">
        <v>2.83677</v>
      </c>
      <c r="FO22">
        <v>0.15159</v>
      </c>
      <c r="FP22" t="s">
        <v>569</v>
      </c>
      <c r="FQ22"/>
      <c r="FR22"/>
      <c r="FS22" t="e">
        <v>#DIV/0!</v>
      </c>
      <c r="FT22">
        <v>2</v>
      </c>
      <c r="FU22"/>
      <c r="FV22"/>
      <c r="FW22">
        <v>117</v>
      </c>
    </row>
    <row r="23" spans="1:179" x14ac:dyDescent="0.2">
      <c r="A23" t="s">
        <v>124</v>
      </c>
      <c r="B23">
        <v>0.27992</v>
      </c>
      <c r="C23">
        <v>5.3699999999999998E-3</v>
      </c>
      <c r="D23" t="s">
        <v>442</v>
      </c>
      <c r="E23">
        <v>1.549E-2</v>
      </c>
      <c r="F23">
        <v>2.5799999999999998E-3</v>
      </c>
      <c r="G23" t="s">
        <v>439</v>
      </c>
      <c r="H23">
        <v>2.8882099999999999</v>
      </c>
      <c r="I23">
        <v>5.9479999999999998E-2</v>
      </c>
      <c r="J23" t="s">
        <v>442</v>
      </c>
      <c r="K23">
        <v>9.6009999999999998E-2</v>
      </c>
      <c r="L23">
        <v>2.8500000000000001E-3</v>
      </c>
      <c r="M23" t="s">
        <v>442</v>
      </c>
      <c r="N23">
        <v>4.0400000000000002E-3</v>
      </c>
      <c r="O23">
        <v>1.4999999999999999E-4</v>
      </c>
      <c r="P23" t="s">
        <v>442</v>
      </c>
      <c r="Q23">
        <v>0.15712000000000001</v>
      </c>
      <c r="R23">
        <v>3.2499999999999999E-3</v>
      </c>
      <c r="S23" t="s">
        <v>442</v>
      </c>
      <c r="T23">
        <v>1.07E-3</v>
      </c>
      <c r="U23">
        <v>5.0000000000000002E-5</v>
      </c>
      <c r="V23" t="s">
        <v>439</v>
      </c>
      <c r="W23">
        <v>1.295E-2</v>
      </c>
      <c r="X23">
        <v>7.7999999999999999E-4</v>
      </c>
      <c r="Y23" t="s">
        <v>439</v>
      </c>
      <c r="Z23">
        <v>0.1231</v>
      </c>
      <c r="AA23">
        <v>3.7799999999999999E-3</v>
      </c>
      <c r="AB23" t="s">
        <v>442</v>
      </c>
      <c r="AC23">
        <v>1.0786500000000001</v>
      </c>
      <c r="AD23">
        <v>3.61E-2</v>
      </c>
      <c r="AE23" t="s">
        <v>442</v>
      </c>
      <c r="AF23"/>
      <c r="AG23"/>
      <c r="AH23" t="s">
        <v>440</v>
      </c>
      <c r="AI23">
        <v>61.655760000000001</v>
      </c>
      <c r="AJ23">
        <v>1.3984399999999999</v>
      </c>
      <c r="AK23" t="s">
        <v>441</v>
      </c>
      <c r="AL23">
        <v>326.51283999999998</v>
      </c>
      <c r="AM23">
        <v>7.3227200000000003</v>
      </c>
      <c r="AN23" t="s">
        <v>442</v>
      </c>
      <c r="AO23">
        <v>0.10266</v>
      </c>
      <c r="AP23">
        <v>1.1199999999999999E-3</v>
      </c>
      <c r="AQ23" t="s">
        <v>442</v>
      </c>
      <c r="AR23">
        <v>1.67092</v>
      </c>
      <c r="AS23">
        <v>3.7350000000000001E-2</v>
      </c>
      <c r="AT23" t="s">
        <v>442</v>
      </c>
      <c r="AU23">
        <v>2.503E-2</v>
      </c>
      <c r="AV23">
        <v>6.2E-4</v>
      </c>
      <c r="AW23" t="s">
        <v>442</v>
      </c>
      <c r="AX23">
        <v>-4.8000000000000001E-4</v>
      </c>
      <c r="AY23">
        <v>4.0000000000000002E-4</v>
      </c>
      <c r="AZ23" t="s">
        <v>439</v>
      </c>
      <c r="BA23">
        <v>3.9399999999999999E-3</v>
      </c>
      <c r="BB23">
        <v>1.8000000000000001E-4</v>
      </c>
      <c r="BC23" t="s">
        <v>442</v>
      </c>
      <c r="BD23">
        <v>8.4000000000000003E-4</v>
      </c>
      <c r="BE23">
        <v>3.6000000000000002E-4</v>
      </c>
      <c r="BF23" t="s">
        <v>439</v>
      </c>
      <c r="BG23">
        <v>5.5999999999999995E-4</v>
      </c>
      <c r="BH23">
        <v>2.0000000000000001E-4</v>
      </c>
      <c r="BI23" t="s">
        <v>439</v>
      </c>
      <c r="BJ23">
        <v>1.5E-3</v>
      </c>
      <c r="BK23">
        <v>2.0000000000000002E-5</v>
      </c>
      <c r="BL23" t="s">
        <v>439</v>
      </c>
      <c r="BM23">
        <v>-1.0000000000000001E-5</v>
      </c>
      <c r="BN23">
        <v>1.1E-4</v>
      </c>
      <c r="BO23" t="s">
        <v>439</v>
      </c>
      <c r="BP23">
        <v>1.308E-2</v>
      </c>
      <c r="BQ23">
        <v>1.4300000000000001E-3</v>
      </c>
      <c r="BR23" t="s">
        <v>442</v>
      </c>
      <c r="BS23"/>
      <c r="BT23"/>
      <c r="BU23" t="s">
        <v>440</v>
      </c>
      <c r="BV23">
        <v>-2.0517599999999998</v>
      </c>
      <c r="BW23">
        <v>7.2000000000000005E-4</v>
      </c>
      <c r="BX23" t="s">
        <v>439</v>
      </c>
      <c r="BY23">
        <v>7.5319999999999998E-2</v>
      </c>
      <c r="BZ23">
        <v>2.4299999999999999E-3</v>
      </c>
      <c r="CA23" t="s">
        <v>442</v>
      </c>
      <c r="CB23">
        <v>11.389670000000001</v>
      </c>
      <c r="CC23">
        <v>0.38740000000000002</v>
      </c>
      <c r="CD23" t="s">
        <v>442</v>
      </c>
      <c r="CE23">
        <v>12.191409999999999</v>
      </c>
      <c r="CF23">
        <v>0.2485</v>
      </c>
      <c r="CG23" t="s">
        <v>442</v>
      </c>
      <c r="CH23">
        <v>11.60615</v>
      </c>
      <c r="CI23">
        <v>0.24759</v>
      </c>
      <c r="CJ23" t="s">
        <v>442</v>
      </c>
      <c r="CK23">
        <v>2.6786099999999999</v>
      </c>
      <c r="CL23">
        <v>7.6490000000000002E-2</v>
      </c>
      <c r="CM23" t="s">
        <v>442</v>
      </c>
      <c r="CN23">
        <v>589.72251000000006</v>
      </c>
      <c r="CO23">
        <v>8.4959500000000006</v>
      </c>
      <c r="CP23" t="s">
        <v>442</v>
      </c>
      <c r="CQ23">
        <v>3.1143700000000001</v>
      </c>
      <c r="CR23">
        <v>7.4459999999999998E-2</v>
      </c>
      <c r="CS23" t="s">
        <v>442</v>
      </c>
      <c r="CT23">
        <v>4.8906400000000003</v>
      </c>
      <c r="CU23">
        <v>0.15143000000000001</v>
      </c>
      <c r="CV23" t="s">
        <v>442</v>
      </c>
      <c r="CW23">
        <v>242.62062</v>
      </c>
      <c r="CX23">
        <v>5.2135199999999999</v>
      </c>
      <c r="CY23" t="s">
        <v>442</v>
      </c>
      <c r="CZ23">
        <v>85.338539999999995</v>
      </c>
      <c r="DA23">
        <v>1.9950000000000001</v>
      </c>
      <c r="DB23" t="s">
        <v>442</v>
      </c>
      <c r="DC23">
        <v>459.68239999999997</v>
      </c>
      <c r="DD23">
        <v>10.688800000000001</v>
      </c>
      <c r="DE23" t="s">
        <v>442</v>
      </c>
      <c r="DF23">
        <v>37.929760000000002</v>
      </c>
      <c r="DG23">
        <v>0.84225000000000005</v>
      </c>
      <c r="DH23" t="s">
        <v>442</v>
      </c>
      <c r="DI23">
        <v>9.196E-2</v>
      </c>
      <c r="DJ23">
        <v>3.8400000000000001E-3</v>
      </c>
      <c r="DK23" t="s">
        <v>442</v>
      </c>
      <c r="DL23">
        <v>6.1700000000000001E-3</v>
      </c>
      <c r="DM23">
        <v>1.1800000000000001E-3</v>
      </c>
      <c r="DN23" t="s">
        <v>442</v>
      </c>
      <c r="DO23">
        <v>0.22659000000000001</v>
      </c>
      <c r="DP23">
        <v>6.9800000000000001E-3</v>
      </c>
      <c r="DQ23" t="s">
        <v>442</v>
      </c>
      <c r="DR23">
        <v>2.0299900000000002</v>
      </c>
      <c r="DS23">
        <v>2.0539999999999999E-2</v>
      </c>
      <c r="DT23" t="s">
        <v>442</v>
      </c>
      <c r="DU23">
        <v>13.690860000000001</v>
      </c>
      <c r="DV23">
        <v>0.20609</v>
      </c>
      <c r="DW23" t="s">
        <v>442</v>
      </c>
      <c r="DX23">
        <v>0.55142999999999998</v>
      </c>
      <c r="DY23">
        <v>6.0600000000000003E-3</v>
      </c>
      <c r="DZ23" t="s">
        <v>442</v>
      </c>
      <c r="EA23">
        <v>0.33776</v>
      </c>
      <c r="EB23">
        <v>1.281E-2</v>
      </c>
      <c r="EC23" t="s">
        <v>442</v>
      </c>
      <c r="ED23">
        <v>9.3849300000000007</v>
      </c>
      <c r="EE23">
        <v>8.7730000000000002E-2</v>
      </c>
      <c r="EF23" t="s">
        <v>442</v>
      </c>
      <c r="EG23">
        <v>2422.47741</v>
      </c>
      <c r="EH23">
        <v>31.890750000000001</v>
      </c>
      <c r="EI23" t="s">
        <v>442</v>
      </c>
      <c r="EJ23"/>
      <c r="EK23"/>
      <c r="EL23" t="s">
        <v>440</v>
      </c>
      <c r="EM23">
        <v>75.118160000000003</v>
      </c>
      <c r="EN23">
        <v>0.41975000000000001</v>
      </c>
      <c r="EO23" t="s">
        <v>442</v>
      </c>
      <c r="EP23"/>
      <c r="EQ23"/>
      <c r="ER23" t="s">
        <v>440</v>
      </c>
      <c r="ES23">
        <v>811.65042000000005</v>
      </c>
      <c r="ET23">
        <v>24.703790000000001</v>
      </c>
      <c r="EU23" t="s">
        <v>442</v>
      </c>
      <c r="EV23">
        <v>0.13642000000000001</v>
      </c>
      <c r="EW23">
        <v>4.1799999999999997E-3</v>
      </c>
      <c r="EX23" t="s">
        <v>442</v>
      </c>
      <c r="EY23">
        <v>133.16999000000001</v>
      </c>
      <c r="EZ23">
        <v>0.64231000000000005</v>
      </c>
      <c r="FA23" t="s">
        <v>442</v>
      </c>
      <c r="FB23">
        <v>4.52135</v>
      </c>
      <c r="FC23">
        <v>0.21296000000000001</v>
      </c>
      <c r="FD23" t="s">
        <v>442</v>
      </c>
      <c r="FE23">
        <v>5.25197</v>
      </c>
      <c r="FF23">
        <v>0.22126999999999999</v>
      </c>
      <c r="FG23" t="s">
        <v>441</v>
      </c>
      <c r="FH23"/>
      <c r="FI23"/>
      <c r="FJ23" t="s">
        <v>440</v>
      </c>
      <c r="FK23"/>
      <c r="FL23"/>
      <c r="FM23" t="s">
        <v>440</v>
      </c>
      <c r="FN23">
        <v>73.153570000000002</v>
      </c>
      <c r="FO23">
        <v>3.9059900000000001</v>
      </c>
      <c r="FP23" t="s">
        <v>441</v>
      </c>
      <c r="FQ23"/>
      <c r="FR23"/>
      <c r="FS23" t="s">
        <v>440</v>
      </c>
      <c r="FT23">
        <v>2</v>
      </c>
      <c r="FU23"/>
      <c r="FV23"/>
      <c r="FW23">
        <v>57</v>
      </c>
    </row>
    <row r="24" spans="1:179" x14ac:dyDescent="0.2">
      <c r="A24" t="s">
        <v>132</v>
      </c>
      <c r="B24">
        <v>0.27605000000000002</v>
      </c>
      <c r="C24">
        <v>8.8000000000000003E-4</v>
      </c>
      <c r="D24" t="s">
        <v>569</v>
      </c>
      <c r="E24">
        <v>1.6299999999999999E-2</v>
      </c>
      <c r="F24">
        <v>1.9400000000000001E-3</v>
      </c>
      <c r="G24" t="s">
        <v>569</v>
      </c>
      <c r="H24">
        <v>2.8549099999999998</v>
      </c>
      <c r="I24">
        <v>2.3900000000000001E-2</v>
      </c>
      <c r="J24" t="s">
        <v>569</v>
      </c>
      <c r="K24">
        <v>9.0789999999999996E-2</v>
      </c>
      <c r="L24">
        <v>1.5E-3</v>
      </c>
      <c r="M24" t="s">
        <v>569</v>
      </c>
      <c r="N24">
        <v>3.9899999999999996E-3</v>
      </c>
      <c r="O24">
        <v>3.0000000000000001E-5</v>
      </c>
      <c r="P24" t="s">
        <v>569</v>
      </c>
      <c r="Q24">
        <v>0.15983</v>
      </c>
      <c r="R24">
        <v>1.91E-3</v>
      </c>
      <c r="S24" t="s">
        <v>569</v>
      </c>
      <c r="T24">
        <v>9.6000000000000002E-4</v>
      </c>
      <c r="U24">
        <v>6.0000000000000002E-5</v>
      </c>
      <c r="V24" t="s">
        <v>569</v>
      </c>
      <c r="W24">
        <v>1.159E-2</v>
      </c>
      <c r="X24">
        <v>2.5000000000000001E-4</v>
      </c>
      <c r="Y24" t="s">
        <v>569</v>
      </c>
      <c r="Z24">
        <v>0.12192</v>
      </c>
      <c r="AA24">
        <v>1.1999999999999999E-3</v>
      </c>
      <c r="AB24" t="s">
        <v>569</v>
      </c>
      <c r="AC24">
        <v>1.0741799999999999</v>
      </c>
      <c r="AD24">
        <v>1.5129999999999999E-2</v>
      </c>
      <c r="AE24" t="s">
        <v>569</v>
      </c>
      <c r="AF24"/>
      <c r="AG24"/>
      <c r="AH24" t="e">
        <v>#DIV/0!</v>
      </c>
      <c r="AI24">
        <v>61.711489999999998</v>
      </c>
      <c r="AJ24">
        <v>0.62151999999999996</v>
      </c>
      <c r="AK24" t="s">
        <v>569</v>
      </c>
      <c r="AL24">
        <v>326.33713</v>
      </c>
      <c r="AM24">
        <v>3.6192199999999999</v>
      </c>
      <c r="AN24" t="s">
        <v>569</v>
      </c>
      <c r="AO24">
        <v>0.10277</v>
      </c>
      <c r="AP24">
        <v>2.49E-3</v>
      </c>
      <c r="AQ24" t="s">
        <v>569</v>
      </c>
      <c r="AR24">
        <v>1.68004</v>
      </c>
      <c r="AS24">
        <v>2.078E-2</v>
      </c>
      <c r="AT24" t="s">
        <v>569</v>
      </c>
      <c r="AU24">
        <v>2.5610000000000001E-2</v>
      </c>
      <c r="AV24">
        <v>1.1299999999999999E-3</v>
      </c>
      <c r="AW24" t="s">
        <v>569</v>
      </c>
      <c r="AX24">
        <v>-5.2999999999999998E-4</v>
      </c>
      <c r="AY24">
        <v>3.2000000000000003E-4</v>
      </c>
      <c r="AZ24" t="s">
        <v>569</v>
      </c>
      <c r="BA24">
        <v>3.9399999999999999E-3</v>
      </c>
      <c r="BB24">
        <v>1.6000000000000001E-4</v>
      </c>
      <c r="BC24" t="s">
        <v>569</v>
      </c>
      <c r="BD24">
        <v>2.7E-4</v>
      </c>
      <c r="BE24">
        <v>6.0000000000000002E-5</v>
      </c>
      <c r="BF24" s="29" t="s">
        <v>570</v>
      </c>
      <c r="BG24">
        <v>5.9000000000000003E-4</v>
      </c>
      <c r="BH24">
        <v>2.5999999999999998E-4</v>
      </c>
      <c r="BI24" t="s">
        <v>569</v>
      </c>
      <c r="BJ24">
        <v>1.5E-3</v>
      </c>
      <c r="BK24">
        <v>2.0000000000000002E-5</v>
      </c>
      <c r="BL24" t="s">
        <v>569</v>
      </c>
      <c r="BM24">
        <v>-8.0000000000000007E-5</v>
      </c>
      <c r="BN24">
        <v>1E-4</v>
      </c>
      <c r="BO24" t="s">
        <v>569</v>
      </c>
      <c r="BP24">
        <v>1.0919999999999999E-2</v>
      </c>
      <c r="BQ24">
        <v>2.9999999999999997E-4</v>
      </c>
      <c r="BR24" t="s">
        <v>569</v>
      </c>
      <c r="BS24"/>
      <c r="BT24"/>
      <c r="BU24" t="e">
        <v>#DIV/0!</v>
      </c>
      <c r="BV24">
        <v>-2.0529600000000001</v>
      </c>
      <c r="BW24">
        <v>3.2000000000000003E-4</v>
      </c>
      <c r="BX24" t="s">
        <v>569</v>
      </c>
      <c r="BY24">
        <v>7.5590000000000004E-2</v>
      </c>
      <c r="BZ24">
        <v>5.0000000000000001E-4</v>
      </c>
      <c r="CA24" t="s">
        <v>569</v>
      </c>
      <c r="CB24">
        <v>11.298999999999999</v>
      </c>
      <c r="CC24">
        <v>4.6739999999999997E-2</v>
      </c>
      <c r="CD24" t="s">
        <v>569</v>
      </c>
      <c r="CE24">
        <v>12.221590000000001</v>
      </c>
      <c r="CF24">
        <v>0.24976000000000001</v>
      </c>
      <c r="CG24" t="s">
        <v>569</v>
      </c>
      <c r="CH24">
        <v>11.48442</v>
      </c>
      <c r="CI24">
        <v>0.14452999999999999</v>
      </c>
      <c r="CJ24" t="s">
        <v>569</v>
      </c>
      <c r="CK24">
        <v>2.65828</v>
      </c>
      <c r="CL24">
        <v>3.4259999999999999E-2</v>
      </c>
      <c r="CM24" t="s">
        <v>569</v>
      </c>
      <c r="CN24">
        <v>597.16007999999999</v>
      </c>
      <c r="CO24">
        <v>17.770140000000001</v>
      </c>
      <c r="CP24" t="s">
        <v>569</v>
      </c>
      <c r="CQ24">
        <v>3.1553499999999999</v>
      </c>
      <c r="CR24">
        <v>7.6509999999999995E-2</v>
      </c>
      <c r="CS24" t="s">
        <v>569</v>
      </c>
      <c r="CT24">
        <v>4.8850800000000003</v>
      </c>
      <c r="CU24">
        <v>0.14438000000000001</v>
      </c>
      <c r="CV24" t="s">
        <v>569</v>
      </c>
      <c r="CW24">
        <v>246.50960000000001</v>
      </c>
      <c r="CX24">
        <v>5.0031400000000001</v>
      </c>
      <c r="CY24" t="s">
        <v>569</v>
      </c>
      <c r="CZ24">
        <v>86.342140000000001</v>
      </c>
      <c r="DA24">
        <v>1.6106400000000001</v>
      </c>
      <c r="DB24" t="s">
        <v>569</v>
      </c>
      <c r="DC24">
        <v>459.36802</v>
      </c>
      <c r="DD24">
        <v>3.6571199999999999</v>
      </c>
      <c r="DE24" t="s">
        <v>569</v>
      </c>
      <c r="DF24">
        <v>38.760530000000003</v>
      </c>
      <c r="DG24">
        <v>0.73501000000000005</v>
      </c>
      <c r="DH24" t="s">
        <v>569</v>
      </c>
      <c r="DI24">
        <v>9.0389999999999998E-2</v>
      </c>
      <c r="DJ24">
        <v>1.6789999999999999E-2</v>
      </c>
      <c r="DK24" t="s">
        <v>569</v>
      </c>
      <c r="DL24">
        <v>7.3800000000000003E-3</v>
      </c>
      <c r="DM24">
        <v>1.8600000000000001E-3</v>
      </c>
      <c r="DN24" t="s">
        <v>569</v>
      </c>
      <c r="DO24">
        <v>0.22541</v>
      </c>
      <c r="DP24">
        <v>7.6499999999999997E-3</v>
      </c>
      <c r="DQ24" t="s">
        <v>569</v>
      </c>
      <c r="DR24">
        <v>2.0216599999999998</v>
      </c>
      <c r="DS24">
        <v>3.7229999999999999E-2</v>
      </c>
      <c r="DT24" t="s">
        <v>569</v>
      </c>
      <c r="DU24">
        <v>13.96707</v>
      </c>
      <c r="DV24">
        <v>0.48927999999999999</v>
      </c>
      <c r="DW24" t="s">
        <v>569</v>
      </c>
      <c r="DX24">
        <v>0.56030999999999997</v>
      </c>
      <c r="DY24">
        <v>1.137E-2</v>
      </c>
      <c r="DZ24" t="s">
        <v>569</v>
      </c>
      <c r="EA24">
        <v>0.34722999999999998</v>
      </c>
      <c r="EB24">
        <v>5.1000000000000004E-3</v>
      </c>
      <c r="EC24" t="s">
        <v>569</v>
      </c>
      <c r="ED24">
        <v>9.4171200000000006</v>
      </c>
      <c r="EE24">
        <v>0.15348000000000001</v>
      </c>
      <c r="EF24" t="s">
        <v>569</v>
      </c>
      <c r="EG24">
        <v>2446.22075</v>
      </c>
      <c r="EH24">
        <v>41.621600000000001</v>
      </c>
      <c r="EI24" t="s">
        <v>569</v>
      </c>
      <c r="EJ24"/>
      <c r="EK24"/>
      <c r="EL24" t="e">
        <v>#DIV/0!</v>
      </c>
      <c r="EM24">
        <v>75.247789999999995</v>
      </c>
      <c r="EN24">
        <v>1.2781800000000001</v>
      </c>
      <c r="EO24" t="s">
        <v>569</v>
      </c>
      <c r="EP24"/>
      <c r="EQ24"/>
      <c r="ER24" t="e">
        <v>#DIV/0!</v>
      </c>
      <c r="ES24">
        <v>828.83</v>
      </c>
      <c r="ET24">
        <v>8.4327500000000004</v>
      </c>
      <c r="EU24" t="s">
        <v>569</v>
      </c>
      <c r="EV24">
        <v>0.12981000000000001</v>
      </c>
      <c r="EW24">
        <v>2.81E-3</v>
      </c>
      <c r="EX24" t="s">
        <v>569</v>
      </c>
      <c r="EY24">
        <v>135.28629000000001</v>
      </c>
      <c r="EZ24">
        <v>1.0756300000000001</v>
      </c>
      <c r="FA24" t="s">
        <v>569</v>
      </c>
      <c r="FB24">
        <v>4.3601099999999997</v>
      </c>
      <c r="FC24">
        <v>0.22144</v>
      </c>
      <c r="FD24" t="s">
        <v>569</v>
      </c>
      <c r="FE24">
        <v>6.1318799999999998</v>
      </c>
      <c r="FF24">
        <v>0.13552</v>
      </c>
      <c r="FG24" t="s">
        <v>569</v>
      </c>
      <c r="FH24"/>
      <c r="FI24"/>
      <c r="FJ24" t="e">
        <v>#DIV/0!</v>
      </c>
      <c r="FK24"/>
      <c r="FL24"/>
      <c r="FM24" t="e">
        <v>#DIV/0!</v>
      </c>
      <c r="FN24">
        <v>74.682540000000003</v>
      </c>
      <c r="FO24">
        <v>1.57203</v>
      </c>
      <c r="FP24" t="s">
        <v>569</v>
      </c>
      <c r="FQ24"/>
      <c r="FR24"/>
      <c r="FS24" t="e">
        <v>#DIV/0!</v>
      </c>
      <c r="FT24">
        <v>2</v>
      </c>
      <c r="FU24"/>
      <c r="FV24"/>
      <c r="FW24">
        <v>65</v>
      </c>
    </row>
    <row r="25" spans="1:179" x14ac:dyDescent="0.2">
      <c r="A25" t="s">
        <v>144</v>
      </c>
      <c r="B25">
        <v>3.8690000000000002E-2</v>
      </c>
      <c r="C25">
        <v>2.7599999999999999E-3</v>
      </c>
      <c r="D25" t="s">
        <v>439</v>
      </c>
      <c r="E25">
        <v>1.346E-2</v>
      </c>
      <c r="F25">
        <v>1.5299999999999999E-3</v>
      </c>
      <c r="G25" t="s">
        <v>439</v>
      </c>
      <c r="H25">
        <v>2.7820000000000001E-2</v>
      </c>
      <c r="I25">
        <v>3.2000000000000003E-4</v>
      </c>
      <c r="J25" t="s">
        <v>442</v>
      </c>
      <c r="K25">
        <v>7.6429999999999998E-2</v>
      </c>
      <c r="L25">
        <v>2.7899999999999999E-3</v>
      </c>
      <c r="M25" t="s">
        <v>442</v>
      </c>
      <c r="N25">
        <v>3.98E-3</v>
      </c>
      <c r="O25">
        <v>8.0000000000000007E-5</v>
      </c>
      <c r="P25" t="s">
        <v>442</v>
      </c>
      <c r="Q25">
        <v>2.4930000000000001E-2</v>
      </c>
      <c r="R25">
        <v>2.5999999999999998E-4</v>
      </c>
      <c r="S25" t="s">
        <v>439</v>
      </c>
      <c r="T25">
        <v>3.8000000000000002E-4</v>
      </c>
      <c r="U25">
        <v>1.2E-4</v>
      </c>
      <c r="V25" t="s">
        <v>439</v>
      </c>
      <c r="W25">
        <v>1.078E-2</v>
      </c>
      <c r="X25">
        <v>5.6999999999999998E-4</v>
      </c>
      <c r="Y25" t="s">
        <v>439</v>
      </c>
      <c r="Z25">
        <v>1.026E-2</v>
      </c>
      <c r="AA25">
        <v>1.7000000000000001E-4</v>
      </c>
      <c r="AB25" t="s">
        <v>442</v>
      </c>
      <c r="AC25">
        <v>4.0169999999999997E-2</v>
      </c>
      <c r="AD25">
        <v>2.6900000000000001E-3</v>
      </c>
      <c r="AE25" t="s">
        <v>442</v>
      </c>
      <c r="AF25"/>
      <c r="AG25"/>
      <c r="AH25" t="s">
        <v>440</v>
      </c>
      <c r="AI25">
        <v>53.815950000000001</v>
      </c>
      <c r="AJ25">
        <v>1.08623</v>
      </c>
      <c r="AK25" t="s">
        <v>441</v>
      </c>
      <c r="AL25">
        <v>6.6935799999999999</v>
      </c>
      <c r="AM25">
        <v>0.16031999999999999</v>
      </c>
      <c r="AN25" t="s">
        <v>442</v>
      </c>
      <c r="AO25">
        <v>-1.4200000000000001E-2</v>
      </c>
      <c r="AP25">
        <v>9.0000000000000006E-5</v>
      </c>
      <c r="AQ25" t="s">
        <v>439</v>
      </c>
      <c r="AR25">
        <v>0.30820999999999998</v>
      </c>
      <c r="AS25">
        <v>5.13E-3</v>
      </c>
      <c r="AT25" t="s">
        <v>442</v>
      </c>
      <c r="AU25">
        <v>-4.4999999999999999E-4</v>
      </c>
      <c r="AV25">
        <v>5.0000000000000002E-5</v>
      </c>
      <c r="AW25" t="s">
        <v>439</v>
      </c>
      <c r="AX25">
        <v>-3.0400000000000002E-3</v>
      </c>
      <c r="AY25">
        <v>2.0000000000000002E-5</v>
      </c>
      <c r="AZ25" t="s">
        <v>439</v>
      </c>
      <c r="BA25">
        <v>2.9199999999999999E-3</v>
      </c>
      <c r="BB25">
        <v>1.2999999999999999E-4</v>
      </c>
      <c r="BC25" t="s">
        <v>442</v>
      </c>
      <c r="BD25">
        <v>3.3E-4</v>
      </c>
      <c r="BE25">
        <v>5.0000000000000002E-5</v>
      </c>
      <c r="BF25" t="s">
        <v>439</v>
      </c>
      <c r="BG25">
        <v>4.8999999999999998E-4</v>
      </c>
      <c r="BH25">
        <v>5.0000000000000002E-5</v>
      </c>
      <c r="BI25" t="s">
        <v>439</v>
      </c>
      <c r="BJ25">
        <v>1.5E-3</v>
      </c>
      <c r="BK25">
        <v>2.0000000000000002E-5</v>
      </c>
      <c r="BL25" t="s">
        <v>439</v>
      </c>
      <c r="BM25">
        <v>-2.3000000000000001E-4</v>
      </c>
      <c r="BN25">
        <v>1.2999999999999999E-4</v>
      </c>
      <c r="BO25" t="s">
        <v>439</v>
      </c>
      <c r="BP25">
        <v>-8.1200000000000005E-3</v>
      </c>
      <c r="BQ25">
        <v>1E-4</v>
      </c>
      <c r="BR25" t="s">
        <v>439</v>
      </c>
      <c r="BS25"/>
      <c r="BT25"/>
      <c r="BU25" t="s">
        <v>440</v>
      </c>
      <c r="BV25">
        <v>-2.05335</v>
      </c>
      <c r="BW25">
        <v>2.0000000000000001E-4</v>
      </c>
      <c r="BX25" t="s">
        <v>439</v>
      </c>
      <c r="BY25">
        <v>3.5899999999999999E-3</v>
      </c>
      <c r="BZ25">
        <v>9.0000000000000006E-5</v>
      </c>
      <c r="CA25" t="s">
        <v>439</v>
      </c>
      <c r="CB25">
        <v>0.11491999999999999</v>
      </c>
      <c r="CC25">
        <v>5.3499999999999997E-3</v>
      </c>
      <c r="CD25" t="s">
        <v>442</v>
      </c>
      <c r="CE25">
        <v>0.13200000000000001</v>
      </c>
      <c r="CF25">
        <v>1.5399999999999999E-3</v>
      </c>
      <c r="CG25" t="s">
        <v>442</v>
      </c>
      <c r="CH25">
        <v>0.10582</v>
      </c>
      <c r="CI25">
        <v>2.99E-3</v>
      </c>
      <c r="CJ25" t="s">
        <v>442</v>
      </c>
      <c r="CK25">
        <v>5.2599999999999999E-3</v>
      </c>
      <c r="CL25">
        <v>9.8999999999999999E-4</v>
      </c>
      <c r="CM25" t="s">
        <v>442</v>
      </c>
      <c r="CN25">
        <v>11.46575</v>
      </c>
      <c r="CO25">
        <v>0.18356</v>
      </c>
      <c r="CP25" t="s">
        <v>442</v>
      </c>
      <c r="CQ25">
        <v>12.600949999999999</v>
      </c>
      <c r="CR25">
        <v>0.29278999999999999</v>
      </c>
      <c r="CS25" t="s">
        <v>442</v>
      </c>
      <c r="CT25">
        <v>14.52825</v>
      </c>
      <c r="CU25">
        <v>0.44785000000000003</v>
      </c>
      <c r="CV25" t="s">
        <v>442</v>
      </c>
      <c r="CW25">
        <v>13.31718</v>
      </c>
      <c r="CX25">
        <v>1.01403</v>
      </c>
      <c r="CY25" t="s">
        <v>442</v>
      </c>
      <c r="CZ25">
        <v>14.6532</v>
      </c>
      <c r="DA25">
        <v>0.44818999999999998</v>
      </c>
      <c r="DB25" t="s">
        <v>442</v>
      </c>
      <c r="DC25">
        <v>2.0856599999999998</v>
      </c>
      <c r="DD25">
        <v>0.18476999999999999</v>
      </c>
      <c r="DE25" t="s">
        <v>442</v>
      </c>
      <c r="DF25">
        <v>27.73122</v>
      </c>
      <c r="DG25">
        <v>0.50005999999999995</v>
      </c>
      <c r="DH25" t="s">
        <v>442</v>
      </c>
      <c r="DI25">
        <v>1.9730000000000001E-2</v>
      </c>
      <c r="DJ25">
        <v>2.16E-3</v>
      </c>
      <c r="DK25" t="s">
        <v>439</v>
      </c>
      <c r="DL25">
        <v>2.81E-3</v>
      </c>
      <c r="DM25">
        <v>2.4000000000000001E-4</v>
      </c>
      <c r="DN25" t="s">
        <v>439</v>
      </c>
      <c r="DO25">
        <v>8.5269999999999999E-2</v>
      </c>
      <c r="DP25">
        <v>2.4299999999999999E-3</v>
      </c>
      <c r="DQ25" t="s">
        <v>442</v>
      </c>
      <c r="DR25">
        <v>5.0529999999999999E-2</v>
      </c>
      <c r="DS25">
        <v>2.8500000000000001E-3</v>
      </c>
      <c r="DT25" t="s">
        <v>442</v>
      </c>
      <c r="DU25">
        <v>1.91679</v>
      </c>
      <c r="DV25">
        <v>5.7209999999999997E-2</v>
      </c>
      <c r="DW25" t="s">
        <v>442</v>
      </c>
      <c r="DX25">
        <v>1.0059999999999999E-2</v>
      </c>
      <c r="DY25">
        <v>3.8000000000000002E-4</v>
      </c>
      <c r="DZ25" t="s">
        <v>439</v>
      </c>
      <c r="EA25">
        <v>0.14202999999999999</v>
      </c>
      <c r="EB25">
        <v>3.5400000000000002E-3</v>
      </c>
      <c r="EC25" t="s">
        <v>442</v>
      </c>
      <c r="ED25">
        <v>1.2451700000000001</v>
      </c>
      <c r="EE25">
        <v>1.3679999999999999E-2</v>
      </c>
      <c r="EF25" t="s">
        <v>442</v>
      </c>
      <c r="EG25">
        <v>45.00658</v>
      </c>
      <c r="EH25">
        <v>0.84579000000000004</v>
      </c>
      <c r="EI25" t="s">
        <v>442</v>
      </c>
      <c r="EJ25"/>
      <c r="EK25"/>
      <c r="EL25" t="s">
        <v>440</v>
      </c>
      <c r="EM25">
        <v>65.841620000000006</v>
      </c>
      <c r="EN25">
        <v>3.5412699999999999</v>
      </c>
      <c r="EO25" t="s">
        <v>442</v>
      </c>
      <c r="EP25"/>
      <c r="EQ25"/>
      <c r="ER25" t="s">
        <v>440</v>
      </c>
      <c r="ES25">
        <v>11.24006</v>
      </c>
      <c r="ET25">
        <v>0.37245</v>
      </c>
      <c r="EU25" t="s">
        <v>442</v>
      </c>
      <c r="EV25">
        <v>7.6000000000000004E-4</v>
      </c>
      <c r="EW25">
        <v>1.8400000000000001E-3</v>
      </c>
      <c r="EX25" t="s">
        <v>439</v>
      </c>
      <c r="EY25">
        <v>0.36747999999999997</v>
      </c>
      <c r="EZ25">
        <v>3.3550000000000003E-2</v>
      </c>
      <c r="FA25" t="s">
        <v>442</v>
      </c>
      <c r="FB25">
        <v>0.10041</v>
      </c>
      <c r="FC25">
        <v>0.10357</v>
      </c>
      <c r="FD25" t="s">
        <v>439</v>
      </c>
      <c r="FE25">
        <v>1.4751000000000001</v>
      </c>
      <c r="FF25">
        <v>9.8820000000000005E-2</v>
      </c>
      <c r="FG25" t="s">
        <v>441</v>
      </c>
      <c r="FH25"/>
      <c r="FI25"/>
      <c r="FJ25" t="s">
        <v>440</v>
      </c>
      <c r="FK25"/>
      <c r="FL25"/>
      <c r="FM25" t="s">
        <v>440</v>
      </c>
      <c r="FN25">
        <v>65.581320000000005</v>
      </c>
      <c r="FO25">
        <v>3.4208799999999999</v>
      </c>
      <c r="FP25" t="s">
        <v>441</v>
      </c>
      <c r="FQ25"/>
      <c r="FR25"/>
      <c r="FS25" t="s">
        <v>440</v>
      </c>
      <c r="FT25">
        <v>2</v>
      </c>
      <c r="FU25"/>
      <c r="FV25"/>
      <c r="FW25">
        <v>77</v>
      </c>
    </row>
    <row r="26" spans="1:179" x14ac:dyDescent="0.2">
      <c r="A26" t="s">
        <v>158</v>
      </c>
      <c r="B26">
        <v>0.29698999999999998</v>
      </c>
      <c r="C26">
        <v>5.4400000000000004E-3</v>
      </c>
      <c r="D26" s="29" t="s">
        <v>570</v>
      </c>
      <c r="E26">
        <v>1.43E-2</v>
      </c>
      <c r="F26">
        <v>3.5100000000000001E-3</v>
      </c>
      <c r="G26" t="s">
        <v>569</v>
      </c>
      <c r="H26">
        <v>4.5573300000000003</v>
      </c>
      <c r="I26">
        <v>9.5469999999999999E-2</v>
      </c>
      <c r="J26" s="29" t="s">
        <v>570</v>
      </c>
      <c r="K26">
        <v>0.10013</v>
      </c>
      <c r="L26">
        <v>2.0999999999999999E-3</v>
      </c>
      <c r="M26" s="29" t="s">
        <v>570</v>
      </c>
      <c r="N26">
        <v>3.8300000000000001E-3</v>
      </c>
      <c r="O26">
        <v>1.0000000000000001E-5</v>
      </c>
      <c r="P26" t="s">
        <v>569</v>
      </c>
      <c r="Q26">
        <v>0.25657999999999997</v>
      </c>
      <c r="R26">
        <v>6.7000000000000002E-4</v>
      </c>
      <c r="S26" s="29" t="s">
        <v>570</v>
      </c>
      <c r="T26">
        <v>1.1800000000000001E-3</v>
      </c>
      <c r="U26">
        <v>4.0000000000000003E-5</v>
      </c>
      <c r="V26" s="29" t="s">
        <v>570</v>
      </c>
      <c r="W26">
        <v>1.115E-2</v>
      </c>
      <c r="X26">
        <v>7.3999999999999999E-4</v>
      </c>
      <c r="Y26" t="s">
        <v>569</v>
      </c>
      <c r="Z26">
        <v>0.31697999999999998</v>
      </c>
      <c r="AA26">
        <v>4.9100000000000003E-3</v>
      </c>
      <c r="AB26" s="29" t="s">
        <v>570</v>
      </c>
      <c r="AC26">
        <v>2.28844</v>
      </c>
      <c r="AD26">
        <v>4.9950000000000001E-2</v>
      </c>
      <c r="AE26" s="29" t="s">
        <v>570</v>
      </c>
      <c r="AF26"/>
      <c r="AG26"/>
      <c r="AH26" t="e">
        <v>#DIV/0!</v>
      </c>
      <c r="AI26">
        <v>45.869239999999998</v>
      </c>
      <c r="AJ26">
        <v>1.5720700000000001</v>
      </c>
      <c r="AK26" t="s">
        <v>569</v>
      </c>
      <c r="AL26">
        <v>267.55043999999998</v>
      </c>
      <c r="AM26">
        <v>8.0659299999999998</v>
      </c>
      <c r="AN26" s="29" t="s">
        <v>570</v>
      </c>
      <c r="AO26">
        <v>0.18138000000000001</v>
      </c>
      <c r="AP26">
        <v>4.7800000000000004E-3</v>
      </c>
      <c r="AQ26" s="29" t="s">
        <v>570</v>
      </c>
      <c r="AR26">
        <v>6.7180099999999996</v>
      </c>
      <c r="AS26">
        <v>0.18532999999999999</v>
      </c>
      <c r="AT26" s="29" t="s">
        <v>570</v>
      </c>
      <c r="AU26">
        <v>1.695E-2</v>
      </c>
      <c r="AV26">
        <v>4.6999999999999999E-4</v>
      </c>
      <c r="AW26" s="29" t="s">
        <v>570</v>
      </c>
      <c r="AX26">
        <v>-2.81E-3</v>
      </c>
      <c r="AY26">
        <v>1.8000000000000001E-4</v>
      </c>
      <c r="AZ26" t="s">
        <v>569</v>
      </c>
      <c r="BA26">
        <v>2.7399999999999998E-3</v>
      </c>
      <c r="BB26">
        <v>1.2E-4</v>
      </c>
      <c r="BC26" t="s">
        <v>569</v>
      </c>
      <c r="BD26">
        <v>7.7999999999999999E-4</v>
      </c>
      <c r="BE26">
        <v>2.4000000000000001E-4</v>
      </c>
      <c r="BF26" s="29" t="s">
        <v>570</v>
      </c>
      <c r="BG26">
        <v>1.9000000000000001E-4</v>
      </c>
      <c r="BH26">
        <v>8.0000000000000007E-5</v>
      </c>
      <c r="BI26" s="29" t="s">
        <v>570</v>
      </c>
      <c r="BJ26">
        <v>1.5200000000000001E-3</v>
      </c>
      <c r="BK26">
        <v>2.0000000000000002E-5</v>
      </c>
      <c r="BL26" t="s">
        <v>569</v>
      </c>
      <c r="BM26">
        <v>-1.9000000000000001E-4</v>
      </c>
      <c r="BN26">
        <v>6.0000000000000002E-5</v>
      </c>
      <c r="BO26" t="s">
        <v>569</v>
      </c>
      <c r="BP26">
        <v>3.3829999999999999E-2</v>
      </c>
      <c r="BQ26">
        <v>3.6999999999999999E-4</v>
      </c>
      <c r="BR26" s="29" t="s">
        <v>570</v>
      </c>
      <c r="BS26"/>
      <c r="BT26"/>
      <c r="BU26" t="e">
        <v>#DIV/0!</v>
      </c>
      <c r="BV26">
        <v>-2.05355</v>
      </c>
      <c r="BW26">
        <v>5.0000000000000001E-4</v>
      </c>
      <c r="BX26" t="s">
        <v>569</v>
      </c>
      <c r="BY26">
        <v>4.8680000000000001E-2</v>
      </c>
      <c r="BZ26">
        <v>1.0499999999999999E-3</v>
      </c>
      <c r="CA26" s="29" t="s">
        <v>570</v>
      </c>
      <c r="CB26">
        <v>14.175269999999999</v>
      </c>
      <c r="CC26">
        <v>0.38904</v>
      </c>
      <c r="CD26" s="29" t="s">
        <v>570</v>
      </c>
      <c r="CE26">
        <v>13.676019999999999</v>
      </c>
      <c r="CF26">
        <v>0.47311999999999999</v>
      </c>
      <c r="CG26" s="29" t="s">
        <v>570</v>
      </c>
      <c r="CH26">
        <v>14.008749999999999</v>
      </c>
      <c r="CI26">
        <v>0.42321999999999999</v>
      </c>
      <c r="CJ26" s="29" t="s">
        <v>570</v>
      </c>
      <c r="CK26">
        <v>1.9940899999999999</v>
      </c>
      <c r="CL26">
        <v>3.3410000000000002E-2</v>
      </c>
      <c r="CM26" s="29" t="s">
        <v>570</v>
      </c>
      <c r="CN26">
        <v>748.73545999999999</v>
      </c>
      <c r="CO26">
        <v>7.7944899999999997</v>
      </c>
      <c r="CP26" s="29" t="s">
        <v>570</v>
      </c>
      <c r="CQ26">
        <v>1.6349899999999999</v>
      </c>
      <c r="CR26">
        <v>5.2560000000000003E-2</v>
      </c>
      <c r="CS26" s="29" t="s">
        <v>570</v>
      </c>
      <c r="CT26">
        <v>2.9627500000000002</v>
      </c>
      <c r="CU26">
        <v>0.14419000000000001</v>
      </c>
      <c r="CV26" s="29" t="s">
        <v>570</v>
      </c>
      <c r="CW26">
        <v>267.61277999999999</v>
      </c>
      <c r="CX26">
        <v>3.3210600000000001</v>
      </c>
      <c r="CY26" s="29" t="s">
        <v>570</v>
      </c>
      <c r="CZ26">
        <v>157.85980000000001</v>
      </c>
      <c r="DA26">
        <v>5.4803600000000001</v>
      </c>
      <c r="DB26" s="29" t="s">
        <v>570</v>
      </c>
      <c r="DC26">
        <v>624.86557000000005</v>
      </c>
      <c r="DD26">
        <v>8.9222000000000001</v>
      </c>
      <c r="DE26" s="29" t="s">
        <v>570</v>
      </c>
      <c r="DF26">
        <v>26.68563</v>
      </c>
      <c r="DG26">
        <v>0.57245000000000001</v>
      </c>
      <c r="DH26" t="s">
        <v>569</v>
      </c>
      <c r="DI26">
        <v>5.8229999999999997E-2</v>
      </c>
      <c r="DJ26">
        <v>0.01</v>
      </c>
      <c r="DK26" s="29" t="s">
        <v>570</v>
      </c>
      <c r="DL26">
        <v>7.1900000000000002E-3</v>
      </c>
      <c r="DM26">
        <v>4.8999999999999998E-4</v>
      </c>
      <c r="DN26" s="29" t="s">
        <v>570</v>
      </c>
      <c r="DO26">
        <v>0.35164000000000001</v>
      </c>
      <c r="DP26">
        <v>6.0999999999999997E-4</v>
      </c>
      <c r="DQ26" s="29" t="s">
        <v>570</v>
      </c>
      <c r="DR26">
        <v>1.44103</v>
      </c>
      <c r="DS26">
        <v>1.14E-3</v>
      </c>
      <c r="DT26" s="29" t="s">
        <v>570</v>
      </c>
      <c r="DU26">
        <v>10.345459999999999</v>
      </c>
      <c r="DV26">
        <v>5.8259999999999999E-2</v>
      </c>
      <c r="DW26" s="29" t="s">
        <v>570</v>
      </c>
      <c r="DX26">
        <v>0.42758000000000002</v>
      </c>
      <c r="DY26">
        <v>6.8599999999999998E-3</v>
      </c>
      <c r="DZ26" s="29" t="s">
        <v>570</v>
      </c>
      <c r="EA26">
        <v>1.0561199999999999</v>
      </c>
      <c r="EB26">
        <v>2.009E-2</v>
      </c>
      <c r="EC26" s="29" t="s">
        <v>570</v>
      </c>
      <c r="ED26">
        <v>9.2225599999999996</v>
      </c>
      <c r="EE26">
        <v>6.7680000000000004E-2</v>
      </c>
      <c r="EF26" s="29" t="s">
        <v>570</v>
      </c>
      <c r="EG26">
        <v>3759.7546000000002</v>
      </c>
      <c r="EH26">
        <v>26.741530000000001</v>
      </c>
      <c r="EI26" s="29" t="s">
        <v>570</v>
      </c>
      <c r="EJ26"/>
      <c r="EK26"/>
      <c r="EL26" t="e">
        <v>#DIV/0!</v>
      </c>
      <c r="EM26">
        <v>54.784439999999996</v>
      </c>
      <c r="EN26">
        <v>0.47704999999999997</v>
      </c>
      <c r="EO26" t="s">
        <v>569</v>
      </c>
      <c r="EP26"/>
      <c r="EQ26"/>
      <c r="ER26" t="e">
        <v>#DIV/0!</v>
      </c>
      <c r="ES26">
        <v>1314.96136</v>
      </c>
      <c r="ET26">
        <v>17.898319999999998</v>
      </c>
      <c r="EU26" s="29" t="s">
        <v>570</v>
      </c>
      <c r="EV26">
        <v>0.24657000000000001</v>
      </c>
      <c r="EW26">
        <v>1.0670000000000001E-2</v>
      </c>
      <c r="EX26" s="29" t="s">
        <v>570</v>
      </c>
      <c r="EY26">
        <v>164.66354000000001</v>
      </c>
      <c r="EZ26">
        <v>2.6078600000000001</v>
      </c>
      <c r="FA26" s="29" t="s">
        <v>570</v>
      </c>
      <c r="FB26">
        <v>2.8555600000000001</v>
      </c>
      <c r="FC26">
        <v>0.50895999999999997</v>
      </c>
      <c r="FD26" s="29" t="s">
        <v>570</v>
      </c>
      <c r="FE26">
        <v>6.1836099999999998</v>
      </c>
      <c r="FF26">
        <v>0.11888</v>
      </c>
      <c r="FG26" s="29" t="s">
        <v>570</v>
      </c>
      <c r="FH26"/>
      <c r="FI26"/>
      <c r="FJ26" t="e">
        <v>#DIV/0!</v>
      </c>
      <c r="FK26"/>
      <c r="FL26"/>
      <c r="FM26" t="e">
        <v>#DIV/0!</v>
      </c>
      <c r="FN26">
        <v>53.955440000000003</v>
      </c>
      <c r="FO26">
        <v>0.41221000000000002</v>
      </c>
      <c r="FP26" t="s">
        <v>569</v>
      </c>
      <c r="FQ26"/>
      <c r="FR26"/>
      <c r="FS26" t="e">
        <v>#DIV/0!</v>
      </c>
      <c r="FT26">
        <v>2</v>
      </c>
      <c r="FU26"/>
      <c r="FV26"/>
      <c r="FW26">
        <v>91</v>
      </c>
    </row>
    <row r="27" spans="1:179" x14ac:dyDescent="0.2">
      <c r="A27" t="s">
        <v>137</v>
      </c>
      <c r="B27">
        <v>0.20877999999999999</v>
      </c>
      <c r="C27">
        <v>3.46E-3</v>
      </c>
      <c r="D27" t="s">
        <v>442</v>
      </c>
      <c r="E27">
        <v>1.341E-2</v>
      </c>
      <c r="F27">
        <v>1.64E-3</v>
      </c>
      <c r="G27" t="s">
        <v>439</v>
      </c>
      <c r="H27">
        <v>2.35846</v>
      </c>
      <c r="I27">
        <v>3.5580000000000001E-2</v>
      </c>
      <c r="J27" t="s">
        <v>442</v>
      </c>
      <c r="K27">
        <v>7.689E-2</v>
      </c>
      <c r="L27">
        <v>1.92E-3</v>
      </c>
      <c r="M27" t="s">
        <v>442</v>
      </c>
      <c r="N27">
        <v>3.3600000000000001E-3</v>
      </c>
      <c r="O27">
        <v>5.0000000000000002E-5</v>
      </c>
      <c r="P27" t="s">
        <v>439</v>
      </c>
      <c r="Q27">
        <v>0.17685000000000001</v>
      </c>
      <c r="R27">
        <v>2.0699999999999998E-3</v>
      </c>
      <c r="S27" t="s">
        <v>442</v>
      </c>
      <c r="T27">
        <v>9.8999999999999999E-4</v>
      </c>
      <c r="U27">
        <v>6.9999999999999994E-5</v>
      </c>
      <c r="V27" t="s">
        <v>439</v>
      </c>
      <c r="W27">
        <v>1.247E-2</v>
      </c>
      <c r="X27">
        <v>6.4999999999999997E-4</v>
      </c>
      <c r="Y27" t="s">
        <v>439</v>
      </c>
      <c r="Z27">
        <v>0.22877</v>
      </c>
      <c r="AA27">
        <v>1.4499999999999999E-3</v>
      </c>
      <c r="AB27" t="s">
        <v>442</v>
      </c>
      <c r="AC27">
        <v>1.78487</v>
      </c>
      <c r="AD27">
        <v>3.1460000000000002E-2</v>
      </c>
      <c r="AE27" t="s">
        <v>442</v>
      </c>
      <c r="AF27"/>
      <c r="AG27"/>
      <c r="AH27" t="s">
        <v>440</v>
      </c>
      <c r="AI27">
        <v>36.501730000000002</v>
      </c>
      <c r="AJ27">
        <v>0.55447000000000002</v>
      </c>
      <c r="AK27" t="s">
        <v>441</v>
      </c>
      <c r="AL27">
        <v>222.34289999999999</v>
      </c>
      <c r="AM27">
        <v>1.8080000000000001</v>
      </c>
      <c r="AN27" t="s">
        <v>442</v>
      </c>
      <c r="AO27">
        <v>6.8409999999999999E-2</v>
      </c>
      <c r="AP27">
        <v>1E-3</v>
      </c>
      <c r="AQ27" t="s">
        <v>442</v>
      </c>
      <c r="AR27">
        <v>1.35869</v>
      </c>
      <c r="AS27">
        <v>4.8999999999999998E-3</v>
      </c>
      <c r="AT27" t="s">
        <v>442</v>
      </c>
      <c r="AU27">
        <v>1.362E-2</v>
      </c>
      <c r="AV27">
        <v>1.9000000000000001E-4</v>
      </c>
      <c r="AW27" t="s">
        <v>442</v>
      </c>
      <c r="AX27">
        <v>-4.6600000000000001E-3</v>
      </c>
      <c r="AY27">
        <v>3.0000000000000001E-5</v>
      </c>
      <c r="AZ27" t="s">
        <v>439</v>
      </c>
      <c r="BA27">
        <v>1.9599999999999999E-3</v>
      </c>
      <c r="BB27">
        <v>1.4999999999999999E-4</v>
      </c>
      <c r="BC27" t="s">
        <v>439</v>
      </c>
      <c r="BD27">
        <v>2.9999999999999997E-4</v>
      </c>
      <c r="BE27">
        <v>3.5E-4</v>
      </c>
      <c r="BF27" t="s">
        <v>439</v>
      </c>
      <c r="BG27">
        <v>4.0000000000000002E-4</v>
      </c>
      <c r="BH27">
        <v>1.3999999999999999E-4</v>
      </c>
      <c r="BI27" t="s">
        <v>439</v>
      </c>
      <c r="BJ27">
        <v>1.5200000000000001E-3</v>
      </c>
      <c r="BK27">
        <v>2.0000000000000002E-5</v>
      </c>
      <c r="BL27" t="s">
        <v>439</v>
      </c>
      <c r="BM27">
        <v>-2.7E-4</v>
      </c>
      <c r="BN27">
        <v>1.2E-4</v>
      </c>
      <c r="BO27" t="s">
        <v>439</v>
      </c>
      <c r="BP27">
        <v>3.2870000000000003E-2</v>
      </c>
      <c r="BQ27">
        <v>5.9999999999999995E-4</v>
      </c>
      <c r="BR27" t="s">
        <v>442</v>
      </c>
      <c r="BS27"/>
      <c r="BT27"/>
      <c r="BU27" t="s">
        <v>440</v>
      </c>
      <c r="BV27">
        <v>-2.0531799999999998</v>
      </c>
      <c r="BW27">
        <v>6.0999999999999997E-4</v>
      </c>
      <c r="BX27" t="s">
        <v>439</v>
      </c>
      <c r="BY27">
        <v>4.7789999999999999E-2</v>
      </c>
      <c r="BZ27">
        <v>5.4000000000000001E-4</v>
      </c>
      <c r="CA27" t="s">
        <v>442</v>
      </c>
      <c r="CB27">
        <v>9.8158700000000003</v>
      </c>
      <c r="CC27">
        <v>5.9200000000000003E-2</v>
      </c>
      <c r="CD27" t="s">
        <v>442</v>
      </c>
      <c r="CE27">
        <v>9.6147799999999997</v>
      </c>
      <c r="CF27">
        <v>5.5019999999999999E-2</v>
      </c>
      <c r="CG27" t="s">
        <v>442</v>
      </c>
      <c r="CH27">
        <v>9.2514699999999994</v>
      </c>
      <c r="CI27">
        <v>6.2880000000000005E-2</v>
      </c>
      <c r="CJ27" t="s">
        <v>442</v>
      </c>
      <c r="CK27">
        <v>1.0857600000000001</v>
      </c>
      <c r="CL27">
        <v>7.0600000000000003E-3</v>
      </c>
      <c r="CM27" t="s">
        <v>442</v>
      </c>
      <c r="CN27">
        <v>650.18528000000003</v>
      </c>
      <c r="CO27">
        <v>3.9145500000000002</v>
      </c>
      <c r="CP27" t="s">
        <v>442</v>
      </c>
      <c r="CQ27">
        <v>1.0739799999999999</v>
      </c>
      <c r="CR27">
        <v>3.354E-2</v>
      </c>
      <c r="CS27" t="s">
        <v>442</v>
      </c>
      <c r="CT27">
        <v>1.83856</v>
      </c>
      <c r="CU27">
        <v>2.324E-2</v>
      </c>
      <c r="CV27" t="s">
        <v>442</v>
      </c>
      <c r="CW27">
        <v>225.78693000000001</v>
      </c>
      <c r="CX27">
        <v>2.0033099999999999</v>
      </c>
      <c r="CY27" t="s">
        <v>442</v>
      </c>
      <c r="CZ27">
        <v>135.96511000000001</v>
      </c>
      <c r="DA27">
        <v>2.9626399999999999</v>
      </c>
      <c r="DB27" t="s">
        <v>442</v>
      </c>
      <c r="DC27">
        <v>127.49164</v>
      </c>
      <c r="DD27">
        <v>1.6719900000000001</v>
      </c>
      <c r="DE27" t="s">
        <v>442</v>
      </c>
      <c r="DF27">
        <v>19.541409999999999</v>
      </c>
      <c r="DG27">
        <v>0.32345000000000002</v>
      </c>
      <c r="DH27" t="s">
        <v>442</v>
      </c>
      <c r="DI27">
        <v>1.5709999999999998E-2</v>
      </c>
      <c r="DJ27">
        <v>1.73E-3</v>
      </c>
      <c r="DK27" t="s">
        <v>439</v>
      </c>
      <c r="DL27">
        <v>6.0400000000000002E-3</v>
      </c>
      <c r="DM27">
        <v>6.0999999999999997E-4</v>
      </c>
      <c r="DN27" t="s">
        <v>442</v>
      </c>
      <c r="DO27">
        <v>0.23563000000000001</v>
      </c>
      <c r="DP27">
        <v>3.0899999999999999E-3</v>
      </c>
      <c r="DQ27" t="s">
        <v>442</v>
      </c>
      <c r="DR27">
        <v>1.38761</v>
      </c>
      <c r="DS27">
        <v>1.575E-2</v>
      </c>
      <c r="DT27" t="s">
        <v>442</v>
      </c>
      <c r="DU27">
        <v>3.0134799999999999</v>
      </c>
      <c r="DV27">
        <v>6.2719999999999998E-2</v>
      </c>
      <c r="DW27" t="s">
        <v>442</v>
      </c>
      <c r="DX27">
        <v>0.41699999999999998</v>
      </c>
      <c r="DY27">
        <v>3.5999999999999999E-3</v>
      </c>
      <c r="DZ27" t="s">
        <v>442</v>
      </c>
      <c r="EA27">
        <v>0.19422</v>
      </c>
      <c r="EB27">
        <v>4.45E-3</v>
      </c>
      <c r="EC27" t="s">
        <v>442</v>
      </c>
      <c r="ED27">
        <v>12.461309999999999</v>
      </c>
      <c r="EE27">
        <v>9.4490000000000005E-2</v>
      </c>
      <c r="EF27" t="s">
        <v>442</v>
      </c>
      <c r="EG27">
        <v>2624.9021899999998</v>
      </c>
      <c r="EH27">
        <v>19.92296</v>
      </c>
      <c r="EI27" t="s">
        <v>442</v>
      </c>
      <c r="EJ27"/>
      <c r="EK27"/>
      <c r="EL27" t="s">
        <v>440</v>
      </c>
      <c r="EM27">
        <v>42.887300000000003</v>
      </c>
      <c r="EN27">
        <v>0.67557999999999996</v>
      </c>
      <c r="EO27" t="s">
        <v>442</v>
      </c>
      <c r="EP27"/>
      <c r="EQ27"/>
      <c r="ER27" t="s">
        <v>440</v>
      </c>
      <c r="ES27">
        <v>816.17958999999996</v>
      </c>
      <c r="ET27">
        <v>5.97872</v>
      </c>
      <c r="EU27" t="s">
        <v>442</v>
      </c>
      <c r="EV27">
        <v>6.2700000000000006E-2</v>
      </c>
      <c r="EW27">
        <v>6.2599999999999999E-3</v>
      </c>
      <c r="EX27" t="s">
        <v>442</v>
      </c>
      <c r="EY27">
        <v>32.754130000000004</v>
      </c>
      <c r="EZ27">
        <v>0.53346000000000005</v>
      </c>
      <c r="FA27" t="s">
        <v>442</v>
      </c>
      <c r="FB27">
        <v>1.0666500000000001</v>
      </c>
      <c r="FC27">
        <v>5.2670000000000002E-2</v>
      </c>
      <c r="FD27" t="s">
        <v>439</v>
      </c>
      <c r="FE27">
        <v>5.0286799999999996</v>
      </c>
      <c r="FF27">
        <v>0.25389</v>
      </c>
      <c r="FG27" t="s">
        <v>441</v>
      </c>
      <c r="FH27"/>
      <c r="FI27"/>
      <c r="FJ27" t="s">
        <v>440</v>
      </c>
      <c r="FK27"/>
      <c r="FL27"/>
      <c r="FM27" t="s">
        <v>440</v>
      </c>
      <c r="FN27">
        <v>42.615749999999998</v>
      </c>
      <c r="FO27">
        <v>0.40621000000000002</v>
      </c>
      <c r="FP27" t="s">
        <v>441</v>
      </c>
      <c r="FQ27"/>
      <c r="FR27"/>
      <c r="FS27" t="s">
        <v>440</v>
      </c>
      <c r="FT27">
        <v>2</v>
      </c>
      <c r="FU27"/>
      <c r="FV27"/>
      <c r="FW27">
        <v>70</v>
      </c>
    </row>
    <row r="28" spans="1:179" x14ac:dyDescent="0.2">
      <c r="A28" t="s">
        <v>145</v>
      </c>
      <c r="B28">
        <v>0.20285</v>
      </c>
      <c r="C28">
        <v>2.4199999999999998E-3</v>
      </c>
      <c r="D28" t="s">
        <v>569</v>
      </c>
      <c r="E28">
        <v>1.328E-2</v>
      </c>
      <c r="F28">
        <v>1.07E-3</v>
      </c>
      <c r="G28" t="s">
        <v>569</v>
      </c>
      <c r="H28">
        <v>2.2954500000000002</v>
      </c>
      <c r="I28">
        <v>2.2519999999999998E-2</v>
      </c>
      <c r="J28" t="s">
        <v>569</v>
      </c>
      <c r="K28">
        <v>7.1010000000000004E-2</v>
      </c>
      <c r="L28">
        <v>1.5499999999999999E-3</v>
      </c>
      <c r="M28" t="s">
        <v>569</v>
      </c>
      <c r="N28">
        <v>3.3400000000000001E-3</v>
      </c>
      <c r="O28">
        <v>4.0000000000000003E-5</v>
      </c>
      <c r="P28" t="s">
        <v>569</v>
      </c>
      <c r="Q28">
        <v>0.1731</v>
      </c>
      <c r="R28">
        <v>3.4099999999999998E-3</v>
      </c>
      <c r="S28" t="s">
        <v>569</v>
      </c>
      <c r="T28">
        <v>1.01E-3</v>
      </c>
      <c r="U28">
        <v>3.0000000000000001E-5</v>
      </c>
      <c r="V28" t="s">
        <v>569</v>
      </c>
      <c r="W28">
        <v>1.197E-2</v>
      </c>
      <c r="X28">
        <v>5.9000000000000003E-4</v>
      </c>
      <c r="Y28" t="s">
        <v>569</v>
      </c>
      <c r="Z28">
        <v>0.22917999999999999</v>
      </c>
      <c r="AA28">
        <v>2.3999999999999998E-3</v>
      </c>
      <c r="AB28" t="s">
        <v>569</v>
      </c>
      <c r="AC28">
        <v>1.7463200000000001</v>
      </c>
      <c r="AD28">
        <v>2.479E-2</v>
      </c>
      <c r="AE28" t="s">
        <v>569</v>
      </c>
      <c r="AF28"/>
      <c r="AG28"/>
      <c r="AH28" t="e">
        <v>#DIV/0!</v>
      </c>
      <c r="AI28">
        <v>35.802140000000001</v>
      </c>
      <c r="AJ28">
        <v>0.51707000000000003</v>
      </c>
      <c r="AK28" t="s">
        <v>569</v>
      </c>
      <c r="AL28">
        <v>221.32509999999999</v>
      </c>
      <c r="AM28">
        <v>1.11487</v>
      </c>
      <c r="AN28" t="s">
        <v>569</v>
      </c>
      <c r="AO28">
        <v>6.7059999999999995E-2</v>
      </c>
      <c r="AP28">
        <v>6.4999999999999997E-4</v>
      </c>
      <c r="AQ28" t="s">
        <v>569</v>
      </c>
      <c r="AR28">
        <v>1.3526400000000001</v>
      </c>
      <c r="AS28">
        <v>8.9300000000000004E-3</v>
      </c>
      <c r="AT28" t="s">
        <v>569</v>
      </c>
      <c r="AU28">
        <v>1.3679999999999999E-2</v>
      </c>
      <c r="AV28">
        <v>4.0000000000000002E-4</v>
      </c>
      <c r="AW28" t="s">
        <v>569</v>
      </c>
      <c r="AX28">
        <v>-4.64E-3</v>
      </c>
      <c r="AY28">
        <v>3.0000000000000001E-5</v>
      </c>
      <c r="AZ28" t="s">
        <v>569</v>
      </c>
      <c r="BA28">
        <v>2.1800000000000001E-3</v>
      </c>
      <c r="BB28">
        <v>8.0000000000000007E-5</v>
      </c>
      <c r="BC28" t="s">
        <v>569</v>
      </c>
      <c r="BD28">
        <v>1.9000000000000001E-4</v>
      </c>
      <c r="BE28">
        <v>1.2E-4</v>
      </c>
      <c r="BF28" s="29" t="s">
        <v>570</v>
      </c>
      <c r="BG28">
        <v>3.2000000000000003E-4</v>
      </c>
      <c r="BH28">
        <v>2.5000000000000001E-4</v>
      </c>
      <c r="BI28" s="29" t="s">
        <v>570</v>
      </c>
      <c r="BJ28">
        <v>1.5299999999999999E-3</v>
      </c>
      <c r="BK28">
        <v>2.0000000000000002E-5</v>
      </c>
      <c r="BL28" t="s">
        <v>569</v>
      </c>
      <c r="BM28">
        <v>-3.1E-4</v>
      </c>
      <c r="BN28">
        <v>2.0000000000000002E-5</v>
      </c>
      <c r="BO28" t="s">
        <v>569</v>
      </c>
      <c r="BP28">
        <v>3.1710000000000002E-2</v>
      </c>
      <c r="BQ28">
        <v>5.9000000000000003E-4</v>
      </c>
      <c r="BR28" t="s">
        <v>569</v>
      </c>
      <c r="BS28"/>
      <c r="BT28"/>
      <c r="BU28" t="e">
        <v>#DIV/0!</v>
      </c>
      <c r="BV28">
        <v>-2.0536799999999999</v>
      </c>
      <c r="BW28">
        <v>2.7E-4</v>
      </c>
      <c r="BX28" t="s">
        <v>569</v>
      </c>
      <c r="BY28">
        <v>4.6350000000000002E-2</v>
      </c>
      <c r="BZ28">
        <v>1.2E-4</v>
      </c>
      <c r="CA28" t="s">
        <v>569</v>
      </c>
      <c r="CB28">
        <v>9.6728299999999994</v>
      </c>
      <c r="CC28">
        <v>0.14929000000000001</v>
      </c>
      <c r="CD28" t="s">
        <v>569</v>
      </c>
      <c r="CE28">
        <v>9.5592799999999993</v>
      </c>
      <c r="CF28">
        <v>5.2630000000000003E-2</v>
      </c>
      <c r="CG28" t="s">
        <v>569</v>
      </c>
      <c r="CH28">
        <v>9.1967099999999995</v>
      </c>
      <c r="CI28">
        <v>0.12138</v>
      </c>
      <c r="CJ28" t="s">
        <v>569</v>
      </c>
      <c r="CK28">
        <v>1.0664400000000001</v>
      </c>
      <c r="CL28">
        <v>1.6910000000000001E-2</v>
      </c>
      <c r="CM28" t="s">
        <v>569</v>
      </c>
      <c r="CN28">
        <v>653.53962999999999</v>
      </c>
      <c r="CO28">
        <v>11.4892</v>
      </c>
      <c r="CP28" t="s">
        <v>569</v>
      </c>
      <c r="CQ28">
        <v>1.09335</v>
      </c>
      <c r="CR28">
        <v>4.0629999999999999E-2</v>
      </c>
      <c r="CS28" t="s">
        <v>569</v>
      </c>
      <c r="CT28">
        <v>1.8502700000000001</v>
      </c>
      <c r="CU28">
        <v>6.9980000000000001E-2</v>
      </c>
      <c r="CV28" t="s">
        <v>569</v>
      </c>
      <c r="CW28">
        <v>224.77825000000001</v>
      </c>
      <c r="CX28">
        <v>6.7979099999999999</v>
      </c>
      <c r="CY28" t="s">
        <v>569</v>
      </c>
      <c r="CZ28">
        <v>136.46575000000001</v>
      </c>
      <c r="DA28">
        <v>2.8851200000000001</v>
      </c>
      <c r="DB28" t="s">
        <v>569</v>
      </c>
      <c r="DC28">
        <v>128.55013</v>
      </c>
      <c r="DD28">
        <v>3.2608899999999998</v>
      </c>
      <c r="DE28" t="s">
        <v>569</v>
      </c>
      <c r="DF28">
        <v>19.927479999999999</v>
      </c>
      <c r="DG28">
        <v>0.46457999999999999</v>
      </c>
      <c r="DH28" t="s">
        <v>569</v>
      </c>
      <c r="DI28">
        <v>2.4969999999999999E-2</v>
      </c>
      <c r="DJ28">
        <v>1.0970000000000001E-2</v>
      </c>
      <c r="DK28" s="29" t="s">
        <v>570</v>
      </c>
      <c r="DL28">
        <v>5.8799999999999998E-3</v>
      </c>
      <c r="DM28">
        <v>4.6000000000000001E-4</v>
      </c>
      <c r="DN28" t="s">
        <v>569</v>
      </c>
      <c r="DO28">
        <v>0.23835000000000001</v>
      </c>
      <c r="DP28">
        <v>6.9899999999999997E-3</v>
      </c>
      <c r="DQ28" t="s">
        <v>569</v>
      </c>
      <c r="DR28">
        <v>1.4007799999999999</v>
      </c>
      <c r="DS28">
        <v>4.3200000000000002E-2</v>
      </c>
      <c r="DT28" t="s">
        <v>569</v>
      </c>
      <c r="DU28">
        <v>3.03803</v>
      </c>
      <c r="DV28">
        <v>9.2719999999999997E-2</v>
      </c>
      <c r="DW28" t="s">
        <v>569</v>
      </c>
      <c r="DX28">
        <v>0.42294999999999999</v>
      </c>
      <c r="DY28">
        <v>1.3220000000000001E-2</v>
      </c>
      <c r="DZ28" t="s">
        <v>569</v>
      </c>
      <c r="EA28">
        <v>0.19999</v>
      </c>
      <c r="EB28">
        <v>6.11E-3</v>
      </c>
      <c r="EC28" t="s">
        <v>569</v>
      </c>
      <c r="ED28">
        <v>12.579179999999999</v>
      </c>
      <c r="EE28">
        <v>0.36880000000000002</v>
      </c>
      <c r="EF28" t="s">
        <v>569</v>
      </c>
      <c r="EG28">
        <v>2634.1298999999999</v>
      </c>
      <c r="EH28">
        <v>87.342669999999998</v>
      </c>
      <c r="EI28" t="s">
        <v>569</v>
      </c>
      <c r="EJ28"/>
      <c r="EK28"/>
      <c r="EL28" t="e">
        <v>#DIV/0!</v>
      </c>
      <c r="EM28">
        <v>43.726379999999999</v>
      </c>
      <c r="EN28">
        <v>1.4007700000000001</v>
      </c>
      <c r="EO28" t="s">
        <v>569</v>
      </c>
      <c r="EP28"/>
      <c r="EQ28"/>
      <c r="ER28" t="e">
        <v>#DIV/0!</v>
      </c>
      <c r="ES28">
        <v>801.78743999999995</v>
      </c>
      <c r="ET28">
        <v>8.6128900000000002</v>
      </c>
      <c r="EU28" t="s">
        <v>569</v>
      </c>
      <c r="EV28">
        <v>5.8540000000000002E-2</v>
      </c>
      <c r="EW28">
        <v>1.7600000000000001E-3</v>
      </c>
      <c r="EX28" t="s">
        <v>569</v>
      </c>
      <c r="EY28">
        <v>32.576729999999998</v>
      </c>
      <c r="EZ28">
        <v>0.47142000000000001</v>
      </c>
      <c r="FA28" t="s">
        <v>569</v>
      </c>
      <c r="FB28">
        <v>1.6744600000000001</v>
      </c>
      <c r="FC28">
        <v>0.11042</v>
      </c>
      <c r="FD28" s="29" t="s">
        <v>570</v>
      </c>
      <c r="FE28">
        <v>6.6313399999999998</v>
      </c>
      <c r="FF28">
        <v>0.14723</v>
      </c>
      <c r="FG28" s="29" t="s">
        <v>570</v>
      </c>
      <c r="FH28"/>
      <c r="FI28"/>
      <c r="FJ28" t="e">
        <v>#DIV/0!</v>
      </c>
      <c r="FK28"/>
      <c r="FL28"/>
      <c r="FM28" t="e">
        <v>#DIV/0!</v>
      </c>
      <c r="FN28">
        <v>42.655320000000003</v>
      </c>
      <c r="FO28">
        <v>5.0430000000000003E-2</v>
      </c>
      <c r="FP28" t="s">
        <v>569</v>
      </c>
      <c r="FQ28"/>
      <c r="FR28"/>
      <c r="FS28" t="e">
        <v>#DIV/0!</v>
      </c>
      <c r="FT28">
        <v>2</v>
      </c>
      <c r="FU28"/>
      <c r="FV28"/>
      <c r="FW28">
        <v>78</v>
      </c>
    </row>
    <row r="29" spans="1:179" x14ac:dyDescent="0.2">
      <c r="A29" t="s">
        <v>163</v>
      </c>
      <c r="B29">
        <v>8.4080000000000002E-2</v>
      </c>
      <c r="C29">
        <v>5.11E-3</v>
      </c>
      <c r="D29" t="s">
        <v>442</v>
      </c>
      <c r="E29">
        <v>1.298E-2</v>
      </c>
      <c r="F29">
        <v>2.8400000000000001E-3</v>
      </c>
      <c r="G29" t="s">
        <v>439</v>
      </c>
      <c r="H29">
        <v>0.82835000000000003</v>
      </c>
      <c r="I29">
        <v>1.349E-2</v>
      </c>
      <c r="J29" t="s">
        <v>442</v>
      </c>
      <c r="K29">
        <v>0.25470999999999999</v>
      </c>
      <c r="L29">
        <v>4.0499999999999998E-3</v>
      </c>
      <c r="M29" t="s">
        <v>442</v>
      </c>
      <c r="N29">
        <v>3.9300000000000003E-3</v>
      </c>
      <c r="O29">
        <v>8.0000000000000007E-5</v>
      </c>
      <c r="P29" t="s">
        <v>442</v>
      </c>
      <c r="Q29">
        <v>0.11012</v>
      </c>
      <c r="R29">
        <v>4.8000000000000001E-4</v>
      </c>
      <c r="S29" t="s">
        <v>442</v>
      </c>
      <c r="T29">
        <v>8.8000000000000003E-4</v>
      </c>
      <c r="U29">
        <v>8.0000000000000007E-5</v>
      </c>
      <c r="V29" t="s">
        <v>439</v>
      </c>
      <c r="W29">
        <v>1.0840000000000001E-2</v>
      </c>
      <c r="X29">
        <v>8.0000000000000007E-5</v>
      </c>
      <c r="Y29" t="s">
        <v>439</v>
      </c>
      <c r="Z29">
        <v>7.6999999999999999E-2</v>
      </c>
      <c r="AA29">
        <v>6.6E-4</v>
      </c>
      <c r="AB29" t="s">
        <v>442</v>
      </c>
      <c r="AC29">
        <v>0.30179</v>
      </c>
      <c r="AD29">
        <v>7.28E-3</v>
      </c>
      <c r="AE29" t="s">
        <v>442</v>
      </c>
      <c r="AF29"/>
      <c r="AG29"/>
      <c r="AH29" t="s">
        <v>440</v>
      </c>
      <c r="AI29">
        <v>7.9483600000000001</v>
      </c>
      <c r="AJ29">
        <v>6.7879999999999996E-2</v>
      </c>
      <c r="AK29" t="s">
        <v>441</v>
      </c>
      <c r="AL29">
        <v>4.3624299999999998</v>
      </c>
      <c r="AM29">
        <v>7.8100000000000001E-3</v>
      </c>
      <c r="AN29" t="s">
        <v>442</v>
      </c>
      <c r="AO29">
        <v>3.209E-2</v>
      </c>
      <c r="AP29">
        <v>4.2000000000000002E-4</v>
      </c>
      <c r="AQ29" t="s">
        <v>442</v>
      </c>
      <c r="AR29">
        <v>1.77624</v>
      </c>
      <c r="AS29">
        <v>3.585E-2</v>
      </c>
      <c r="AT29" t="s">
        <v>442</v>
      </c>
      <c r="AU29">
        <v>1.9109999999999999E-2</v>
      </c>
      <c r="AV29">
        <v>2.5999999999999998E-4</v>
      </c>
      <c r="AW29" t="s">
        <v>442</v>
      </c>
      <c r="AX29">
        <v>1.6299999999999999E-2</v>
      </c>
      <c r="AY29">
        <v>1.7000000000000001E-4</v>
      </c>
      <c r="AZ29" t="s">
        <v>442</v>
      </c>
      <c r="BA29">
        <v>1.3639999999999999E-2</v>
      </c>
      <c r="BB29">
        <v>6.4000000000000005E-4</v>
      </c>
      <c r="BC29" t="s">
        <v>442</v>
      </c>
      <c r="BD29">
        <v>1.1100000000000001E-3</v>
      </c>
      <c r="BE29">
        <v>2.9E-4</v>
      </c>
      <c r="BF29" t="s">
        <v>439</v>
      </c>
      <c r="BG29">
        <v>7.6999999999999996E-4</v>
      </c>
      <c r="BH29">
        <v>1.4999999999999999E-4</v>
      </c>
      <c r="BI29" t="s">
        <v>439</v>
      </c>
      <c r="BJ29">
        <v>1.5499999999999999E-3</v>
      </c>
      <c r="BK29">
        <v>3.0000000000000001E-5</v>
      </c>
      <c r="BL29" t="s">
        <v>439</v>
      </c>
      <c r="BM29">
        <v>-4.6999999999999999E-4</v>
      </c>
      <c r="BN29">
        <v>1.0000000000000001E-5</v>
      </c>
      <c r="BO29" t="s">
        <v>439</v>
      </c>
      <c r="BP29">
        <v>1.31E-3</v>
      </c>
      <c r="BQ29">
        <v>6.4999999999999997E-4</v>
      </c>
      <c r="BR29" t="s">
        <v>439</v>
      </c>
      <c r="BS29"/>
      <c r="BT29"/>
      <c r="BU29" t="s">
        <v>440</v>
      </c>
      <c r="BV29">
        <v>-2.0529799999999998</v>
      </c>
      <c r="BW29">
        <v>3.4000000000000002E-4</v>
      </c>
      <c r="BX29" t="s">
        <v>439</v>
      </c>
      <c r="BY29">
        <v>6.0539999999999997E-2</v>
      </c>
      <c r="BZ29">
        <v>8.4999999999999995E-4</v>
      </c>
      <c r="CA29" t="s">
        <v>442</v>
      </c>
      <c r="CB29">
        <v>3.9476599999999999</v>
      </c>
      <c r="CC29">
        <v>7.1279999999999996E-2</v>
      </c>
      <c r="CD29" t="s">
        <v>442</v>
      </c>
      <c r="CE29">
        <v>3.7357900000000002</v>
      </c>
      <c r="CF29">
        <v>8.9940000000000006E-2</v>
      </c>
      <c r="CG29" t="s">
        <v>442</v>
      </c>
      <c r="CH29">
        <v>4.0026799999999998</v>
      </c>
      <c r="CI29">
        <v>7.0980000000000001E-2</v>
      </c>
      <c r="CJ29" t="s">
        <v>442</v>
      </c>
      <c r="CK29">
        <v>0.16044</v>
      </c>
      <c r="CL29">
        <v>2.0899999999999998E-3</v>
      </c>
      <c r="CM29" t="s">
        <v>442</v>
      </c>
      <c r="CN29">
        <v>75.199789999999993</v>
      </c>
      <c r="CO29">
        <v>1.4347700000000001</v>
      </c>
      <c r="CP29" t="s">
        <v>442</v>
      </c>
      <c r="CQ29">
        <v>5.2331799999999999</v>
      </c>
      <c r="CR29">
        <v>0.11198</v>
      </c>
      <c r="CS29" t="s">
        <v>442</v>
      </c>
      <c r="CT29">
        <v>3.5101100000000001</v>
      </c>
      <c r="CU29">
        <v>9.4479999999999995E-2</v>
      </c>
      <c r="CV29" t="s">
        <v>442</v>
      </c>
      <c r="CW29">
        <v>36.993130000000001</v>
      </c>
      <c r="CX29">
        <v>0.84326999999999996</v>
      </c>
      <c r="CY29" t="s">
        <v>442</v>
      </c>
      <c r="CZ29">
        <v>5.27867</v>
      </c>
      <c r="DA29">
        <v>0.26735999999999999</v>
      </c>
      <c r="DB29" t="s">
        <v>442</v>
      </c>
      <c r="DC29">
        <v>301.83951000000002</v>
      </c>
      <c r="DD29">
        <v>8.3355200000000007</v>
      </c>
      <c r="DE29" t="s">
        <v>442</v>
      </c>
      <c r="DF29">
        <v>29.563500000000001</v>
      </c>
      <c r="DG29">
        <v>0.52905000000000002</v>
      </c>
      <c r="DH29" t="s">
        <v>442</v>
      </c>
      <c r="DI29">
        <v>0.14016000000000001</v>
      </c>
      <c r="DJ29">
        <v>5.9500000000000004E-3</v>
      </c>
      <c r="DK29" t="s">
        <v>442</v>
      </c>
      <c r="DL29">
        <v>8.2900000000000005E-3</v>
      </c>
      <c r="DM29">
        <v>5.5000000000000003E-4</v>
      </c>
      <c r="DN29" t="s">
        <v>442</v>
      </c>
      <c r="DO29">
        <v>0.27771000000000001</v>
      </c>
      <c r="DP29">
        <v>1.225E-2</v>
      </c>
      <c r="DQ29" t="s">
        <v>442</v>
      </c>
      <c r="DR29">
        <v>1.3697299999999999</v>
      </c>
      <c r="DS29">
        <v>5.7880000000000001E-2</v>
      </c>
      <c r="DT29" t="s">
        <v>442</v>
      </c>
      <c r="DU29">
        <v>11.50239</v>
      </c>
      <c r="DV29">
        <v>0.50871</v>
      </c>
      <c r="DW29" t="s">
        <v>442</v>
      </c>
      <c r="DX29">
        <v>6.8300000000000001E-3</v>
      </c>
      <c r="DY29">
        <v>2.0000000000000001E-4</v>
      </c>
      <c r="DZ29" t="s">
        <v>439</v>
      </c>
      <c r="EA29">
        <v>0.23807</v>
      </c>
      <c r="EB29">
        <v>7.5700000000000003E-3</v>
      </c>
      <c r="EC29" t="s">
        <v>442</v>
      </c>
      <c r="ED29">
        <v>3.6067</v>
      </c>
      <c r="EE29">
        <v>0.14011999999999999</v>
      </c>
      <c r="EF29" t="s">
        <v>442</v>
      </c>
      <c r="EG29">
        <v>61.906019999999998</v>
      </c>
      <c r="EH29">
        <v>2.4267300000000001</v>
      </c>
      <c r="EI29" t="s">
        <v>442</v>
      </c>
      <c r="EJ29"/>
      <c r="EK29"/>
      <c r="EL29" t="s">
        <v>440</v>
      </c>
      <c r="EM29">
        <v>8.0767299999999995</v>
      </c>
      <c r="EN29">
        <v>0.33350000000000002</v>
      </c>
      <c r="EO29" t="s">
        <v>442</v>
      </c>
      <c r="EP29"/>
      <c r="EQ29"/>
      <c r="ER29" t="s">
        <v>440</v>
      </c>
      <c r="ES29">
        <v>329.49488000000002</v>
      </c>
      <c r="ET29">
        <v>5.0751400000000002</v>
      </c>
      <c r="EU29" t="s">
        <v>442</v>
      </c>
      <c r="EV29">
        <v>6.6100000000000004E-3</v>
      </c>
      <c r="EW29">
        <v>1.1299999999999999E-3</v>
      </c>
      <c r="EX29" t="s">
        <v>442</v>
      </c>
      <c r="EY29">
        <v>171.66571999999999</v>
      </c>
      <c r="EZ29">
        <v>2.4488300000000001</v>
      </c>
      <c r="FA29" t="s">
        <v>442</v>
      </c>
      <c r="FB29">
        <v>2.9619</v>
      </c>
      <c r="FC29">
        <v>0.17568</v>
      </c>
      <c r="FD29" t="s">
        <v>442</v>
      </c>
      <c r="FE29">
        <v>5.9629599999999998</v>
      </c>
      <c r="FF29">
        <v>0.36468</v>
      </c>
      <c r="FG29" t="s">
        <v>441</v>
      </c>
      <c r="FH29"/>
      <c r="FI29"/>
      <c r="FJ29" t="s">
        <v>440</v>
      </c>
      <c r="FK29"/>
      <c r="FL29"/>
      <c r="FM29" t="s">
        <v>440</v>
      </c>
      <c r="FN29">
        <v>8.1499799999999993</v>
      </c>
      <c r="FO29">
        <v>0.14341000000000001</v>
      </c>
      <c r="FP29" t="s">
        <v>441</v>
      </c>
      <c r="FQ29"/>
      <c r="FR29"/>
      <c r="FS29" t="s">
        <v>440</v>
      </c>
      <c r="FT29">
        <v>2</v>
      </c>
      <c r="FU29"/>
      <c r="FV29"/>
      <c r="FW29">
        <v>96</v>
      </c>
    </row>
    <row r="30" spans="1:179" x14ac:dyDescent="0.2">
      <c r="A30" t="s">
        <v>171</v>
      </c>
      <c r="B30">
        <v>8.2900000000000001E-2</v>
      </c>
      <c r="C30">
        <v>2.3400000000000001E-3</v>
      </c>
      <c r="D30" t="s">
        <v>569</v>
      </c>
      <c r="E30">
        <v>1.1820000000000001E-2</v>
      </c>
      <c r="F30">
        <v>2.0200000000000001E-3</v>
      </c>
      <c r="G30" t="s">
        <v>569</v>
      </c>
      <c r="H30">
        <v>0.81808999999999998</v>
      </c>
      <c r="I30">
        <v>1.2749999999999999E-2</v>
      </c>
      <c r="J30" t="s">
        <v>569</v>
      </c>
      <c r="K30">
        <v>0.25345000000000001</v>
      </c>
      <c r="L30">
        <v>7.2399999999999999E-3</v>
      </c>
      <c r="M30" t="s">
        <v>569</v>
      </c>
      <c r="N30">
        <v>3.9500000000000004E-3</v>
      </c>
      <c r="O30">
        <v>2.0000000000000002E-5</v>
      </c>
      <c r="P30" t="s">
        <v>569</v>
      </c>
      <c r="Q30">
        <v>0.10952000000000001</v>
      </c>
      <c r="R30">
        <v>2.9099999999999998E-3</v>
      </c>
      <c r="S30" t="s">
        <v>569</v>
      </c>
      <c r="T30">
        <v>9.1E-4</v>
      </c>
      <c r="U30">
        <v>1.2999999999999999E-4</v>
      </c>
      <c r="V30" t="s">
        <v>569</v>
      </c>
      <c r="W30">
        <v>1.069E-2</v>
      </c>
      <c r="X30">
        <v>1.6000000000000001E-4</v>
      </c>
      <c r="Y30" t="s">
        <v>569</v>
      </c>
      <c r="Z30">
        <v>7.5840000000000005E-2</v>
      </c>
      <c r="AA30">
        <v>1.9599999999999999E-3</v>
      </c>
      <c r="AB30" t="s">
        <v>569</v>
      </c>
      <c r="AC30">
        <v>0.30187999999999998</v>
      </c>
      <c r="AD30">
        <v>7.5300000000000002E-3</v>
      </c>
      <c r="AE30" t="s">
        <v>569</v>
      </c>
      <c r="AF30"/>
      <c r="AG30"/>
      <c r="AH30" t="e">
        <v>#DIV/0!</v>
      </c>
      <c r="AI30">
        <v>7.96584</v>
      </c>
      <c r="AJ30">
        <v>9.987E-2</v>
      </c>
      <c r="AK30" t="s">
        <v>569</v>
      </c>
      <c r="AL30">
        <v>4.2854000000000001</v>
      </c>
      <c r="AM30">
        <v>8.9560000000000001E-2</v>
      </c>
      <c r="AN30" t="s">
        <v>569</v>
      </c>
      <c r="AO30">
        <v>3.159E-2</v>
      </c>
      <c r="AP30">
        <v>1.4999999999999999E-4</v>
      </c>
      <c r="AQ30" t="s">
        <v>569</v>
      </c>
      <c r="AR30">
        <v>1.7405600000000001</v>
      </c>
      <c r="AS30">
        <v>2.879E-2</v>
      </c>
      <c r="AT30" t="s">
        <v>569</v>
      </c>
      <c r="AU30">
        <v>1.908E-2</v>
      </c>
      <c r="AV30">
        <v>2.9E-4</v>
      </c>
      <c r="AW30" t="s">
        <v>569</v>
      </c>
      <c r="AX30">
        <v>1.5699999999999999E-2</v>
      </c>
      <c r="AY30">
        <v>3.5E-4</v>
      </c>
      <c r="AZ30" t="s">
        <v>569</v>
      </c>
      <c r="BA30">
        <v>1.3180000000000001E-2</v>
      </c>
      <c r="BB30">
        <v>5.1999999999999995E-4</v>
      </c>
      <c r="BC30" t="s">
        <v>569</v>
      </c>
      <c r="BD30">
        <v>8.1999999999999998E-4</v>
      </c>
      <c r="BE30">
        <v>4.0999999999999999E-4</v>
      </c>
      <c r="BF30" s="29" t="s">
        <v>570</v>
      </c>
      <c r="BG30">
        <v>1.06E-3</v>
      </c>
      <c r="BH30">
        <v>1.2E-4</v>
      </c>
      <c r="BI30" s="29" t="s">
        <v>570</v>
      </c>
      <c r="BJ30">
        <v>1.5E-3</v>
      </c>
      <c r="BK30">
        <v>3.0000000000000001E-5</v>
      </c>
      <c r="BL30" t="s">
        <v>569</v>
      </c>
      <c r="BM30">
        <v>-4.4999999999999999E-4</v>
      </c>
      <c r="BN30">
        <v>3.0000000000000001E-5</v>
      </c>
      <c r="BO30" t="s">
        <v>569</v>
      </c>
      <c r="BP30">
        <v>1.58E-3</v>
      </c>
      <c r="BQ30">
        <v>3.3E-4</v>
      </c>
      <c r="BR30" t="s">
        <v>569</v>
      </c>
      <c r="BS30"/>
      <c r="BT30"/>
      <c r="BU30" t="e">
        <v>#DIV/0!</v>
      </c>
      <c r="BV30">
        <v>-2.0531000000000001</v>
      </c>
      <c r="BW30">
        <v>6.3000000000000003E-4</v>
      </c>
      <c r="BX30" t="s">
        <v>569</v>
      </c>
      <c r="BY30">
        <v>5.781E-2</v>
      </c>
      <c r="BZ30">
        <v>9.7000000000000005E-4</v>
      </c>
      <c r="CA30" t="s">
        <v>569</v>
      </c>
      <c r="CB30">
        <v>3.89107</v>
      </c>
      <c r="CC30">
        <v>7.9280000000000003E-2</v>
      </c>
      <c r="CD30" t="s">
        <v>569</v>
      </c>
      <c r="CE30">
        <v>3.6755</v>
      </c>
      <c r="CF30">
        <v>6.9290000000000004E-2</v>
      </c>
      <c r="CG30" t="s">
        <v>569</v>
      </c>
      <c r="CH30">
        <v>3.9335499999999999</v>
      </c>
      <c r="CI30">
        <v>5.7529999999999998E-2</v>
      </c>
      <c r="CJ30" t="s">
        <v>569</v>
      </c>
      <c r="CK30">
        <v>0.15742999999999999</v>
      </c>
      <c r="CL30">
        <v>3.9699999999999996E-3</v>
      </c>
      <c r="CM30" t="s">
        <v>569</v>
      </c>
      <c r="CN30">
        <v>73.221519999999998</v>
      </c>
      <c r="CO30">
        <v>3.83684</v>
      </c>
      <c r="CP30" t="s">
        <v>569</v>
      </c>
      <c r="CQ30">
        <v>5.0283300000000004</v>
      </c>
      <c r="CR30">
        <v>0.27939000000000003</v>
      </c>
      <c r="CS30" t="s">
        <v>569</v>
      </c>
      <c r="CT30">
        <v>3.3677299999999999</v>
      </c>
      <c r="CU30">
        <v>0.18872</v>
      </c>
      <c r="CV30" t="s">
        <v>569</v>
      </c>
      <c r="CW30">
        <v>34.725360000000002</v>
      </c>
      <c r="CX30">
        <v>1.77298</v>
      </c>
      <c r="CY30" t="s">
        <v>569</v>
      </c>
      <c r="CZ30">
        <v>5.1388600000000002</v>
      </c>
      <c r="DA30">
        <v>0.28215000000000001</v>
      </c>
      <c r="DB30" t="s">
        <v>569</v>
      </c>
      <c r="DC30">
        <v>292.58314000000001</v>
      </c>
      <c r="DD30">
        <v>12.435890000000001</v>
      </c>
      <c r="DE30" t="s">
        <v>569</v>
      </c>
      <c r="DF30">
        <v>28.534490000000002</v>
      </c>
      <c r="DG30">
        <v>1.5272600000000001</v>
      </c>
      <c r="DH30" t="s">
        <v>569</v>
      </c>
      <c r="DI30">
        <v>0.13169</v>
      </c>
      <c r="DJ30">
        <v>1.18E-2</v>
      </c>
      <c r="DK30" t="s">
        <v>569</v>
      </c>
      <c r="DL30">
        <v>8.6599999999999993E-3</v>
      </c>
      <c r="DM30">
        <v>6.4999999999999997E-4</v>
      </c>
      <c r="DN30" t="s">
        <v>569</v>
      </c>
      <c r="DO30">
        <v>0.26783000000000001</v>
      </c>
      <c r="DP30">
        <v>1.634E-2</v>
      </c>
      <c r="DQ30" t="s">
        <v>569</v>
      </c>
      <c r="DR30">
        <v>1.3305</v>
      </c>
      <c r="DS30">
        <v>6.8339999999999998E-2</v>
      </c>
      <c r="DT30" t="s">
        <v>569</v>
      </c>
      <c r="DU30">
        <v>10.90269</v>
      </c>
      <c r="DV30">
        <v>0.57609999999999995</v>
      </c>
      <c r="DW30" t="s">
        <v>569</v>
      </c>
      <c r="DX30">
        <v>6.1500000000000001E-3</v>
      </c>
      <c r="DY30">
        <v>7.7999999999999999E-4</v>
      </c>
      <c r="DZ30" t="s">
        <v>569</v>
      </c>
      <c r="EA30">
        <v>0.22498000000000001</v>
      </c>
      <c r="EB30">
        <v>1.5730000000000001E-2</v>
      </c>
      <c r="EC30" t="s">
        <v>569</v>
      </c>
      <c r="ED30">
        <v>3.4447999999999999</v>
      </c>
      <c r="EE30">
        <v>0.17691000000000001</v>
      </c>
      <c r="EF30" t="s">
        <v>569</v>
      </c>
      <c r="EG30">
        <v>59.998080000000002</v>
      </c>
      <c r="EH30">
        <v>3.1206399999999999</v>
      </c>
      <c r="EI30" t="s">
        <v>569</v>
      </c>
      <c r="EJ30"/>
      <c r="EK30"/>
      <c r="EL30" t="e">
        <v>#DIV/0!</v>
      </c>
      <c r="EM30">
        <v>7.80572</v>
      </c>
      <c r="EN30">
        <v>0.36807000000000001</v>
      </c>
      <c r="EO30" t="s">
        <v>569</v>
      </c>
      <c r="EP30"/>
      <c r="EQ30"/>
      <c r="ER30" t="e">
        <v>#DIV/0!</v>
      </c>
      <c r="ES30">
        <v>328.47210999999999</v>
      </c>
      <c r="ET30">
        <v>17.09244</v>
      </c>
      <c r="EU30" t="s">
        <v>569</v>
      </c>
      <c r="EV30">
        <v>3.3999999999999998E-3</v>
      </c>
      <c r="EW30">
        <v>3.1700000000000001E-3</v>
      </c>
      <c r="EX30" s="29" t="s">
        <v>570</v>
      </c>
      <c r="EY30">
        <v>165.48473999999999</v>
      </c>
      <c r="EZ30">
        <v>9.2537699999999994</v>
      </c>
      <c r="FA30" t="s">
        <v>569</v>
      </c>
      <c r="FB30">
        <v>2.8642400000000001</v>
      </c>
      <c r="FC30">
        <v>0.45863999999999999</v>
      </c>
      <c r="FD30" t="s">
        <v>569</v>
      </c>
      <c r="FE30">
        <v>5.6991100000000001</v>
      </c>
      <c r="FF30">
        <v>0.29633999999999999</v>
      </c>
      <c r="FG30" t="s">
        <v>569</v>
      </c>
      <c r="FH30"/>
      <c r="FI30"/>
      <c r="FJ30" t="e">
        <v>#DIV/0!</v>
      </c>
      <c r="FK30"/>
      <c r="FL30"/>
      <c r="FM30" t="e">
        <v>#DIV/0!</v>
      </c>
      <c r="FN30">
        <v>8.1242599999999996</v>
      </c>
      <c r="FO30">
        <v>0.37520999999999999</v>
      </c>
      <c r="FP30" t="s">
        <v>569</v>
      </c>
      <c r="FQ30"/>
      <c r="FR30"/>
      <c r="FS30" t="e">
        <v>#DIV/0!</v>
      </c>
      <c r="FT30">
        <v>2</v>
      </c>
      <c r="FU30"/>
      <c r="FV30"/>
      <c r="FW30">
        <v>104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Raw_ICPMS</vt:lpstr>
      <vt:lpstr>Lookup</vt:lpstr>
      <vt:lpstr>Processed</vt:lpstr>
      <vt:lpstr>IS_Check</vt:lpstr>
      <vt:lpstr>QC</vt:lpstr>
    </vt:vector>
  </TitlesOfParts>
  <Company>U.S. 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EPA User or Contractor</dc:creator>
  <cp:lastModifiedBy>Callahan, Curtis</cp:lastModifiedBy>
  <dcterms:created xsi:type="dcterms:W3CDTF">2025-04-07T20:57:01Z</dcterms:created>
  <dcterms:modified xsi:type="dcterms:W3CDTF">2025-06-16T15:59:57Z</dcterms:modified>
</cp:coreProperties>
</file>