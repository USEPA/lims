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3955" windowHeight="14385"/>
  </bookViews>
  <sheets>
    <sheet name="Raw_ICPMS" sheetId="2" r:id="rId1"/>
    <sheet name="Lookup" sheetId="3" r:id="rId2"/>
    <sheet name="Processed" sheetId="4" r:id="rId3"/>
    <sheet name="IS_Check" sheetId="5" r:id="rId4"/>
    <sheet name="QC" sheetId="6" r:id="rId5"/>
  </sheets>
  <definedNames>
    <definedName name="_xlnm._FilterDatabase" localSheetId="3" hidden="1">IS_Check!#REF!</definedName>
    <definedName name="_xlnm._FilterDatabase" localSheetId="2" hidden="1">Processed!$A$1:$FW$13</definedName>
    <definedName name="_xlnm._FilterDatabase" localSheetId="4" hidden="1">QC!#REF!</definedName>
  </definedNames>
  <calcPr calcId="125725"/>
</workbook>
</file>

<file path=xl/calcChain.xml><?xml version="1.0" encoding="utf-8"?>
<calcChain xmlns="http://schemas.openxmlformats.org/spreadsheetml/2006/main">
  <c r="L58" i="3"/>
  <c r="K58"/>
  <c r="J58"/>
  <c r="H58"/>
  <c r="G58"/>
  <c r="L55"/>
  <c r="K55"/>
  <c r="J55"/>
  <c r="H55"/>
  <c r="G55"/>
  <c r="H54"/>
  <c r="G54"/>
  <c r="L53"/>
  <c r="K53"/>
  <c r="J53"/>
  <c r="H53"/>
  <c r="G53"/>
  <c r="L49"/>
  <c r="K49"/>
  <c r="J49"/>
  <c r="H49"/>
  <c r="G49"/>
  <c r="H44"/>
  <c r="G44"/>
  <c r="L43"/>
  <c r="K43"/>
  <c r="J43"/>
  <c r="H43"/>
  <c r="G43"/>
  <c r="L42"/>
  <c r="K42"/>
  <c r="J42"/>
  <c r="H42"/>
  <c r="G42"/>
  <c r="L40"/>
  <c r="K40"/>
  <c r="J40"/>
  <c r="H40"/>
  <c r="G40"/>
  <c r="L37"/>
  <c r="K37"/>
  <c r="J37"/>
  <c r="H37"/>
  <c r="G37"/>
  <c r="L34"/>
  <c r="K34"/>
  <c r="J34"/>
  <c r="H34"/>
  <c r="G34"/>
  <c r="L33"/>
  <c r="K33"/>
  <c r="J33"/>
  <c r="H33"/>
  <c r="G33"/>
  <c r="L32"/>
  <c r="K32"/>
  <c r="J32"/>
  <c r="H32"/>
  <c r="G32"/>
  <c r="L30"/>
  <c r="K30"/>
  <c r="J30"/>
  <c r="H30"/>
  <c r="G30"/>
  <c r="L28"/>
  <c r="K28"/>
  <c r="J28"/>
  <c r="H28"/>
  <c r="G28"/>
  <c r="L27"/>
  <c r="K27"/>
  <c r="J27"/>
  <c r="H27"/>
  <c r="G27"/>
  <c r="L26"/>
  <c r="K26"/>
  <c r="J26"/>
  <c r="H26"/>
  <c r="G26"/>
  <c r="L25"/>
  <c r="K25"/>
  <c r="J25"/>
  <c r="H25"/>
  <c r="G25"/>
  <c r="L24"/>
  <c r="K24"/>
  <c r="J24"/>
  <c r="H24"/>
  <c r="G24"/>
  <c r="L22"/>
  <c r="K22"/>
  <c r="J22"/>
  <c r="H22"/>
  <c r="G22"/>
  <c r="L17"/>
  <c r="K17"/>
  <c r="J17"/>
  <c r="H17"/>
  <c r="G17"/>
  <c r="L16"/>
  <c r="K16"/>
  <c r="J16"/>
  <c r="H16"/>
  <c r="G16"/>
  <c r="L14"/>
  <c r="K14"/>
  <c r="J14"/>
  <c r="H14"/>
  <c r="G14"/>
  <c r="L12"/>
  <c r="K12"/>
  <c r="J12"/>
  <c r="H12"/>
  <c r="G12"/>
  <c r="L11"/>
  <c r="K11"/>
  <c r="J11"/>
  <c r="H11"/>
  <c r="G11"/>
  <c r="L9"/>
  <c r="K9"/>
  <c r="J9"/>
  <c r="H9"/>
  <c r="G9"/>
  <c r="L8"/>
  <c r="K8"/>
  <c r="J8"/>
  <c r="H8"/>
  <c r="G8"/>
  <c r="L7"/>
  <c r="K7"/>
  <c r="J7"/>
  <c r="L6"/>
  <c r="K6"/>
  <c r="J6"/>
  <c r="H6"/>
  <c r="G6"/>
  <c r="L5"/>
  <c r="K5"/>
  <c r="J5"/>
  <c r="H5"/>
  <c r="G5"/>
  <c r="L4"/>
  <c r="K4"/>
  <c r="J4"/>
  <c r="H4"/>
  <c r="G4"/>
  <c r="L3"/>
  <c r="K3"/>
  <c r="J3"/>
  <c r="H3"/>
  <c r="G3"/>
  <c r="L2"/>
  <c r="K2"/>
  <c r="J2"/>
  <c r="H2"/>
  <c r="G2"/>
</calcChain>
</file>

<file path=xl/sharedStrings.xml><?xml version="1.0" encoding="utf-8"?>
<sst xmlns="http://schemas.openxmlformats.org/spreadsheetml/2006/main" count="2776" uniqueCount="452">
  <si>
    <t>Isotope</t>
  </si>
  <si>
    <t>Li7(LR)</t>
  </si>
  <si>
    <t>Be9(LR)</t>
  </si>
  <si>
    <t>Rb85(LR)</t>
  </si>
  <si>
    <t>Sr88(LR)</t>
  </si>
  <si>
    <t>Y89(LR)</t>
  </si>
  <si>
    <t>Mo95(LR)</t>
  </si>
  <si>
    <t>Rh103(LR)</t>
  </si>
  <si>
    <t>Pd105(LR)</t>
  </si>
  <si>
    <t>Ag107(LR)</t>
  </si>
  <si>
    <t>Cd111(LR)</t>
  </si>
  <si>
    <t>In115(LR)</t>
  </si>
  <si>
    <t>Sn118(LR)</t>
  </si>
  <si>
    <t>Sb121(LR)</t>
  </si>
  <si>
    <t>Cs133(LR)</t>
  </si>
  <si>
    <t>Ba137(LR)</t>
  </si>
  <si>
    <t>La139(LR)</t>
  </si>
  <si>
    <t>Ce140(LR)</t>
  </si>
  <si>
    <t>Nd146(LR)</t>
  </si>
  <si>
    <t>Sm147(LR)</t>
  </si>
  <si>
    <t>Gd157(LR)</t>
  </si>
  <si>
    <t>Tb159(LR)</t>
  </si>
  <si>
    <t>Dy163(LR)</t>
  </si>
  <si>
    <t>W182(LR)</t>
  </si>
  <si>
    <t>Ir193(LR)</t>
  </si>
  <si>
    <t>Pt195(LR)</t>
  </si>
  <si>
    <t>Tl205(LR)</t>
  </si>
  <si>
    <t>Pb206(LR)</t>
  </si>
  <si>
    <t>Pb207(LR)</t>
  </si>
  <si>
    <t>Pb208(LR)</t>
  </si>
  <si>
    <t>Bi209(LR)</t>
  </si>
  <si>
    <t>Na23(MR)</t>
  </si>
  <si>
    <t>Mg24(MR)</t>
  </si>
  <si>
    <t>Al27(MR)</t>
  </si>
  <si>
    <t>Si28(MR)</t>
  </si>
  <si>
    <t>P31(MR)</t>
  </si>
  <si>
    <t>S32(MR)</t>
  </si>
  <si>
    <t>Ca44(MR)</t>
  </si>
  <si>
    <t>Ti47(MR)</t>
  </si>
  <si>
    <t>V51(MR)</t>
  </si>
  <si>
    <t>Cr52(MR)</t>
  </si>
  <si>
    <t>Mn55(MR)</t>
  </si>
  <si>
    <t>Fe56(MR)</t>
  </si>
  <si>
    <t>Co59(MR)</t>
  </si>
  <si>
    <t>Ni60(MR)</t>
  </si>
  <si>
    <t>Cu63(MR)</t>
  </si>
  <si>
    <t>Zn66(MR)</t>
  </si>
  <si>
    <t>In115(MR)</t>
  </si>
  <si>
    <t>Sn118(MR)</t>
  </si>
  <si>
    <t>Ir193(MR)</t>
  </si>
  <si>
    <t>K39(HR)</t>
  </si>
  <si>
    <t>Ge72(HR)</t>
  </si>
  <si>
    <t>As75(HR)</t>
  </si>
  <si>
    <t>Se77(HR)</t>
  </si>
  <si>
    <t>Se78(HR)</t>
  </si>
  <si>
    <t>Kr83(HR)</t>
  </si>
  <si>
    <t>In115(HR)</t>
  </si>
  <si>
    <t>Sn118(HR)</t>
  </si>
  <si>
    <t>Ir193(HR)</t>
  </si>
  <si>
    <t>1p_pre cal rinse</t>
  </si>
  <si>
    <t>Intensity AVG</t>
  </si>
  <si>
    <t>[cps]</t>
  </si>
  <si>
    <t>Intensity STD</t>
  </si>
  <si>
    <t>Concentration AVG</t>
  </si>
  <si>
    <t>Concentration STD</t>
  </si>
  <si>
    <t>Flags</t>
  </si>
  <si>
    <t>-</t>
  </si>
  <si>
    <t>WS0_11-14-24</t>
  </si>
  <si>
    <t>WS1_11-14-24</t>
  </si>
  <si>
    <t>WS2_11-14-24</t>
  </si>
  <si>
    <t>WS3_11-14-24</t>
  </si>
  <si>
    <t>WS4_11-14-24</t>
  </si>
  <si>
    <t>WS5_11-26-24</t>
  </si>
  <si>
    <t>WS6_11-14-24</t>
  </si>
  <si>
    <t>1p_post cal rinse</t>
  </si>
  <si>
    <t>µg/L</t>
  </si>
  <si>
    <t>not calib.</t>
  </si>
  <si>
    <t>CCV</t>
  </si>
  <si>
    <t>SRM1643_002p</t>
  </si>
  <si>
    <t>SRM1643_100p</t>
  </si>
  <si>
    <t>Flags:   S=Amplifier Skipped    D=Intensity Defocussed   O=Overflow</t>
  </si>
  <si>
    <t>Element</t>
  </si>
  <si>
    <t>PQL-ppb</t>
  </si>
  <si>
    <t>Reserve for MDL</t>
  </si>
  <si>
    <t>CCV_</t>
  </si>
  <si>
    <t>Check_1000_p</t>
  </si>
  <si>
    <t>SRM1640a_100p</t>
  </si>
  <si>
    <t>SRM1640_010p</t>
  </si>
  <si>
    <t>SRM1640_001p</t>
  </si>
  <si>
    <t>SRM1643_010p</t>
  </si>
  <si>
    <t>SRM1643_001p</t>
  </si>
  <si>
    <t>Ag107_LR</t>
  </si>
  <si>
    <t>Al27_MR</t>
  </si>
  <si>
    <t>As75_HR</t>
  </si>
  <si>
    <t>Ba137_LR</t>
  </si>
  <si>
    <t>Be9_LR</t>
  </si>
  <si>
    <t>Bi209_LR</t>
  </si>
  <si>
    <t>Ca44_MR</t>
  </si>
  <si>
    <t>Cd111_LR</t>
  </si>
  <si>
    <t>Ce140_LR</t>
  </si>
  <si>
    <t>Co59_MR</t>
  </si>
  <si>
    <t>Cr52_MR</t>
  </si>
  <si>
    <t>Cs133_LR</t>
  </si>
  <si>
    <t>Cu63_MR</t>
  </si>
  <si>
    <t>Dy163_LR</t>
  </si>
  <si>
    <t>Fe56_MR</t>
  </si>
  <si>
    <t>Fe57_MR</t>
  </si>
  <si>
    <t>Gd157_LR</t>
  </si>
  <si>
    <t>Ge72_HR</t>
  </si>
  <si>
    <t>Hg202_LR</t>
  </si>
  <si>
    <t>In115_LR</t>
  </si>
  <si>
    <t>K39_HR</t>
  </si>
  <si>
    <t>La139_LR</t>
  </si>
  <si>
    <t>Li7_LR</t>
  </si>
  <si>
    <t>Mg24_MR</t>
  </si>
  <si>
    <t>Mn55_MR</t>
  </si>
  <si>
    <t>Mo95_LR</t>
  </si>
  <si>
    <t>Na23_MR</t>
  </si>
  <si>
    <t>Nd146_LR</t>
  </si>
  <si>
    <t>Ni60_MR</t>
  </si>
  <si>
    <t>P31_MR</t>
  </si>
  <si>
    <t>Pb206_LR</t>
  </si>
  <si>
    <t>Pb207_LR</t>
  </si>
  <si>
    <t>Pb208_LR</t>
  </si>
  <si>
    <t>Pd105_LR</t>
  </si>
  <si>
    <t>Pt195_LR</t>
  </si>
  <si>
    <t>Rb85_LR</t>
  </si>
  <si>
    <t>Rh103_HR</t>
  </si>
  <si>
    <t>S32_MR</t>
  </si>
  <si>
    <t>Sb121_LR</t>
  </si>
  <si>
    <t>Sc45_MR</t>
  </si>
  <si>
    <t>Se77_HR</t>
  </si>
  <si>
    <t>Se78_HR</t>
  </si>
  <si>
    <t>Si28_MR</t>
  </si>
  <si>
    <t>Sm147_LR</t>
  </si>
  <si>
    <t>Sn118_HR</t>
  </si>
  <si>
    <t>Sn118_LR</t>
  </si>
  <si>
    <t>Sn118_MR</t>
  </si>
  <si>
    <t>Sr88_LR</t>
  </si>
  <si>
    <t>Tb159_LR</t>
  </si>
  <si>
    <t>Th232_LR</t>
  </si>
  <si>
    <t>Ti47_MR</t>
  </si>
  <si>
    <t>Tl205_LR</t>
  </si>
  <si>
    <t>U238_LR</t>
  </si>
  <si>
    <t>V51_MR</t>
  </si>
  <si>
    <t>W182_LR</t>
  </si>
  <si>
    <t>Y89_LR</t>
  </si>
  <si>
    <t>Zn66_MR</t>
  </si>
  <si>
    <t>VialID</t>
  </si>
  <si>
    <t>Li7_LR_conc</t>
  </si>
  <si>
    <t>Li7_LR_sd</t>
  </si>
  <si>
    <t>Li7_LR_flag</t>
  </si>
  <si>
    <t>Be9_LR_conc</t>
  </si>
  <si>
    <t>Be9_LR_sd</t>
  </si>
  <si>
    <t>Be9_LR_flag</t>
  </si>
  <si>
    <t>Rb85_LR_conc</t>
  </si>
  <si>
    <t>Rb85_LR_sd</t>
  </si>
  <si>
    <t>Rb85_LR_flag</t>
  </si>
  <si>
    <t>Sr88_LR_conc</t>
  </si>
  <si>
    <t>Sr88_LR_sd</t>
  </si>
  <si>
    <t>Sr88_LR_flag</t>
  </si>
  <si>
    <t>Y89_LR_conc</t>
  </si>
  <si>
    <t>Y89_LR_sd</t>
  </si>
  <si>
    <t>Y89_LR_flag</t>
  </si>
  <si>
    <t>Mo95_LR_conc</t>
  </si>
  <si>
    <t>Mo95_LR_sd</t>
  </si>
  <si>
    <t>Mo95_LR_flag</t>
  </si>
  <si>
    <t>Rh103_LR_conc</t>
  </si>
  <si>
    <t>Rh103_LR_sd</t>
  </si>
  <si>
    <t>Rh103_LR_flag</t>
  </si>
  <si>
    <t>Pd105_LR_conc</t>
  </si>
  <si>
    <t>Pd105_LR_sd</t>
  </si>
  <si>
    <t>Pd105_LR_flag</t>
  </si>
  <si>
    <t>Ag107_LR_conc</t>
  </si>
  <si>
    <t>Ag107_LR_sd</t>
  </si>
  <si>
    <t>Ag107_LR_flag</t>
  </si>
  <si>
    <t>Cd111_LR_conc</t>
  </si>
  <si>
    <t>Cd111_LR_sd</t>
  </si>
  <si>
    <t>Cd111_LR_flag</t>
  </si>
  <si>
    <t>In115_LR_conc</t>
  </si>
  <si>
    <t>In115_LR_sd</t>
  </si>
  <si>
    <t>In115_LR_flag</t>
  </si>
  <si>
    <t>Sn118_LR_conc</t>
  </si>
  <si>
    <t>Sn118_LR_sd</t>
  </si>
  <si>
    <t>Sn118_LR_flag</t>
  </si>
  <si>
    <t>Sb121_LR_conc</t>
  </si>
  <si>
    <t>Sb121_LR_sd</t>
  </si>
  <si>
    <t>Sb121_LR_flag</t>
  </si>
  <si>
    <t>Cs133_LR_conc</t>
  </si>
  <si>
    <t>Cs133_LR_sd</t>
  </si>
  <si>
    <t>Cs133_LR_flag</t>
  </si>
  <si>
    <t>Ba137_LR_conc</t>
  </si>
  <si>
    <t>Ba137_LR_sd</t>
  </si>
  <si>
    <t>Ba137_LR_flag</t>
  </si>
  <si>
    <t>La139_LR_conc</t>
  </si>
  <si>
    <t>La139_LR_sd</t>
  </si>
  <si>
    <t>La139_LR_flag</t>
  </si>
  <si>
    <t>Ce140_LR_conc</t>
  </si>
  <si>
    <t>Ce140_LR_sd</t>
  </si>
  <si>
    <t>Ce140_LR_flag</t>
  </si>
  <si>
    <t>Nd146_LR_conc</t>
  </si>
  <si>
    <t>Nd146_LR_sd</t>
  </si>
  <si>
    <t>Nd146_LR_flag</t>
  </si>
  <si>
    <t>Sm147_LR_conc</t>
  </si>
  <si>
    <t>Sm147_LR_sd</t>
  </si>
  <si>
    <t>Sm147_LR_flag</t>
  </si>
  <si>
    <t>Gd157_LR_conc</t>
  </si>
  <si>
    <t>Gd157_LR_sd</t>
  </si>
  <si>
    <t>Gd157_LR_flag</t>
  </si>
  <si>
    <t>Tb159_LR_conc</t>
  </si>
  <si>
    <t>Tb159_LR_sd</t>
  </si>
  <si>
    <t>Tb159_LR_flag</t>
  </si>
  <si>
    <t>Dy163_LR_conc</t>
  </si>
  <si>
    <t>Dy163_LR_sd</t>
  </si>
  <si>
    <t>Dy163_LR_flag</t>
  </si>
  <si>
    <t>W182_LR_conc</t>
  </si>
  <si>
    <t>W182_LR_sd</t>
  </si>
  <si>
    <t>W182_LR_flag</t>
  </si>
  <si>
    <t>Ir193_LR_conc</t>
  </si>
  <si>
    <t>Ir193_LR_sd</t>
  </si>
  <si>
    <t>Ir193_LR_flag</t>
  </si>
  <si>
    <t>Pt195_LR_conc</t>
  </si>
  <si>
    <t>Pt195_LR_sd</t>
  </si>
  <si>
    <t>Pt195_LR_flag</t>
  </si>
  <si>
    <t>Tl205_LR_conc</t>
  </si>
  <si>
    <t>Tl205_LR_sd</t>
  </si>
  <si>
    <t>Tl205_LR_flag</t>
  </si>
  <si>
    <t>Pb206_LR_conc</t>
  </si>
  <si>
    <t>Pb206_LR_sd</t>
  </si>
  <si>
    <t>Pb206_LR_flag</t>
  </si>
  <si>
    <t>Pb207_LR_conc</t>
  </si>
  <si>
    <t>Pb207_LR_sd</t>
  </si>
  <si>
    <t>Pb207_LR_flag</t>
  </si>
  <si>
    <t>Pb208_LR_conc</t>
  </si>
  <si>
    <t>Pb208_LR_sd</t>
  </si>
  <si>
    <t>Pb208_LR_flag</t>
  </si>
  <si>
    <t>Bi209_LR_conc</t>
  </si>
  <si>
    <t>Bi209_LR_sd</t>
  </si>
  <si>
    <t>Bi209_LR_flag</t>
  </si>
  <si>
    <t>Na23_MR_conc</t>
  </si>
  <si>
    <t>Na23_MR_sd</t>
  </si>
  <si>
    <t>Na23_MR_flag</t>
  </si>
  <si>
    <t>Mg24_MR_conc</t>
  </si>
  <si>
    <t>Mg24_MR_sd</t>
  </si>
  <si>
    <t>Mg24_MR_flag</t>
  </si>
  <si>
    <t>Al27_MR_conc</t>
  </si>
  <si>
    <t>Al27_MR_sd</t>
  </si>
  <si>
    <t>Al27_MR_flag</t>
  </si>
  <si>
    <t>Si28_MR_conc</t>
  </si>
  <si>
    <t>Si28_MR_sd</t>
  </si>
  <si>
    <t>Si28_MR_flag</t>
  </si>
  <si>
    <t>P31_MR_conc</t>
  </si>
  <si>
    <t>P31_MR_sd</t>
  </si>
  <si>
    <t>P31_MR_flag</t>
  </si>
  <si>
    <t>S32_MR_conc</t>
  </si>
  <si>
    <t>S32_MR_sd</t>
  </si>
  <si>
    <t>S32_MR_flag</t>
  </si>
  <si>
    <t>Ca44_MR_conc</t>
  </si>
  <si>
    <t>Ca44_MR_sd</t>
  </si>
  <si>
    <t>Ca44_MR_flag</t>
  </si>
  <si>
    <t>Ti47_MR_conc</t>
  </si>
  <si>
    <t>Ti47_MR_sd</t>
  </si>
  <si>
    <t>Ti47_MR_flag</t>
  </si>
  <si>
    <t>V51_MR_conc</t>
  </si>
  <si>
    <t>V51_MR_sd</t>
  </si>
  <si>
    <t>V51_MR_flag</t>
  </si>
  <si>
    <t>Cr52_MR_conc</t>
  </si>
  <si>
    <t>Cr52_MR_sd</t>
  </si>
  <si>
    <t>Cr52_MR_flag</t>
  </si>
  <si>
    <t>Mn55_MR_conc</t>
  </si>
  <si>
    <t>Mn55_MR_sd</t>
  </si>
  <si>
    <t>Mn55_MR_flag</t>
  </si>
  <si>
    <t>Fe56_MR_conc</t>
  </si>
  <si>
    <t>Fe56_MR_sd</t>
  </si>
  <si>
    <t>Fe56_MR_flag</t>
  </si>
  <si>
    <t>Co59_MR_conc</t>
  </si>
  <si>
    <t>Co59_MR_sd</t>
  </si>
  <si>
    <t>Co59_MR_flag</t>
  </si>
  <si>
    <t>Ni60_MR_conc</t>
  </si>
  <si>
    <t>Ni60_MR_sd</t>
  </si>
  <si>
    <t>Ni60_MR_flag</t>
  </si>
  <si>
    <t>Cu63_MR_conc</t>
  </si>
  <si>
    <t>Cu63_MR_sd</t>
  </si>
  <si>
    <t>Cu63_MR_flag</t>
  </si>
  <si>
    <t>Zn66_MR_conc</t>
  </si>
  <si>
    <t>Zn66_MR_sd</t>
  </si>
  <si>
    <t>Zn66_MR_flag</t>
  </si>
  <si>
    <t>In115_MR_conc</t>
  </si>
  <si>
    <t>In115_MR_sd</t>
  </si>
  <si>
    <t>In115_MR_flag</t>
  </si>
  <si>
    <t>Sn118_MR_conc</t>
  </si>
  <si>
    <t>Sn118_MR_sd</t>
  </si>
  <si>
    <t>Sn118_MR_flag</t>
  </si>
  <si>
    <t>Ir193_MR_conc</t>
  </si>
  <si>
    <t>Ir193_MR_sd</t>
  </si>
  <si>
    <t>Ir193_MR_flag</t>
  </si>
  <si>
    <t>K39_HR_conc</t>
  </si>
  <si>
    <t>K39_HR_sd</t>
  </si>
  <si>
    <t>K39_HR_flag</t>
  </si>
  <si>
    <t>Ge72_HR_conc</t>
  </si>
  <si>
    <t>Ge72_HR_sd</t>
  </si>
  <si>
    <t>Ge72_HR_flag</t>
  </si>
  <si>
    <t>As75_HR_conc</t>
  </si>
  <si>
    <t>As75_HR_sd</t>
  </si>
  <si>
    <t>As75_HR_flag</t>
  </si>
  <si>
    <t>Se77_HR_conc</t>
  </si>
  <si>
    <t>Se77_HR_sd</t>
  </si>
  <si>
    <t>Se77_HR_flag</t>
  </si>
  <si>
    <t>Se78_HR_conc</t>
  </si>
  <si>
    <t>Se78_HR_sd</t>
  </si>
  <si>
    <t>Se78_HR_flag</t>
  </si>
  <si>
    <t>Kr83_HR_conc</t>
  </si>
  <si>
    <t>Kr83_HR_sd</t>
  </si>
  <si>
    <t>Kr83_HR_flag</t>
  </si>
  <si>
    <t>In115_HR_conc</t>
  </si>
  <si>
    <t>In115_HR_sd</t>
  </si>
  <si>
    <t>In115_HR_flag</t>
  </si>
  <si>
    <t>Sn118_HR_conc</t>
  </si>
  <si>
    <t>Sn118_HR_sd</t>
  </si>
  <si>
    <t>Sn118_HR_flag</t>
  </si>
  <si>
    <t>Ir193_HR_conc</t>
  </si>
  <si>
    <t>Ir193_HR_sd</t>
  </si>
  <si>
    <t>Ir193_HR_flag</t>
  </si>
  <si>
    <t>QAFlag</t>
  </si>
  <si>
    <t>RepeatFlag</t>
  </si>
  <si>
    <t>AnalysisFlag</t>
  </si>
  <si>
    <t>SampleSeqNo</t>
  </si>
  <si>
    <t>V1</t>
  </si>
  <si>
    <t>M2</t>
  </si>
  <si>
    <t>V0</t>
  </si>
  <si>
    <t>V0Cp</t>
  </si>
  <si>
    <t>V0Rf</t>
  </si>
  <si>
    <t>V0Ru</t>
  </si>
  <si>
    <t>V1Ru</t>
  </si>
  <si>
    <t>V1Rf</t>
  </si>
  <si>
    <t>V0Rp</t>
  </si>
  <si>
    <t>Li7_LR_Inten</t>
  </si>
  <si>
    <t>Li7_LR_sdInten</t>
  </si>
  <si>
    <t>Be9_LR_Inten</t>
  </si>
  <si>
    <t>Be9_LR_sdInten</t>
  </si>
  <si>
    <t>Rb85_LR_Inten</t>
  </si>
  <si>
    <t>Rb85_LR_sdInten</t>
  </si>
  <si>
    <t>Sr88_LR_Inten</t>
  </si>
  <si>
    <t>Sr88_LR_sdInten</t>
  </si>
  <si>
    <t>Y89_LR_Inten</t>
  </si>
  <si>
    <t>Y89_LR_sdInten</t>
  </si>
  <si>
    <t>Mo95_LR_Inten</t>
  </si>
  <si>
    <t>Mo95_LR_sdInten</t>
  </si>
  <si>
    <t>Rh103_LR_Inten</t>
  </si>
  <si>
    <t>Rh103_LR_sdInten</t>
  </si>
  <si>
    <t>Pd105_LR_Inten</t>
  </si>
  <si>
    <t>Pd105_LR_sdInten</t>
  </si>
  <si>
    <t>Ag107_LR_Inten</t>
  </si>
  <si>
    <t>Ag107_LR_sdInten</t>
  </si>
  <si>
    <t>Cd111_LR_Inten</t>
  </si>
  <si>
    <t>Cd111_LR_sdInten</t>
  </si>
  <si>
    <t>In115_LR_Inten</t>
  </si>
  <si>
    <t>In115_LR_sdInten</t>
  </si>
  <si>
    <t>Sn118_LR_Inten</t>
  </si>
  <si>
    <t>Sn118_LR_sdInten</t>
  </si>
  <si>
    <t>Sb121_LR_Inten</t>
  </si>
  <si>
    <t>Sb121_LR_sdInten</t>
  </si>
  <si>
    <t>Cs133_LR_Inten</t>
  </si>
  <si>
    <t>Cs133_LR_sdInten</t>
  </si>
  <si>
    <t>Ba137_LR_Inten</t>
  </si>
  <si>
    <t>Ba137_LR_sdInten</t>
  </si>
  <si>
    <t>La139_LR_Inten</t>
  </si>
  <si>
    <t>La139_LR_sdInten</t>
  </si>
  <si>
    <t>Ce140_LR_Inten</t>
  </si>
  <si>
    <t>Ce140_LR_sdInten</t>
  </si>
  <si>
    <t>Nd146_LR_Inten</t>
  </si>
  <si>
    <t>Nd146_LR_sdInten</t>
  </si>
  <si>
    <t>Sm147_LR_Inten</t>
  </si>
  <si>
    <t>Sm147_LR_sdInten</t>
  </si>
  <si>
    <t>Gd157_LR_Inten</t>
  </si>
  <si>
    <t>Gd157_LR_sdInten</t>
  </si>
  <si>
    <t>Tb159_LR_Inten</t>
  </si>
  <si>
    <t>Tb159_LR_sdInten</t>
  </si>
  <si>
    <t>Dy163_LR_Inten</t>
  </si>
  <si>
    <t>Dy163_LR_sdInten</t>
  </si>
  <si>
    <t>W182_LR_Inten</t>
  </si>
  <si>
    <t>W182_LR_sdInten</t>
  </si>
  <si>
    <t>Ir193_LR_Inten</t>
  </si>
  <si>
    <t>Ir193_LR_sdInten</t>
  </si>
  <si>
    <t>Pt195_LR_Inten</t>
  </si>
  <si>
    <t>Pt195_LR_sdInten</t>
  </si>
  <si>
    <t>Tl205_LR_Inten</t>
  </si>
  <si>
    <t>Tl205_LR_sdInten</t>
  </si>
  <si>
    <t>Pb206_LR_Inten</t>
  </si>
  <si>
    <t>Pb206_LR_sdInten</t>
  </si>
  <si>
    <t>Pb207_LR_Inten</t>
  </si>
  <si>
    <t>Pb207_LR_sdInten</t>
  </si>
  <si>
    <t>Pb208_LR_Inten</t>
  </si>
  <si>
    <t>Pb208_LR_sdInten</t>
  </si>
  <si>
    <t>Bi209_LR_Inten</t>
  </si>
  <si>
    <t>Bi209_LR_sdInten</t>
  </si>
  <si>
    <t>Na23_MR_Inten</t>
  </si>
  <si>
    <t>Na23_MR_sdInten</t>
  </si>
  <si>
    <t>Mg24_MR_Inten</t>
  </si>
  <si>
    <t>Mg24_MR_sdInten</t>
  </si>
  <si>
    <t>Al27_MR_Inten</t>
  </si>
  <si>
    <t>Al27_MR_sdInten</t>
  </si>
  <si>
    <t>Si28_MR_Inten</t>
  </si>
  <si>
    <t>Si28_MR_sdInten</t>
  </si>
  <si>
    <t>P31_MR_Inten</t>
  </si>
  <si>
    <t>P31_MR_sdInten</t>
  </si>
  <si>
    <t>S32_MR_Inten</t>
  </si>
  <si>
    <t>S32_MR_sdInten</t>
  </si>
  <si>
    <t>Ca44_MR_Inten</t>
  </si>
  <si>
    <t>Ca44_MR_sdInten</t>
  </si>
  <si>
    <t>Ti47_MR_Inten</t>
  </si>
  <si>
    <t>Ti47_MR_sdInten</t>
  </si>
  <si>
    <t>V51_MR_Inten</t>
  </si>
  <si>
    <t>V51_MR_sdInten</t>
  </si>
  <si>
    <t>Cr52_MR_Inten</t>
  </si>
  <si>
    <t>Cr52_MR_sdInten</t>
  </si>
  <si>
    <t>Mn55_MR_Inten</t>
  </si>
  <si>
    <t>Mn55_MR_sdInten</t>
  </si>
  <si>
    <t>Fe56_MR_Inten</t>
  </si>
  <si>
    <t>Fe56_MR_sdInten</t>
  </si>
  <si>
    <t>Co59_MR_Inten</t>
  </si>
  <si>
    <t>Co59_MR_sdInten</t>
  </si>
  <si>
    <t>Ni60_MR_Inten</t>
  </si>
  <si>
    <t>Ni60_MR_sdInten</t>
  </si>
  <si>
    <t>Cu63_MR_Inten</t>
  </si>
  <si>
    <t>Cu63_MR_sdInten</t>
  </si>
  <si>
    <t>Zn66_MR_Inten</t>
  </si>
  <si>
    <t>Zn66_MR_sdInten</t>
  </si>
  <si>
    <t>In115_MR_Inten</t>
  </si>
  <si>
    <t>In115_MR_sdInten</t>
  </si>
  <si>
    <t>Sn118_MR_Inten</t>
  </si>
  <si>
    <t>Sn118_MR_sdInten</t>
  </si>
  <si>
    <t>Ir193_MR_Inten</t>
  </si>
  <si>
    <t>Ir193_MR_sdInten</t>
  </si>
  <si>
    <t>K39_HR_Inten</t>
  </si>
  <si>
    <t>K39_HR_sdInten</t>
  </si>
  <si>
    <t>Ge72_HR_Inten</t>
  </si>
  <si>
    <t>Ge72_HR_sdInten</t>
  </si>
  <si>
    <t>As75_HR_Inten</t>
  </si>
  <si>
    <t>As75_HR_sdInten</t>
  </si>
  <si>
    <t>Se77_HR_Inten</t>
  </si>
  <si>
    <t>Se77_HR_sdInten</t>
  </si>
  <si>
    <t>Se78_HR_Inten</t>
  </si>
  <si>
    <t>Se78_HR_sdInten</t>
  </si>
  <si>
    <t>Kr83_HR_Inten</t>
  </si>
  <si>
    <t>Kr83_HR_sdInten</t>
  </si>
  <si>
    <t>In115_HR_Inten</t>
  </si>
  <si>
    <t>In115_HR_sdInten</t>
  </si>
  <si>
    <t>Sn118_HR_Inten</t>
  </si>
  <si>
    <t>Sn118_HR_sdInten</t>
  </si>
  <si>
    <t>Ir193_HR_Inten</t>
  </si>
  <si>
    <t>Ir193_HR_sdInten</t>
  </si>
</sst>
</file>

<file path=xl/styles.xml><?xml version="1.0" encoding="utf-8"?>
<styleSheet xmlns="http://schemas.openxmlformats.org/spreadsheetml/2006/main">
  <numFmts count="5">
    <numFmt numFmtId="165" formatCode="0.000000"/>
    <numFmt numFmtId="166" formatCode="0.0000"/>
    <numFmt numFmtId="167" formatCode="0.000"/>
    <numFmt numFmtId="168" formatCode="0.0"/>
    <numFmt numFmtId="169" formatCode="0.00000"/>
  </numFmts>
  <fonts count="5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0" borderId="0" xfId="0" applyFont="1"/>
    <xf numFmtId="166" fontId="0" fillId="0" borderId="0" xfId="0" applyNumberFormat="1"/>
    <xf numFmtId="0" fontId="3" fillId="0" borderId="0" xfId="0" applyFont="1"/>
    <xf numFmtId="0" fontId="3" fillId="2" borderId="0" xfId="0" applyFont="1" applyFill="1"/>
    <xf numFmtId="167" fontId="1" fillId="0" borderId="0" xfId="0" applyNumberFormat="1" applyFont="1" applyAlignment="1">
      <alignment horizontal="center"/>
    </xf>
    <xf numFmtId="168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66" fontId="1" fillId="0" borderId="0" xfId="0" applyNumberFormat="1" applyFont="1"/>
    <xf numFmtId="169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0" fillId="0" borderId="0" xfId="0" applyFill="1"/>
    <xf numFmtId="165" fontId="0" fillId="0" borderId="0" xfId="0" applyNumberFormat="1" applyFill="1"/>
    <xf numFmtId="0" fontId="3" fillId="0" borderId="0" xfId="0" applyFont="1" applyFill="1"/>
    <xf numFmtId="0" fontId="2" fillId="0" borderId="0" xfId="0" applyFont="1" applyFill="1"/>
    <xf numFmtId="0" fontId="0" fillId="3" borderId="0" xfId="0" applyFill="1"/>
    <xf numFmtId="0" fontId="2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left"/>
    </xf>
    <xf numFmtId="165" fontId="0" fillId="0" borderId="0" xfId="0" applyNumberFormat="1"/>
    <xf numFmtId="3" fontId="0" fillId="0" borderId="0" xfId="0" applyNumberFormat="1"/>
    <xf numFmtId="168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90-4A14-8937-28A5F0FAA677}"/>
            </c:ext>
          </c:extLst>
        </c:ser>
        <c:marker val="1"/>
        <c:axId val="127597184"/>
        <c:axId val="127599360"/>
      </c:lineChart>
      <c:catAx>
        <c:axId val="1275971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99360"/>
        <c:crosses val="autoZero"/>
        <c:auto val="1"/>
        <c:lblAlgn val="ctr"/>
        <c:lblOffset val="100"/>
        <c:tickLblSkip val="1"/>
        <c:tickMarkSkip val="1"/>
      </c:catAx>
      <c:valAx>
        <c:axId val="12759936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971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DC-458B-B995-CAADECF175E7}"/>
            </c:ext>
          </c:extLst>
        </c:ser>
        <c:marker val="1"/>
        <c:axId val="151103360"/>
        <c:axId val="152230144"/>
      </c:lineChart>
      <c:catAx>
        <c:axId val="15110336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30144"/>
        <c:crosses val="autoZero"/>
        <c:auto val="1"/>
        <c:lblAlgn val="ctr"/>
        <c:lblOffset val="100"/>
        <c:tickLblSkip val="1"/>
        <c:tickMarkSkip val="1"/>
      </c:catAx>
      <c:valAx>
        <c:axId val="1522301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103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Processed!#REF!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Processed!#REF!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7E-49D3-8567-CD3C03BB73E2}"/>
            </c:ext>
          </c:extLst>
        </c:ser>
        <c:marker val="1"/>
        <c:axId val="127846656"/>
        <c:axId val="127848832"/>
      </c:lineChart>
      <c:catAx>
        <c:axId val="12784665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48832"/>
        <c:crosses val="autoZero"/>
        <c:auto val="1"/>
        <c:lblAlgn val="ctr"/>
        <c:lblOffset val="100"/>
        <c:tickLblSkip val="1"/>
        <c:tickMarkSkip val="1"/>
      </c:catAx>
      <c:valAx>
        <c:axId val="1278488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846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EF-4507-9588-9D2E87A787AB}"/>
            </c:ext>
          </c:extLst>
        </c:ser>
        <c:marker val="1"/>
        <c:axId val="127961728"/>
        <c:axId val="127976192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BEF-4507-9588-9D2E87A787AB}"/>
            </c:ext>
          </c:extLst>
        </c:ser>
        <c:marker val="1"/>
        <c:axId val="127977728"/>
        <c:axId val="127979520"/>
      </c:lineChart>
      <c:catAx>
        <c:axId val="12796172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76192"/>
        <c:crosses val="autoZero"/>
        <c:lblAlgn val="ctr"/>
        <c:lblOffset val="100"/>
        <c:tickLblSkip val="1"/>
        <c:tickMarkSkip val="1"/>
      </c:catAx>
      <c:valAx>
        <c:axId val="127976192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61728"/>
        <c:crosses val="autoZero"/>
        <c:crossBetween val="between"/>
      </c:valAx>
      <c:catAx>
        <c:axId val="127977728"/>
        <c:scaling>
          <c:orientation val="minMax"/>
        </c:scaling>
        <c:delete val="1"/>
        <c:axPos val="b"/>
        <c:tickLblPos val="none"/>
        <c:crossAx val="127979520"/>
        <c:crosses val="autoZero"/>
        <c:lblAlgn val="ctr"/>
        <c:lblOffset val="100"/>
      </c:catAx>
      <c:valAx>
        <c:axId val="12797952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7772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57-4461-AFDC-9FC0CB55278D}"/>
            </c:ext>
          </c:extLst>
        </c:ser>
        <c:ser>
          <c:idx val="2"/>
          <c:order val="1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757-4461-AFDC-9FC0CB55278D}"/>
            </c:ext>
          </c:extLst>
        </c:ser>
        <c:marker val="1"/>
        <c:axId val="127988096"/>
        <c:axId val="127990016"/>
      </c:lineChart>
      <c:catAx>
        <c:axId val="12798809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90016"/>
        <c:crosses val="autoZero"/>
        <c:auto val="1"/>
        <c:lblAlgn val="ctr"/>
        <c:lblOffset val="100"/>
        <c:tickLblSkip val="1"/>
        <c:tickMarkSkip val="1"/>
      </c:catAx>
      <c:valAx>
        <c:axId val="1279900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88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550-40F2-A4D4-1BD1AB712021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550-40F2-A4D4-1BD1AB712021}"/>
            </c:ext>
          </c:extLst>
        </c:ser>
        <c:marker val="1"/>
        <c:axId val="150350464"/>
        <c:axId val="150356736"/>
      </c:lineChart>
      <c:catAx>
        <c:axId val="1503504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56736"/>
        <c:crosses val="autoZero"/>
        <c:auto val="1"/>
        <c:lblAlgn val="ctr"/>
        <c:lblOffset val="100"/>
        <c:tickLblSkip val="1"/>
        <c:tickMarkSkip val="1"/>
      </c:catAx>
      <c:valAx>
        <c:axId val="150356736"/>
        <c:scaling>
          <c:orientation val="minMax"/>
          <c:max val="2000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50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57-4D8F-9950-5CF8651768D0}"/>
            </c:ext>
          </c:extLst>
        </c:ser>
        <c:marker val="1"/>
        <c:axId val="150395136"/>
        <c:axId val="150397312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57-4D8F-9950-5CF8651768D0}"/>
            </c:ext>
          </c:extLst>
        </c:ser>
        <c:marker val="1"/>
        <c:axId val="150398848"/>
        <c:axId val="150400384"/>
      </c:lineChart>
      <c:catAx>
        <c:axId val="15039513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7312"/>
        <c:crosses val="autoZero"/>
        <c:lblAlgn val="ctr"/>
        <c:lblOffset val="100"/>
        <c:tickLblSkip val="1"/>
        <c:tickMarkSkip val="1"/>
      </c:catAx>
      <c:valAx>
        <c:axId val="150397312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5136"/>
        <c:crosses val="autoZero"/>
        <c:crossBetween val="between"/>
      </c:valAx>
      <c:catAx>
        <c:axId val="150398848"/>
        <c:scaling>
          <c:orientation val="minMax"/>
        </c:scaling>
        <c:delete val="1"/>
        <c:axPos val="b"/>
        <c:tickLblPos val="none"/>
        <c:crossAx val="150400384"/>
        <c:crosses val="autoZero"/>
        <c:lblAlgn val="ctr"/>
        <c:lblOffset val="100"/>
      </c:catAx>
      <c:valAx>
        <c:axId val="150400384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39884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7E-42CA-ABB1-D0479079897F}"/>
            </c:ext>
          </c:extLst>
        </c:ser>
        <c:marker val="1"/>
        <c:axId val="150443136"/>
        <c:axId val="150445056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47E-42CA-ABB1-D0479079897F}"/>
            </c:ext>
          </c:extLst>
        </c:ser>
        <c:marker val="1"/>
        <c:axId val="150446848"/>
        <c:axId val="150448384"/>
      </c:lineChart>
      <c:catAx>
        <c:axId val="15044313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5056"/>
        <c:crosses val="autoZero"/>
        <c:lblAlgn val="ctr"/>
        <c:lblOffset val="100"/>
        <c:tickLblSkip val="1"/>
        <c:tickMarkSkip val="1"/>
      </c:catAx>
      <c:valAx>
        <c:axId val="150445056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3136"/>
        <c:crosses val="autoZero"/>
        <c:crossBetween val="between"/>
      </c:valAx>
      <c:catAx>
        <c:axId val="150446848"/>
        <c:scaling>
          <c:orientation val="minMax"/>
        </c:scaling>
        <c:delete val="1"/>
        <c:axPos val="b"/>
        <c:tickLblPos val="none"/>
        <c:crossAx val="150448384"/>
        <c:crosses val="autoZero"/>
        <c:lblAlgn val="ctr"/>
        <c:lblOffset val="100"/>
      </c:catAx>
      <c:valAx>
        <c:axId val="150448384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4684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9C-4728-AEB1-79CA83141921}"/>
            </c:ext>
          </c:extLst>
        </c:ser>
        <c:marker val="1"/>
        <c:axId val="150487040"/>
        <c:axId val="150488960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99C-4728-AEB1-79CA83141921}"/>
            </c:ext>
          </c:extLst>
        </c:ser>
        <c:marker val="1"/>
        <c:axId val="150490496"/>
        <c:axId val="150492288"/>
      </c:lineChart>
      <c:catAx>
        <c:axId val="150487040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88960"/>
        <c:crosses val="autoZero"/>
        <c:lblAlgn val="ctr"/>
        <c:lblOffset val="100"/>
        <c:tickLblSkip val="1"/>
        <c:tickMarkSkip val="1"/>
      </c:catAx>
      <c:valAx>
        <c:axId val="150488960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87040"/>
        <c:crosses val="autoZero"/>
        <c:crossBetween val="between"/>
      </c:valAx>
      <c:catAx>
        <c:axId val="150490496"/>
        <c:scaling>
          <c:orientation val="minMax"/>
        </c:scaling>
        <c:delete val="1"/>
        <c:axPos val="b"/>
        <c:tickLblPos val="none"/>
        <c:crossAx val="150492288"/>
        <c:crosses val="autoZero"/>
        <c:lblAlgn val="ctr"/>
        <c:lblOffset val="100"/>
      </c:catAx>
      <c:valAx>
        <c:axId val="150492288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49049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241-47DF-BD72-72BA6BC07895}"/>
            </c:ext>
          </c:extLst>
        </c:ser>
        <c:marker val="1"/>
        <c:axId val="150518400"/>
        <c:axId val="150602496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241-47DF-BD72-72BA6BC07895}"/>
            </c:ext>
          </c:extLst>
        </c:ser>
        <c:marker val="1"/>
        <c:axId val="150604032"/>
        <c:axId val="150609920"/>
      </c:lineChart>
      <c:catAx>
        <c:axId val="150518400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02496"/>
        <c:crosses val="autoZero"/>
        <c:lblAlgn val="ctr"/>
        <c:lblOffset val="100"/>
        <c:tickLblSkip val="1"/>
        <c:tickMarkSkip val="1"/>
      </c:catAx>
      <c:valAx>
        <c:axId val="150602496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518400"/>
        <c:crosses val="autoZero"/>
        <c:crossBetween val="between"/>
      </c:valAx>
      <c:catAx>
        <c:axId val="150604032"/>
        <c:scaling>
          <c:orientation val="minMax"/>
        </c:scaling>
        <c:delete val="1"/>
        <c:axPos val="b"/>
        <c:tickLblPos val="none"/>
        <c:crossAx val="150609920"/>
        <c:crosses val="autoZero"/>
        <c:lblAlgn val="ctr"/>
        <c:lblOffset val="100"/>
      </c:catAx>
      <c:valAx>
        <c:axId val="15060992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04032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CB-4BBD-80D7-D4FA93D5F5A2}"/>
            </c:ext>
          </c:extLst>
        </c:ser>
        <c:marker val="1"/>
        <c:axId val="150636032"/>
        <c:axId val="150637952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8CB-4BBD-80D7-D4FA93D5F5A2}"/>
            </c:ext>
          </c:extLst>
        </c:ser>
        <c:marker val="1"/>
        <c:axId val="150660224"/>
        <c:axId val="150661760"/>
      </c:lineChart>
      <c:catAx>
        <c:axId val="150636032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37952"/>
        <c:crosses val="autoZero"/>
        <c:lblAlgn val="ctr"/>
        <c:lblOffset val="100"/>
        <c:tickLblSkip val="1"/>
        <c:tickMarkSkip val="1"/>
      </c:catAx>
      <c:valAx>
        <c:axId val="150637952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36032"/>
        <c:crosses val="autoZero"/>
        <c:crossBetween val="between"/>
      </c:valAx>
      <c:catAx>
        <c:axId val="150660224"/>
        <c:scaling>
          <c:orientation val="minMax"/>
        </c:scaling>
        <c:delete val="1"/>
        <c:axPos val="b"/>
        <c:tickLblPos val="none"/>
        <c:crossAx val="150661760"/>
        <c:crosses val="autoZero"/>
        <c:lblAlgn val="ctr"/>
        <c:lblOffset val="100"/>
      </c:catAx>
      <c:valAx>
        <c:axId val="15066176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6602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7FF-4FAB-AB8C-D8A8E896170A}"/>
            </c:ext>
          </c:extLst>
        </c:ser>
        <c:marker val="1"/>
        <c:axId val="150708608"/>
        <c:axId val="150710528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7FF-4FAB-AB8C-D8A8E896170A}"/>
            </c:ext>
          </c:extLst>
        </c:ser>
        <c:marker val="1"/>
        <c:axId val="150716416"/>
        <c:axId val="150717952"/>
      </c:lineChart>
      <c:catAx>
        <c:axId val="15070860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10528"/>
        <c:crosses val="autoZero"/>
        <c:lblAlgn val="ctr"/>
        <c:lblOffset val="100"/>
        <c:tickLblSkip val="10"/>
        <c:tickMarkSkip val="10"/>
      </c:catAx>
      <c:valAx>
        <c:axId val="150710528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08608"/>
        <c:crosses val="autoZero"/>
        <c:crossBetween val="between"/>
      </c:valAx>
      <c:catAx>
        <c:axId val="150716416"/>
        <c:scaling>
          <c:orientation val="minMax"/>
        </c:scaling>
        <c:delete val="1"/>
        <c:axPos val="b"/>
        <c:tickLblPos val="none"/>
        <c:crossAx val="150717952"/>
        <c:crosses val="autoZero"/>
        <c:lblAlgn val="ctr"/>
        <c:lblOffset val="100"/>
      </c:catAx>
      <c:valAx>
        <c:axId val="150717952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1641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8AA-4F11-86D9-976366D2349E}"/>
            </c:ext>
          </c:extLst>
        </c:ser>
        <c:marker val="1"/>
        <c:axId val="150752256"/>
        <c:axId val="150766720"/>
      </c:lineChart>
      <c:lineChart>
        <c:grouping val="standard"/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8AA-4F11-86D9-976366D2349E}"/>
            </c:ext>
          </c:extLst>
        </c:ser>
        <c:marker val="1"/>
        <c:axId val="150768256"/>
        <c:axId val="150843776"/>
      </c:lineChart>
      <c:catAx>
        <c:axId val="15075225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66720"/>
        <c:crosses val="autoZero"/>
        <c:lblAlgn val="ctr"/>
        <c:lblOffset val="100"/>
        <c:tickLblSkip val="1"/>
        <c:tickMarkSkip val="1"/>
      </c:catAx>
      <c:valAx>
        <c:axId val="150766720"/>
        <c:scaling>
          <c:orientation val="minMax"/>
        </c:scaling>
        <c:axPos val="l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52256"/>
        <c:crosses val="autoZero"/>
        <c:crossBetween val="between"/>
      </c:valAx>
      <c:catAx>
        <c:axId val="150768256"/>
        <c:scaling>
          <c:orientation val="minMax"/>
        </c:scaling>
        <c:delete val="1"/>
        <c:axPos val="b"/>
        <c:tickLblPos val="none"/>
        <c:crossAx val="150843776"/>
        <c:crosses val="autoZero"/>
        <c:lblAlgn val="ctr"/>
        <c:lblOffset val="100"/>
      </c:catAx>
      <c:valAx>
        <c:axId val="150843776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76825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DD-4A04-B13B-B6B80B2E6CA3}"/>
            </c:ext>
          </c:extLst>
        </c:ser>
        <c:marker val="1"/>
        <c:axId val="150879616"/>
        <c:axId val="150885888"/>
      </c:lineChart>
      <c:catAx>
        <c:axId val="1508796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85888"/>
        <c:crosses val="autoZero"/>
        <c:auto val="1"/>
        <c:lblAlgn val="ctr"/>
        <c:lblOffset val="100"/>
        <c:tickLblSkip val="1"/>
        <c:tickMarkSkip val="1"/>
      </c:catAx>
      <c:valAx>
        <c:axId val="1508858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0879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378-4759-B6F1-6DC8CEC9D83D}"/>
            </c:ext>
          </c:extLst>
        </c:ser>
        <c:marker val="1"/>
        <c:axId val="151024768"/>
        <c:axId val="151026688"/>
      </c:lineChart>
      <c:catAx>
        <c:axId val="15102476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26688"/>
        <c:crosses val="autoZero"/>
        <c:auto val="1"/>
        <c:lblAlgn val="ctr"/>
        <c:lblOffset val="100"/>
        <c:tickLblSkip val="1"/>
        <c:tickMarkSkip val="1"/>
      </c:catAx>
      <c:valAx>
        <c:axId val="1510266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24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4AD-4351-A2CA-B755C0B1AA60}"/>
            </c:ext>
          </c:extLst>
        </c:ser>
        <c:marker val="1"/>
        <c:axId val="151087744"/>
        <c:axId val="152216320"/>
      </c:lineChart>
      <c:catAx>
        <c:axId val="1510877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16320"/>
        <c:crosses val="autoZero"/>
        <c:auto val="1"/>
        <c:lblAlgn val="ctr"/>
        <c:lblOffset val="100"/>
        <c:tickLblSkip val="1"/>
        <c:tickMarkSkip val="1"/>
      </c:catAx>
      <c:valAx>
        <c:axId val="152216320"/>
        <c:scaling>
          <c:orientation val="minMax"/>
          <c:min val="80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087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690-4891-96A9-8D3CB72B14A7}"/>
            </c:ext>
          </c:extLst>
        </c:ser>
        <c:marker val="1"/>
        <c:axId val="152412544"/>
        <c:axId val="152414464"/>
      </c:lineChart>
      <c:catAx>
        <c:axId val="15241254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4464"/>
        <c:crosses val="autoZero"/>
        <c:auto val="1"/>
        <c:lblAlgn val="ctr"/>
        <c:lblOffset val="100"/>
        <c:tickLblSkip val="1"/>
        <c:tickMarkSkip val="1"/>
      </c:catAx>
      <c:valAx>
        <c:axId val="15241446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1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1E-4973-95E4-CA25BCE2A313}"/>
            </c:ext>
          </c:extLst>
        </c:ser>
        <c:marker val="1"/>
        <c:axId val="152430464"/>
        <c:axId val="152776704"/>
      </c:lineChart>
      <c:catAx>
        <c:axId val="1524304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76704"/>
        <c:crosses val="autoZero"/>
        <c:auto val="1"/>
        <c:lblAlgn val="ctr"/>
        <c:lblOffset val="100"/>
        <c:tickLblSkip val="1"/>
        <c:tickMarkSkip val="1"/>
      </c:catAx>
      <c:valAx>
        <c:axId val="1527767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30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BEB-4FDA-8220-B1AA4A6A82A9}"/>
            </c:ext>
          </c:extLst>
        </c:ser>
        <c:marker val="1"/>
        <c:axId val="152792448"/>
        <c:axId val="152802816"/>
      </c:lineChart>
      <c:catAx>
        <c:axId val="15279244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802816"/>
        <c:crosses val="autoZero"/>
        <c:auto val="1"/>
        <c:lblAlgn val="ctr"/>
        <c:lblOffset val="100"/>
        <c:tickLblSkip val="1"/>
        <c:tickMarkSkip val="1"/>
      </c:catAx>
      <c:valAx>
        <c:axId val="1528028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792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AD-4E10-8EAD-D52BE376DD3F}"/>
            </c:ext>
          </c:extLst>
        </c:ser>
        <c:marker val="1"/>
        <c:axId val="102630528"/>
        <c:axId val="102632448"/>
      </c:lineChart>
      <c:catAx>
        <c:axId val="10263052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32448"/>
        <c:crosses val="autoZero"/>
        <c:auto val="1"/>
        <c:lblAlgn val="ctr"/>
        <c:lblOffset val="100"/>
        <c:tickLblSkip val="1"/>
        <c:tickMarkSkip val="1"/>
      </c:catAx>
      <c:valAx>
        <c:axId val="102632448"/>
        <c:scaling>
          <c:orientation val="minMax"/>
          <c:min val="600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30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IS_Check!#REF!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IS_Check!#REF!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DDE-40EC-8C29-B588C53FFC22}"/>
            </c:ext>
          </c:extLst>
        </c:ser>
        <c:marker val="1"/>
        <c:axId val="102656640"/>
        <c:axId val="102671104"/>
      </c:lineChart>
      <c:catAx>
        <c:axId val="1026566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71104"/>
        <c:crosses val="autoZero"/>
        <c:auto val="1"/>
        <c:lblAlgn val="ctr"/>
        <c:lblOffset val="100"/>
        <c:tickLblSkip val="1"/>
        <c:tickMarkSkip val="1"/>
      </c:catAx>
      <c:valAx>
        <c:axId val="1026711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56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IS_Check!#REF!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IS_Check!#REF!</c:f>
              <c:numCache>
                <c:formatCode>General</c:formatCode>
                <c:ptCount val="117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A86-4D38-AE40-3B43A7BB214D}"/>
            </c:ext>
          </c:extLst>
        </c:ser>
        <c:axId val="102691584"/>
        <c:axId val="102693504"/>
      </c:scatterChart>
      <c:valAx>
        <c:axId val="10269158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3504"/>
        <c:crosses val="autoZero"/>
        <c:crossBetween val="midCat"/>
      </c:valAx>
      <c:valAx>
        <c:axId val="1026935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scatterChart>
        <c:scatterStyle val="smoothMarker"/>
        <c:ser>
          <c:idx val="0"/>
          <c:order val="0"/>
          <c:tx>
            <c:strRef>
              <c:f>IS_Check!#REF!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IS_Check!#REF!</c:f>
              <c:numCache>
                <c:formatCode>General</c:formatCode>
                <c:ptCount val="117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FB9-4862-9A52-849E31344B3D}"/>
            </c:ext>
          </c:extLst>
        </c:ser>
        <c:axId val="102717696"/>
        <c:axId val="102732160"/>
      </c:scatterChart>
      <c:valAx>
        <c:axId val="1027176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2160"/>
        <c:crosses val="autoZero"/>
        <c:crossBetween val="midCat"/>
      </c:valAx>
      <c:valAx>
        <c:axId val="1027321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0</xdr:rowOff>
    </xdr:from>
    <xdr:to>
      <xdr:col>13</xdr:col>
      <xdr:colOff>161925</xdr:colOff>
      <xdr:row>0</xdr:row>
      <xdr:rowOff>0</xdr:rowOff>
    </xdr:to>
    <xdr:graphicFrame macro="">
      <xdr:nvGraphicFramePr>
        <xdr:cNvPr id="2" name="Chart 557">
          <a:extLst>
            <a:ext uri="{FF2B5EF4-FFF2-40B4-BE49-F238E27FC236}">
              <a16:creationId xmlns="" xmlns:a16="http://schemas.microsoft.com/office/drawing/2014/main" id="{00000000-0008-0000-0300-000077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95250</xdr:colOff>
      <xdr:row>0</xdr:row>
      <xdr:rowOff>0</xdr:rowOff>
    </xdr:from>
    <xdr:to>
      <xdr:col>28</xdr:col>
      <xdr:colOff>266700</xdr:colOff>
      <xdr:row>0</xdr:row>
      <xdr:rowOff>0</xdr:rowOff>
    </xdr:to>
    <xdr:graphicFrame macro="">
      <xdr:nvGraphicFramePr>
        <xdr:cNvPr id="3" name="Chart 559">
          <a:extLst>
            <a:ext uri="{FF2B5EF4-FFF2-40B4-BE49-F238E27FC236}">
              <a16:creationId xmlns="" xmlns:a16="http://schemas.microsoft.com/office/drawing/2014/main" id="{00000000-0008-0000-0300-000078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124</xdr:col>
      <xdr:colOff>19050</xdr:colOff>
      <xdr:row>0</xdr:row>
      <xdr:rowOff>0</xdr:rowOff>
    </xdr:from>
    <xdr:to>
      <xdr:col>140</xdr:col>
      <xdr:colOff>333375</xdr:colOff>
      <xdr:row>0</xdr:row>
      <xdr:rowOff>0</xdr:rowOff>
    </xdr:to>
    <xdr:graphicFrame macro="">
      <xdr:nvGraphicFramePr>
        <xdr:cNvPr id="4" name="Chart 561">
          <a:extLst>
            <a:ext uri="{FF2B5EF4-FFF2-40B4-BE49-F238E27FC236}">
              <a16:creationId xmlns="" xmlns:a16="http://schemas.microsoft.com/office/drawing/2014/main" id="{00000000-0008-0000-0300-0000791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171450</xdr:colOff>
      <xdr:row>0</xdr:row>
      <xdr:rowOff>0</xdr:rowOff>
    </xdr:from>
    <xdr:to>
      <xdr:col>165</xdr:col>
      <xdr:colOff>561975</xdr:colOff>
      <xdr:row>0</xdr:row>
      <xdr:rowOff>0</xdr:rowOff>
    </xdr:to>
    <xdr:graphicFrame macro="">
      <xdr:nvGraphicFramePr>
        <xdr:cNvPr id="2" name="Chart 885">
          <a:extLst>
            <a:ext uri="{FF2B5EF4-FFF2-40B4-BE49-F238E27FC236}">
              <a16:creationId xmlns="" xmlns:a16="http://schemas.microsoft.com/office/drawing/2014/main" id="{00000000-0008-0000-0400-00008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163</xdr:col>
      <xdr:colOff>76200</xdr:colOff>
      <xdr:row>0</xdr:row>
      <xdr:rowOff>0</xdr:rowOff>
    </xdr:from>
    <xdr:to>
      <xdr:col>175</xdr:col>
      <xdr:colOff>247650</xdr:colOff>
      <xdr:row>0</xdr:row>
      <xdr:rowOff>0</xdr:rowOff>
    </xdr:to>
    <xdr:graphicFrame macro="">
      <xdr:nvGraphicFramePr>
        <xdr:cNvPr id="3" name="Chart 886">
          <a:extLst>
            <a:ext uri="{FF2B5EF4-FFF2-40B4-BE49-F238E27FC236}">
              <a16:creationId xmlns="" xmlns:a16="http://schemas.microsoft.com/office/drawing/2014/main" id="{00000000-0008-0000-0400-00008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163</xdr:col>
      <xdr:colOff>66675</xdr:colOff>
      <xdr:row>0</xdr:row>
      <xdr:rowOff>0</xdr:rowOff>
    </xdr:from>
    <xdr:to>
      <xdr:col>175</xdr:col>
      <xdr:colOff>238125</xdr:colOff>
      <xdr:row>0</xdr:row>
      <xdr:rowOff>0</xdr:rowOff>
    </xdr:to>
    <xdr:graphicFrame macro="">
      <xdr:nvGraphicFramePr>
        <xdr:cNvPr id="4" name="Chart 887">
          <a:extLst>
            <a:ext uri="{FF2B5EF4-FFF2-40B4-BE49-F238E27FC236}">
              <a16:creationId xmlns="" xmlns:a16="http://schemas.microsoft.com/office/drawing/2014/main" id="{00000000-0008-0000-0400-00008C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145</xdr:col>
      <xdr:colOff>219075</xdr:colOff>
      <xdr:row>0</xdr:row>
      <xdr:rowOff>0</xdr:rowOff>
    </xdr:from>
    <xdr:to>
      <xdr:col>165</xdr:col>
      <xdr:colOff>590550</xdr:colOff>
      <xdr:row>0</xdr:row>
      <xdr:rowOff>0</xdr:rowOff>
    </xdr:to>
    <xdr:graphicFrame macro="">
      <xdr:nvGraphicFramePr>
        <xdr:cNvPr id="5" name="Chart 890">
          <a:extLst>
            <a:ext uri="{FF2B5EF4-FFF2-40B4-BE49-F238E27FC236}">
              <a16:creationId xmlns="" xmlns:a16="http://schemas.microsoft.com/office/drawing/2014/main" id="{00000000-0008-0000-0400-00008D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733425</xdr:colOff>
      <xdr:row>0</xdr:row>
      <xdr:rowOff>0</xdr:rowOff>
    </xdr:from>
    <xdr:to>
      <xdr:col>37</xdr:col>
      <xdr:colOff>238125</xdr:colOff>
      <xdr:row>0</xdr:row>
      <xdr:rowOff>0</xdr:rowOff>
    </xdr:to>
    <xdr:graphicFrame macro="">
      <xdr:nvGraphicFramePr>
        <xdr:cNvPr id="6" name="Chart 894">
          <a:extLst>
            <a:ext uri="{FF2B5EF4-FFF2-40B4-BE49-F238E27FC236}">
              <a16:creationId xmlns="" xmlns:a16="http://schemas.microsoft.com/office/drawing/2014/main" id="{00000000-0008-0000-0400-00008E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752475</xdr:colOff>
      <xdr:row>0</xdr:row>
      <xdr:rowOff>0</xdr:rowOff>
    </xdr:from>
    <xdr:to>
      <xdr:col>37</xdr:col>
      <xdr:colOff>247650</xdr:colOff>
      <xdr:row>0</xdr:row>
      <xdr:rowOff>0</xdr:rowOff>
    </xdr:to>
    <xdr:graphicFrame macro="">
      <xdr:nvGraphicFramePr>
        <xdr:cNvPr id="7" name="Chart 895">
          <a:extLst>
            <a:ext uri="{FF2B5EF4-FFF2-40B4-BE49-F238E27FC236}">
              <a16:creationId xmlns="" xmlns:a16="http://schemas.microsoft.com/office/drawing/2014/main" id="{00000000-0008-0000-0400-00008F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742950</xdr:colOff>
      <xdr:row>0</xdr:row>
      <xdr:rowOff>0</xdr:rowOff>
    </xdr:from>
    <xdr:to>
      <xdr:col>37</xdr:col>
      <xdr:colOff>257175</xdr:colOff>
      <xdr:row>0</xdr:row>
      <xdr:rowOff>0</xdr:rowOff>
    </xdr:to>
    <xdr:graphicFrame macro="">
      <xdr:nvGraphicFramePr>
        <xdr:cNvPr id="8" name="Chart 896">
          <a:extLst>
            <a:ext uri="{FF2B5EF4-FFF2-40B4-BE49-F238E27FC236}">
              <a16:creationId xmlns="" xmlns:a16="http://schemas.microsoft.com/office/drawing/2014/main" id="{00000000-0008-0000-0400-000090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466725</xdr:colOff>
      <xdr:row>0</xdr:row>
      <xdr:rowOff>0</xdr:rowOff>
    </xdr:from>
    <xdr:to>
      <xdr:col>35</xdr:col>
      <xdr:colOff>285750</xdr:colOff>
      <xdr:row>0</xdr:row>
      <xdr:rowOff>0</xdr:rowOff>
    </xdr:to>
    <xdr:graphicFrame macro="">
      <xdr:nvGraphicFramePr>
        <xdr:cNvPr id="9" name="Chart 897">
          <a:extLst>
            <a:ext uri="{FF2B5EF4-FFF2-40B4-BE49-F238E27FC236}">
              <a16:creationId xmlns="" xmlns:a16="http://schemas.microsoft.com/office/drawing/2014/main" id="{00000000-0008-0000-0400-000091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172</xdr:col>
      <xdr:colOff>647700</xdr:colOff>
      <xdr:row>0</xdr:row>
      <xdr:rowOff>0</xdr:rowOff>
    </xdr:from>
    <xdr:to>
      <xdr:col>184</xdr:col>
      <xdr:colOff>333375</xdr:colOff>
      <xdr:row>0</xdr:row>
      <xdr:rowOff>0</xdr:rowOff>
    </xdr:to>
    <xdr:graphicFrame macro="">
      <xdr:nvGraphicFramePr>
        <xdr:cNvPr id="10" name="Chart 911">
          <a:extLst>
            <a:ext uri="{FF2B5EF4-FFF2-40B4-BE49-F238E27FC236}">
              <a16:creationId xmlns="" xmlns:a16="http://schemas.microsoft.com/office/drawing/2014/main" id="{00000000-0008-0000-0400-000092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148</xdr:col>
      <xdr:colOff>809625</xdr:colOff>
      <xdr:row>0</xdr:row>
      <xdr:rowOff>0</xdr:rowOff>
    </xdr:from>
    <xdr:to>
      <xdr:col>160</xdr:col>
      <xdr:colOff>314325</xdr:colOff>
      <xdr:row>0</xdr:row>
      <xdr:rowOff>0</xdr:rowOff>
    </xdr:to>
    <xdr:graphicFrame macro="">
      <xdr:nvGraphicFramePr>
        <xdr:cNvPr id="11" name="Chart 912">
          <a:extLst>
            <a:ext uri="{FF2B5EF4-FFF2-40B4-BE49-F238E27FC236}">
              <a16:creationId xmlns="" xmlns:a16="http://schemas.microsoft.com/office/drawing/2014/main" id="{00000000-0008-0000-0400-000093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175</xdr:col>
      <xdr:colOff>895350</xdr:colOff>
      <xdr:row>0</xdr:row>
      <xdr:rowOff>0</xdr:rowOff>
    </xdr:from>
    <xdr:to>
      <xdr:col>182</xdr:col>
      <xdr:colOff>209550</xdr:colOff>
      <xdr:row>0</xdr:row>
      <xdr:rowOff>0</xdr:rowOff>
    </xdr:to>
    <xdr:graphicFrame macro="">
      <xdr:nvGraphicFramePr>
        <xdr:cNvPr id="12" name="Chart 913">
          <a:extLst>
            <a:ext uri="{FF2B5EF4-FFF2-40B4-BE49-F238E27FC236}">
              <a16:creationId xmlns="" xmlns:a16="http://schemas.microsoft.com/office/drawing/2014/main" id="{00000000-0008-0000-0400-000094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165</xdr:col>
      <xdr:colOff>333375</xdr:colOff>
      <xdr:row>0</xdr:row>
      <xdr:rowOff>0</xdr:rowOff>
    </xdr:from>
    <xdr:to>
      <xdr:col>176</xdr:col>
      <xdr:colOff>152400</xdr:colOff>
      <xdr:row>0</xdr:row>
      <xdr:rowOff>0</xdr:rowOff>
    </xdr:to>
    <xdr:graphicFrame macro="">
      <xdr:nvGraphicFramePr>
        <xdr:cNvPr id="13" name="Chart 921">
          <a:extLst>
            <a:ext uri="{FF2B5EF4-FFF2-40B4-BE49-F238E27FC236}">
              <a16:creationId xmlns="" xmlns:a16="http://schemas.microsoft.com/office/drawing/2014/main" id="{00000000-0008-0000-0400-000095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85725</xdr:colOff>
      <xdr:row>0</xdr:row>
      <xdr:rowOff>0</xdr:rowOff>
    </xdr:from>
    <xdr:to>
      <xdr:col>34</xdr:col>
      <xdr:colOff>400050</xdr:colOff>
      <xdr:row>0</xdr:row>
      <xdr:rowOff>0</xdr:rowOff>
    </xdr:to>
    <xdr:graphicFrame macro="">
      <xdr:nvGraphicFramePr>
        <xdr:cNvPr id="14" name="Chart 971">
          <a:extLst>
            <a:ext uri="{FF2B5EF4-FFF2-40B4-BE49-F238E27FC236}">
              <a16:creationId xmlns="" xmlns:a16="http://schemas.microsoft.com/office/drawing/2014/main" id="{00000000-0008-0000-0400-000096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476250</xdr:colOff>
      <xdr:row>0</xdr:row>
      <xdr:rowOff>0</xdr:rowOff>
    </xdr:from>
    <xdr:to>
      <xdr:col>33</xdr:col>
      <xdr:colOff>38100</xdr:colOff>
      <xdr:row>0</xdr:row>
      <xdr:rowOff>0</xdr:rowOff>
    </xdr:to>
    <xdr:graphicFrame macro="">
      <xdr:nvGraphicFramePr>
        <xdr:cNvPr id="15" name="Chart 972">
          <a:extLst>
            <a:ext uri="{FF2B5EF4-FFF2-40B4-BE49-F238E27FC236}">
              <a16:creationId xmlns="" xmlns:a16="http://schemas.microsoft.com/office/drawing/2014/main" id="{00000000-0008-0000-0400-000097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158</xdr:col>
      <xdr:colOff>57150</xdr:colOff>
      <xdr:row>0</xdr:row>
      <xdr:rowOff>0</xdr:rowOff>
    </xdr:from>
    <xdr:to>
      <xdr:col>170</xdr:col>
      <xdr:colOff>228600</xdr:colOff>
      <xdr:row>0</xdr:row>
      <xdr:rowOff>0</xdr:rowOff>
    </xdr:to>
    <xdr:graphicFrame macro="">
      <xdr:nvGraphicFramePr>
        <xdr:cNvPr id="16" name="Chart 975">
          <a:extLst>
            <a:ext uri="{FF2B5EF4-FFF2-40B4-BE49-F238E27FC236}">
              <a16:creationId xmlns="" xmlns:a16="http://schemas.microsoft.com/office/drawing/2014/main" id="{00000000-0008-0000-0400-000098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167</xdr:col>
      <xdr:colOff>19050</xdr:colOff>
      <xdr:row>0</xdr:row>
      <xdr:rowOff>0</xdr:rowOff>
    </xdr:from>
    <xdr:to>
      <xdr:col>179</xdr:col>
      <xdr:colOff>47625</xdr:colOff>
      <xdr:row>0</xdr:row>
      <xdr:rowOff>0</xdr:rowOff>
    </xdr:to>
    <xdr:graphicFrame macro="">
      <xdr:nvGraphicFramePr>
        <xdr:cNvPr id="17" name="Chart 983">
          <a:extLst>
            <a:ext uri="{FF2B5EF4-FFF2-40B4-BE49-F238E27FC236}">
              <a16:creationId xmlns="" xmlns:a16="http://schemas.microsoft.com/office/drawing/2014/main" id="{00000000-0008-0000-0400-000099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169</xdr:col>
      <xdr:colOff>485775</xdr:colOff>
      <xdr:row>0</xdr:row>
      <xdr:rowOff>0</xdr:rowOff>
    </xdr:from>
    <xdr:to>
      <xdr:col>182</xdr:col>
      <xdr:colOff>47625</xdr:colOff>
      <xdr:row>0</xdr:row>
      <xdr:rowOff>0</xdr:rowOff>
    </xdr:to>
    <xdr:graphicFrame macro="">
      <xdr:nvGraphicFramePr>
        <xdr:cNvPr id="18" name="Chart 984">
          <a:extLst>
            <a:ext uri="{FF2B5EF4-FFF2-40B4-BE49-F238E27FC236}">
              <a16:creationId xmlns="" xmlns:a16="http://schemas.microsoft.com/office/drawing/2014/main" id="{00000000-0008-0000-0400-00009A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169</xdr:col>
      <xdr:colOff>523875</xdr:colOff>
      <xdr:row>0</xdr:row>
      <xdr:rowOff>0</xdr:rowOff>
    </xdr:from>
    <xdr:to>
      <xdr:col>181</xdr:col>
      <xdr:colOff>342900</xdr:colOff>
      <xdr:row>0</xdr:row>
      <xdr:rowOff>0</xdr:rowOff>
    </xdr:to>
    <xdr:graphicFrame macro="">
      <xdr:nvGraphicFramePr>
        <xdr:cNvPr id="19" name="Chart 986">
          <a:extLst>
            <a:ext uri="{FF2B5EF4-FFF2-40B4-BE49-F238E27FC236}">
              <a16:creationId xmlns="" xmlns:a16="http://schemas.microsoft.com/office/drawing/2014/main" id="{00000000-0008-0000-0400-00009BC1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155</xdr:col>
      <xdr:colOff>523875</xdr:colOff>
      <xdr:row>15</xdr:row>
      <xdr:rowOff>139065</xdr:rowOff>
    </xdr:from>
    <xdr:to>
      <xdr:col>163</xdr:col>
      <xdr:colOff>219075</xdr:colOff>
      <xdr:row>31</xdr:row>
      <xdr:rowOff>139065</xdr:rowOff>
    </xdr:to>
    <xdr:graphicFrame macro="">
      <xdr:nvGraphicFramePr>
        <xdr:cNvPr id="20" name="Chart 19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125</xdr:col>
      <xdr:colOff>228600</xdr:colOff>
      <xdr:row>16</xdr:row>
      <xdr:rowOff>57150</xdr:rowOff>
    </xdr:from>
    <xdr:to>
      <xdr:col>132</xdr:col>
      <xdr:colOff>533400</xdr:colOff>
      <xdr:row>32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DR65"/>
  <sheetViews>
    <sheetView tabSelected="1" workbookViewId="0">
      <pane xSplit="1" ySplit="4" topLeftCell="H5" activePane="bottomRight" state="frozen"/>
      <selection activeCell="L25" sqref="L25"/>
      <selection pane="topRight" activeCell="L25" sqref="L25"/>
      <selection pane="bottomLeft" activeCell="L25" sqref="L25"/>
      <selection pane="bottomRight" sqref="A1:DR65"/>
    </sheetView>
  </sheetViews>
  <sheetFormatPr defaultRowHeight="12.75"/>
  <sheetData>
    <row r="1" spans="1:121">
      <c r="D1" t="s">
        <v>0</v>
      </c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  <c r="U1" t="s">
        <v>8</v>
      </c>
      <c r="W1" t="s">
        <v>9</v>
      </c>
      <c r="Y1" t="s">
        <v>10</v>
      </c>
      <c r="AA1" t="s">
        <v>11</v>
      </c>
      <c r="AC1" t="s">
        <v>12</v>
      </c>
      <c r="AE1" t="s">
        <v>13</v>
      </c>
      <c r="AG1" t="s">
        <v>14</v>
      </c>
      <c r="AI1" t="s">
        <v>15</v>
      </c>
      <c r="AK1" t="s">
        <v>16</v>
      </c>
      <c r="AM1" t="s">
        <v>17</v>
      </c>
      <c r="AO1" t="s">
        <v>18</v>
      </c>
      <c r="AQ1" t="s">
        <v>19</v>
      </c>
      <c r="AS1" t="s">
        <v>20</v>
      </c>
      <c r="AU1" t="s">
        <v>21</v>
      </c>
      <c r="AW1" t="s">
        <v>22</v>
      </c>
      <c r="AY1" t="s">
        <v>23</v>
      </c>
      <c r="BA1" t="s">
        <v>24</v>
      </c>
      <c r="BC1" t="s">
        <v>25</v>
      </c>
      <c r="BE1" t="s">
        <v>26</v>
      </c>
      <c r="BG1" t="s">
        <v>27</v>
      </c>
      <c r="BI1" t="s">
        <v>28</v>
      </c>
      <c r="BK1" t="s">
        <v>29</v>
      </c>
      <c r="BM1" t="s">
        <v>30</v>
      </c>
      <c r="BO1" t="s">
        <v>31</v>
      </c>
      <c r="BQ1" t="s">
        <v>32</v>
      </c>
      <c r="BS1" t="s">
        <v>33</v>
      </c>
      <c r="BU1" t="s">
        <v>34</v>
      </c>
      <c r="BW1" t="s">
        <v>35</v>
      </c>
      <c r="BY1" t="s">
        <v>36</v>
      </c>
      <c r="CA1" t="s">
        <v>37</v>
      </c>
      <c r="CC1" t="s">
        <v>38</v>
      </c>
      <c r="CE1" t="s">
        <v>39</v>
      </c>
      <c r="CG1" t="s">
        <v>40</v>
      </c>
      <c r="CI1" t="s">
        <v>41</v>
      </c>
      <c r="CK1" t="s">
        <v>42</v>
      </c>
      <c r="CM1" t="s">
        <v>43</v>
      </c>
      <c r="CO1" t="s">
        <v>44</v>
      </c>
      <c r="CQ1" t="s">
        <v>45</v>
      </c>
      <c r="CS1" t="s">
        <v>46</v>
      </c>
      <c r="CU1" t="s">
        <v>47</v>
      </c>
      <c r="CW1" t="s">
        <v>48</v>
      </c>
      <c r="CY1" t="s">
        <v>49</v>
      </c>
      <c r="DA1" t="s">
        <v>50</v>
      </c>
      <c r="DC1" t="s">
        <v>51</v>
      </c>
      <c r="DE1" t="s">
        <v>52</v>
      </c>
      <c r="DG1" t="s">
        <v>53</v>
      </c>
      <c r="DI1" t="s">
        <v>54</v>
      </c>
      <c r="DK1" t="s">
        <v>55</v>
      </c>
      <c r="DM1" t="s">
        <v>56</v>
      </c>
      <c r="DO1" t="s">
        <v>57</v>
      </c>
      <c r="DQ1" t="s">
        <v>58</v>
      </c>
    </row>
    <row r="2" spans="1:121">
      <c r="A2" t="s">
        <v>59</v>
      </c>
      <c r="D2" t="s">
        <v>60</v>
      </c>
      <c r="E2" t="s">
        <v>61</v>
      </c>
      <c r="G2">
        <v>2732.6</v>
      </c>
      <c r="I2">
        <v>703.6</v>
      </c>
      <c r="K2">
        <v>2971.4</v>
      </c>
      <c r="M2">
        <v>20488.099999999999</v>
      </c>
      <c r="O2">
        <v>682.6</v>
      </c>
      <c r="Q2">
        <v>606.4</v>
      </c>
      <c r="S2">
        <v>1525.1</v>
      </c>
      <c r="U2">
        <v>1315.4</v>
      </c>
      <c r="W2">
        <v>1025.5999999999999</v>
      </c>
      <c r="Y2">
        <v>59.4</v>
      </c>
      <c r="AA2">
        <v>2788233.3</v>
      </c>
      <c r="AC2">
        <v>1752.4</v>
      </c>
      <c r="AE2">
        <v>625.20000000000005</v>
      </c>
      <c r="AG2">
        <v>324</v>
      </c>
      <c r="AI2">
        <v>4919.7</v>
      </c>
      <c r="AK2">
        <v>287.5</v>
      </c>
      <c r="AM2">
        <v>206.3</v>
      </c>
      <c r="AO2">
        <v>630.4</v>
      </c>
      <c r="AQ2">
        <v>315.7</v>
      </c>
      <c r="AS2">
        <v>206.3</v>
      </c>
      <c r="AU2">
        <v>1074.5999999999999</v>
      </c>
      <c r="AW2">
        <v>818.1</v>
      </c>
      <c r="AY2">
        <v>4880.1000000000004</v>
      </c>
      <c r="BA2">
        <v>1502442.3</v>
      </c>
      <c r="BC2">
        <v>347278.2</v>
      </c>
      <c r="BE2">
        <v>1838</v>
      </c>
      <c r="BG2">
        <v>911.9</v>
      </c>
      <c r="BI2">
        <v>817</v>
      </c>
      <c r="BK2">
        <v>19391.900000000001</v>
      </c>
      <c r="BM2">
        <v>1725.2</v>
      </c>
      <c r="BO2">
        <v>156395.1</v>
      </c>
      <c r="BQ2">
        <v>17219.099999999999</v>
      </c>
      <c r="BS2">
        <v>13324.2</v>
      </c>
      <c r="BU2">
        <v>578211.1</v>
      </c>
      <c r="BW2">
        <v>1311.9</v>
      </c>
      <c r="BY2">
        <v>63262.1</v>
      </c>
      <c r="CA2">
        <v>6138.2</v>
      </c>
      <c r="CC2">
        <v>10.6</v>
      </c>
      <c r="CE2">
        <v>111.1</v>
      </c>
      <c r="CG2">
        <v>122.2</v>
      </c>
      <c r="CI2">
        <v>223.1</v>
      </c>
      <c r="CK2">
        <v>2760.8</v>
      </c>
      <c r="CM2">
        <v>113</v>
      </c>
      <c r="CO2">
        <v>253.7</v>
      </c>
      <c r="CQ2">
        <v>513.1</v>
      </c>
      <c r="CS2">
        <v>517.70000000000005</v>
      </c>
      <c r="CU2">
        <v>236509.6</v>
      </c>
      <c r="CW2">
        <v>168.5</v>
      </c>
      <c r="CY2">
        <v>131641.4</v>
      </c>
      <c r="DA2">
        <v>23733.599999999999</v>
      </c>
      <c r="DC2">
        <v>1.1000000000000001</v>
      </c>
      <c r="DE2">
        <v>5.0999999999999996</v>
      </c>
      <c r="DG2">
        <v>1.6</v>
      </c>
      <c r="DI2">
        <v>3320</v>
      </c>
      <c r="DK2">
        <v>49.4</v>
      </c>
      <c r="DM2">
        <v>59669.7</v>
      </c>
      <c r="DO2">
        <v>50.9</v>
      </c>
      <c r="DQ2">
        <v>29252.2</v>
      </c>
    </row>
    <row r="3" spans="1:121">
      <c r="D3" t="s">
        <v>62</v>
      </c>
      <c r="E3" t="s">
        <v>61</v>
      </c>
      <c r="G3">
        <v>85.1</v>
      </c>
      <c r="I3">
        <v>99.2</v>
      </c>
      <c r="K3">
        <v>243.7</v>
      </c>
      <c r="M3">
        <v>1504.1</v>
      </c>
      <c r="O3">
        <v>66</v>
      </c>
      <c r="Q3">
        <v>46.8</v>
      </c>
      <c r="S3">
        <v>132.4</v>
      </c>
      <c r="U3">
        <v>125.4</v>
      </c>
      <c r="W3">
        <v>68.599999999999994</v>
      </c>
      <c r="Y3">
        <v>18.8</v>
      </c>
      <c r="AA3">
        <v>44982.8</v>
      </c>
      <c r="AC3">
        <v>75.099999999999994</v>
      </c>
      <c r="AE3">
        <v>92.3</v>
      </c>
      <c r="AG3">
        <v>45.8</v>
      </c>
      <c r="AI3">
        <v>288.2</v>
      </c>
      <c r="AK3">
        <v>3.1</v>
      </c>
      <c r="AM3">
        <v>30.1</v>
      </c>
      <c r="AO3">
        <v>42.4</v>
      </c>
      <c r="AQ3">
        <v>51.6</v>
      </c>
      <c r="AS3">
        <v>25.6</v>
      </c>
      <c r="AU3">
        <v>23.8</v>
      </c>
      <c r="AW3">
        <v>88.1</v>
      </c>
      <c r="AY3">
        <v>76</v>
      </c>
      <c r="BA3">
        <v>22477.3</v>
      </c>
      <c r="BC3">
        <v>1506.2</v>
      </c>
      <c r="BE3">
        <v>716.9</v>
      </c>
      <c r="BG3">
        <v>50.3</v>
      </c>
      <c r="BI3">
        <v>67.5</v>
      </c>
      <c r="BK3">
        <v>107.1</v>
      </c>
      <c r="BM3">
        <v>99.4</v>
      </c>
      <c r="BO3">
        <v>3360</v>
      </c>
      <c r="BQ3">
        <v>766.5</v>
      </c>
      <c r="BS3">
        <v>397.6</v>
      </c>
      <c r="BU3">
        <v>13519.6</v>
      </c>
      <c r="BW3">
        <v>64.8</v>
      </c>
      <c r="BY3">
        <v>402.8</v>
      </c>
      <c r="CA3">
        <v>52.2</v>
      </c>
      <c r="CC3">
        <v>5.6</v>
      </c>
      <c r="CE3">
        <v>34.1</v>
      </c>
      <c r="CG3">
        <v>31.3</v>
      </c>
      <c r="CI3">
        <v>36.700000000000003</v>
      </c>
      <c r="CK3">
        <v>44.8</v>
      </c>
      <c r="CM3">
        <v>18.5</v>
      </c>
      <c r="CO3">
        <v>40.5</v>
      </c>
      <c r="CQ3">
        <v>65.2</v>
      </c>
      <c r="CS3">
        <v>44.6</v>
      </c>
      <c r="CU3">
        <v>3308.9</v>
      </c>
      <c r="CW3">
        <v>9.1999999999999993</v>
      </c>
      <c r="CY3">
        <v>3788.4</v>
      </c>
      <c r="DA3">
        <v>399</v>
      </c>
      <c r="DC3">
        <v>1.9</v>
      </c>
      <c r="DE3">
        <v>3.3</v>
      </c>
      <c r="DG3">
        <v>2.7</v>
      </c>
      <c r="DI3">
        <v>217.4</v>
      </c>
      <c r="DK3">
        <v>11.8</v>
      </c>
      <c r="DM3">
        <v>1170.4000000000001</v>
      </c>
      <c r="DO3">
        <v>2.1</v>
      </c>
      <c r="DQ3">
        <v>1323.7</v>
      </c>
    </row>
    <row r="4" spans="1:121">
      <c r="D4" t="s">
        <v>63</v>
      </c>
      <c r="G4">
        <v>0</v>
      </c>
      <c r="I4">
        <v>0</v>
      </c>
      <c r="K4">
        <v>0</v>
      </c>
      <c r="M4">
        <v>0</v>
      </c>
      <c r="O4">
        <v>0</v>
      </c>
      <c r="Q4">
        <v>0</v>
      </c>
      <c r="S4">
        <v>0</v>
      </c>
      <c r="U4">
        <v>0</v>
      </c>
      <c r="W4">
        <v>0</v>
      </c>
      <c r="Y4">
        <v>0</v>
      </c>
      <c r="AC4">
        <v>0</v>
      </c>
      <c r="AE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CY4">
        <v>0</v>
      </c>
      <c r="DQ4">
        <v>0</v>
      </c>
    </row>
    <row r="5" spans="1:121">
      <c r="D5" t="s">
        <v>64</v>
      </c>
      <c r="G5">
        <v>0</v>
      </c>
      <c r="I5">
        <v>0</v>
      </c>
      <c r="K5">
        <v>0</v>
      </c>
      <c r="M5">
        <v>0</v>
      </c>
      <c r="O5">
        <v>0</v>
      </c>
      <c r="Q5">
        <v>0</v>
      </c>
      <c r="S5">
        <v>0</v>
      </c>
      <c r="U5">
        <v>0</v>
      </c>
      <c r="W5">
        <v>0</v>
      </c>
      <c r="Y5">
        <v>0</v>
      </c>
      <c r="AC5">
        <v>0</v>
      </c>
      <c r="AE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CY5">
        <v>0</v>
      </c>
      <c r="DQ5">
        <v>0</v>
      </c>
    </row>
    <row r="6" spans="1:121">
      <c r="D6" t="s">
        <v>65</v>
      </c>
      <c r="G6" t="s">
        <v>66</v>
      </c>
      <c r="I6" t="s">
        <v>66</v>
      </c>
      <c r="K6" t="s">
        <v>66</v>
      </c>
      <c r="M6" t="s">
        <v>66</v>
      </c>
      <c r="O6" t="s">
        <v>66</v>
      </c>
      <c r="Q6" t="s">
        <v>66</v>
      </c>
      <c r="S6" t="s">
        <v>66</v>
      </c>
      <c r="U6" t="s">
        <v>66</v>
      </c>
      <c r="W6" t="s">
        <v>66</v>
      </c>
      <c r="Y6" t="s">
        <v>66</v>
      </c>
      <c r="AA6" t="s">
        <v>66</v>
      </c>
      <c r="AC6" t="s">
        <v>66</v>
      </c>
      <c r="AE6" t="s">
        <v>66</v>
      </c>
      <c r="AG6" t="s">
        <v>66</v>
      </c>
      <c r="AI6" t="s">
        <v>66</v>
      </c>
      <c r="AK6" t="s">
        <v>66</v>
      </c>
      <c r="AM6" t="s">
        <v>66</v>
      </c>
      <c r="AO6" t="s">
        <v>66</v>
      </c>
      <c r="AQ6" t="s">
        <v>66</v>
      </c>
      <c r="AS6" t="s">
        <v>66</v>
      </c>
      <c r="AU6" t="s">
        <v>66</v>
      </c>
      <c r="AW6" t="s">
        <v>66</v>
      </c>
      <c r="AY6" t="s">
        <v>66</v>
      </c>
      <c r="BA6" t="s">
        <v>66</v>
      </c>
      <c r="BC6" t="s">
        <v>66</v>
      </c>
      <c r="BE6" t="s">
        <v>66</v>
      </c>
      <c r="BG6" t="s">
        <v>66</v>
      </c>
      <c r="BI6" t="s">
        <v>66</v>
      </c>
      <c r="BK6" t="s">
        <v>66</v>
      </c>
      <c r="BM6" t="s">
        <v>66</v>
      </c>
      <c r="BO6" t="s">
        <v>66</v>
      </c>
      <c r="BQ6" t="s">
        <v>66</v>
      </c>
      <c r="BS6" t="s">
        <v>66</v>
      </c>
      <c r="BU6" t="s">
        <v>66</v>
      </c>
      <c r="BW6" t="s">
        <v>66</v>
      </c>
      <c r="BY6" t="s">
        <v>66</v>
      </c>
      <c r="CA6" t="s">
        <v>66</v>
      </c>
      <c r="CC6" t="s">
        <v>66</v>
      </c>
      <c r="CE6" t="s">
        <v>66</v>
      </c>
      <c r="CG6" t="s">
        <v>66</v>
      </c>
      <c r="CI6" t="s">
        <v>66</v>
      </c>
      <c r="CK6" t="s">
        <v>66</v>
      </c>
      <c r="CM6" t="s">
        <v>66</v>
      </c>
      <c r="CO6" t="s">
        <v>66</v>
      </c>
      <c r="CQ6" t="s">
        <v>66</v>
      </c>
      <c r="CS6" t="s">
        <v>66</v>
      </c>
      <c r="CU6" t="s">
        <v>66</v>
      </c>
      <c r="CW6" t="s">
        <v>66</v>
      </c>
      <c r="CY6" t="s">
        <v>66</v>
      </c>
      <c r="DA6" t="s">
        <v>66</v>
      </c>
      <c r="DC6" t="s">
        <v>66</v>
      </c>
      <c r="DE6" t="s">
        <v>66</v>
      </c>
      <c r="DG6" t="s">
        <v>66</v>
      </c>
      <c r="DI6" t="s">
        <v>66</v>
      </c>
      <c r="DK6" t="s">
        <v>66</v>
      </c>
      <c r="DM6" t="s">
        <v>66</v>
      </c>
      <c r="DO6" t="s">
        <v>66</v>
      </c>
      <c r="DQ6" t="s">
        <v>66</v>
      </c>
    </row>
    <row r="7" spans="1:121">
      <c r="A7" t="s">
        <v>67</v>
      </c>
      <c r="D7" t="s">
        <v>60</v>
      </c>
      <c r="E7" t="s">
        <v>61</v>
      </c>
      <c r="G7">
        <v>1985.9</v>
      </c>
      <c r="I7">
        <v>530.6</v>
      </c>
      <c r="K7">
        <v>1832.7</v>
      </c>
      <c r="M7">
        <v>6021.2</v>
      </c>
      <c r="O7">
        <v>181.3</v>
      </c>
      <c r="Q7">
        <v>435.5</v>
      </c>
      <c r="S7">
        <v>972.4</v>
      </c>
      <c r="U7">
        <v>1108</v>
      </c>
      <c r="W7">
        <v>593.9</v>
      </c>
      <c r="Y7">
        <v>28.1</v>
      </c>
      <c r="AA7">
        <v>2550297</v>
      </c>
      <c r="AC7">
        <v>1616.8</v>
      </c>
      <c r="AE7">
        <v>1101.7</v>
      </c>
      <c r="AG7">
        <v>228.1</v>
      </c>
      <c r="AI7">
        <v>1378</v>
      </c>
      <c r="AK7">
        <v>93.8</v>
      </c>
      <c r="AM7">
        <v>54.2</v>
      </c>
      <c r="AO7">
        <v>187.5</v>
      </c>
      <c r="AQ7">
        <v>197.9</v>
      </c>
      <c r="AS7">
        <v>134.4</v>
      </c>
      <c r="AU7">
        <v>645</v>
      </c>
      <c r="AW7">
        <v>535.6</v>
      </c>
      <c r="AY7">
        <v>9863.1</v>
      </c>
      <c r="BA7">
        <v>1387021.5</v>
      </c>
      <c r="BC7">
        <v>344392.3</v>
      </c>
      <c r="BE7">
        <v>424</v>
      </c>
      <c r="BG7">
        <v>1427</v>
      </c>
      <c r="BI7">
        <v>1449</v>
      </c>
      <c r="BK7">
        <v>18157.3</v>
      </c>
      <c r="BM7">
        <v>1648.1</v>
      </c>
      <c r="BO7">
        <v>98384.3</v>
      </c>
      <c r="BQ7">
        <v>7956.4</v>
      </c>
      <c r="BS7">
        <v>10621.5</v>
      </c>
      <c r="BU7">
        <v>569472.9</v>
      </c>
      <c r="BW7">
        <v>1389.9</v>
      </c>
      <c r="BY7">
        <v>52535.1</v>
      </c>
      <c r="CA7">
        <v>2271.3000000000002</v>
      </c>
      <c r="CC7">
        <v>17.600000000000001</v>
      </c>
      <c r="CE7">
        <v>99.1</v>
      </c>
      <c r="CG7">
        <v>318.5</v>
      </c>
      <c r="CI7">
        <v>88</v>
      </c>
      <c r="CK7">
        <v>2808</v>
      </c>
      <c r="CM7">
        <v>45.4</v>
      </c>
      <c r="CO7">
        <v>252.8</v>
      </c>
      <c r="CQ7">
        <v>590</v>
      </c>
      <c r="CS7">
        <v>474.1</v>
      </c>
      <c r="CU7">
        <v>232559.9</v>
      </c>
      <c r="CW7">
        <v>174.5</v>
      </c>
      <c r="CY7">
        <v>127201.5</v>
      </c>
      <c r="DA7">
        <v>21285.8</v>
      </c>
      <c r="DC7">
        <v>0</v>
      </c>
      <c r="DE7">
        <v>7.7</v>
      </c>
      <c r="DG7">
        <v>10.5</v>
      </c>
      <c r="DI7">
        <v>616.4</v>
      </c>
      <c r="DK7">
        <v>28.9</v>
      </c>
      <c r="DM7">
        <v>63792.5</v>
      </c>
      <c r="DO7">
        <v>49.4</v>
      </c>
      <c r="DQ7">
        <v>32430.400000000001</v>
      </c>
    </row>
    <row r="8" spans="1:121">
      <c r="D8" t="s">
        <v>62</v>
      </c>
      <c r="E8" t="s">
        <v>61</v>
      </c>
      <c r="G8">
        <v>54.3</v>
      </c>
      <c r="I8">
        <v>26.4</v>
      </c>
      <c r="K8">
        <v>102.4</v>
      </c>
      <c r="M8">
        <v>152.4</v>
      </c>
      <c r="O8">
        <v>56.5</v>
      </c>
      <c r="Q8">
        <v>23.1</v>
      </c>
      <c r="S8">
        <v>126.3</v>
      </c>
      <c r="U8">
        <v>25.3</v>
      </c>
      <c r="W8">
        <v>33.1</v>
      </c>
      <c r="Y8">
        <v>16.5</v>
      </c>
      <c r="AA8">
        <v>68137.399999999994</v>
      </c>
      <c r="AC8">
        <v>14.4</v>
      </c>
      <c r="AE8">
        <v>1.8</v>
      </c>
      <c r="AG8">
        <v>24.4</v>
      </c>
      <c r="AI8">
        <v>65.7</v>
      </c>
      <c r="AK8">
        <v>35.5</v>
      </c>
      <c r="AM8">
        <v>14.1</v>
      </c>
      <c r="AO8">
        <v>11.3</v>
      </c>
      <c r="AQ8">
        <v>11.8</v>
      </c>
      <c r="AS8">
        <v>32.6</v>
      </c>
      <c r="AU8">
        <v>55.7</v>
      </c>
      <c r="AW8">
        <v>24.4</v>
      </c>
      <c r="AY8">
        <v>107.3</v>
      </c>
      <c r="BA8">
        <v>25436</v>
      </c>
      <c r="BC8">
        <v>3960.3</v>
      </c>
      <c r="BE8">
        <v>31.6</v>
      </c>
      <c r="BG8">
        <v>85.5</v>
      </c>
      <c r="BI8">
        <v>73.400000000000006</v>
      </c>
      <c r="BK8">
        <v>131.69999999999999</v>
      </c>
      <c r="BM8">
        <v>61.6</v>
      </c>
      <c r="BO8">
        <v>1820.2</v>
      </c>
      <c r="BQ8">
        <v>285.5</v>
      </c>
      <c r="BS8">
        <v>219.5</v>
      </c>
      <c r="BU8">
        <v>3446.1</v>
      </c>
      <c r="BW8">
        <v>74.900000000000006</v>
      </c>
      <c r="BY8">
        <v>244</v>
      </c>
      <c r="CA8">
        <v>33.4</v>
      </c>
      <c r="CC8">
        <v>9.8000000000000007</v>
      </c>
      <c r="CE8">
        <v>23.9</v>
      </c>
      <c r="CG8">
        <v>60.5</v>
      </c>
      <c r="CI8">
        <v>29.7</v>
      </c>
      <c r="CK8">
        <v>36.299999999999997</v>
      </c>
      <c r="CM8">
        <v>18.899999999999999</v>
      </c>
      <c r="CO8">
        <v>31.3</v>
      </c>
      <c r="CQ8">
        <v>36.700000000000003</v>
      </c>
      <c r="CS8">
        <v>74.2</v>
      </c>
      <c r="CU8">
        <v>4001.7</v>
      </c>
      <c r="CW8">
        <v>29.7</v>
      </c>
      <c r="CY8">
        <v>3415.8</v>
      </c>
      <c r="DA8">
        <v>1324.3</v>
      </c>
      <c r="DC8">
        <v>0</v>
      </c>
      <c r="DE8">
        <v>3.9</v>
      </c>
      <c r="DG8">
        <v>7.4</v>
      </c>
      <c r="DI8">
        <v>72.8</v>
      </c>
      <c r="DK8">
        <v>10</v>
      </c>
      <c r="DM8">
        <v>234.1</v>
      </c>
      <c r="DO8">
        <v>4.5</v>
      </c>
      <c r="DQ8">
        <v>864.1</v>
      </c>
    </row>
    <row r="9" spans="1:121">
      <c r="D9" t="s">
        <v>63</v>
      </c>
    </row>
    <row r="10" spans="1:121">
      <c r="D10" t="s">
        <v>64</v>
      </c>
    </row>
    <row r="11" spans="1:121">
      <c r="D11" t="s">
        <v>65</v>
      </c>
      <c r="G11" t="s">
        <v>66</v>
      </c>
      <c r="I11" t="s">
        <v>66</v>
      </c>
      <c r="K11" t="s">
        <v>66</v>
      </c>
      <c r="M11" t="s">
        <v>66</v>
      </c>
      <c r="O11" t="s">
        <v>66</v>
      </c>
      <c r="Q11" t="s">
        <v>66</v>
      </c>
      <c r="S11" t="s">
        <v>66</v>
      </c>
      <c r="U11" t="s">
        <v>66</v>
      </c>
      <c r="W11" t="s">
        <v>66</v>
      </c>
      <c r="Y11" t="s">
        <v>66</v>
      </c>
      <c r="AA11" t="s">
        <v>66</v>
      </c>
      <c r="AC11" t="s">
        <v>66</v>
      </c>
      <c r="AE11" t="s">
        <v>66</v>
      </c>
      <c r="AG11" t="s">
        <v>66</v>
      </c>
      <c r="AI11" t="s">
        <v>66</v>
      </c>
      <c r="AK11" t="s">
        <v>66</v>
      </c>
      <c r="AM11" t="s">
        <v>66</v>
      </c>
      <c r="AO11" t="s">
        <v>66</v>
      </c>
      <c r="AQ11" t="s">
        <v>66</v>
      </c>
      <c r="AS11" t="s">
        <v>66</v>
      </c>
      <c r="AU11" t="s">
        <v>66</v>
      </c>
      <c r="AW11" t="s">
        <v>66</v>
      </c>
      <c r="AY11" t="s">
        <v>66</v>
      </c>
      <c r="BA11" t="s">
        <v>66</v>
      </c>
      <c r="BC11" t="s">
        <v>66</v>
      </c>
      <c r="BE11" t="s">
        <v>66</v>
      </c>
      <c r="BG11" t="s">
        <v>66</v>
      </c>
      <c r="BI11" t="s">
        <v>66</v>
      </c>
      <c r="BK11" t="s">
        <v>66</v>
      </c>
      <c r="BM11" t="s">
        <v>66</v>
      </c>
      <c r="BO11" t="s">
        <v>66</v>
      </c>
      <c r="BQ11" t="s">
        <v>66</v>
      </c>
      <c r="BS11" t="s">
        <v>66</v>
      </c>
      <c r="BU11" t="s">
        <v>66</v>
      </c>
      <c r="BW11" t="s">
        <v>66</v>
      </c>
      <c r="BY11" t="s">
        <v>66</v>
      </c>
      <c r="CA11" t="s">
        <v>66</v>
      </c>
      <c r="CC11" t="s">
        <v>66</v>
      </c>
      <c r="CE11" t="s">
        <v>66</v>
      </c>
      <c r="CG11" t="s">
        <v>66</v>
      </c>
      <c r="CI11" t="s">
        <v>66</v>
      </c>
      <c r="CK11" t="s">
        <v>66</v>
      </c>
      <c r="CM11" t="s">
        <v>66</v>
      </c>
      <c r="CO11" t="s">
        <v>66</v>
      </c>
      <c r="CQ11" t="s">
        <v>66</v>
      </c>
      <c r="CS11" t="s">
        <v>66</v>
      </c>
      <c r="CU11" t="s">
        <v>66</v>
      </c>
      <c r="CW11" t="s">
        <v>66</v>
      </c>
      <c r="CY11" t="s">
        <v>66</v>
      </c>
      <c r="DA11" t="s">
        <v>66</v>
      </c>
      <c r="DC11" t="s">
        <v>66</v>
      </c>
      <c r="DE11" t="s">
        <v>66</v>
      </c>
      <c r="DG11" t="s">
        <v>66</v>
      </c>
      <c r="DI11" t="s">
        <v>66</v>
      </c>
      <c r="DK11" t="s">
        <v>66</v>
      </c>
      <c r="DM11" t="s">
        <v>66</v>
      </c>
      <c r="DO11" t="s">
        <v>66</v>
      </c>
      <c r="DQ11" t="s">
        <v>66</v>
      </c>
    </row>
    <row r="12" spans="1:121">
      <c r="A12" t="s">
        <v>68</v>
      </c>
      <c r="D12" t="s">
        <v>60</v>
      </c>
      <c r="E12" t="s">
        <v>61</v>
      </c>
      <c r="G12">
        <v>5165.8999999999996</v>
      </c>
      <c r="I12">
        <v>1181</v>
      </c>
      <c r="K12">
        <v>20656.5</v>
      </c>
      <c r="M12">
        <v>28979.5</v>
      </c>
      <c r="O12">
        <v>26765.3</v>
      </c>
      <c r="Q12">
        <v>3583.7</v>
      </c>
      <c r="S12">
        <v>27214.7</v>
      </c>
      <c r="U12">
        <v>7117.4</v>
      </c>
      <c r="W12">
        <v>13791.7</v>
      </c>
      <c r="Y12">
        <v>2340.5</v>
      </c>
      <c r="AA12">
        <v>2554993</v>
      </c>
      <c r="AC12">
        <v>8433.9</v>
      </c>
      <c r="AE12">
        <v>7137.3</v>
      </c>
      <c r="AG12">
        <v>32830.5</v>
      </c>
      <c r="AI12">
        <v>14982.4</v>
      </c>
      <c r="AK12">
        <v>30832.3</v>
      </c>
      <c r="AM12">
        <v>28822.799999999999</v>
      </c>
      <c r="AO12">
        <v>6741.9</v>
      </c>
      <c r="AQ12">
        <v>5913.7</v>
      </c>
      <c r="AS12">
        <v>5853.3</v>
      </c>
      <c r="AU12">
        <v>37923.300000000003</v>
      </c>
      <c r="AW12">
        <v>10404.700000000001</v>
      </c>
      <c r="AY12">
        <v>16763.7</v>
      </c>
      <c r="BA12">
        <v>1406095.7</v>
      </c>
      <c r="BC12">
        <v>350962.3</v>
      </c>
      <c r="BE12">
        <v>26513.200000000001</v>
      </c>
      <c r="BG12">
        <v>10363.799999999999</v>
      </c>
      <c r="BI12">
        <v>9216.2999999999993</v>
      </c>
      <c r="BK12">
        <v>37083.199999999997</v>
      </c>
      <c r="BM12">
        <v>32397.3</v>
      </c>
      <c r="BO12">
        <v>100262.3</v>
      </c>
      <c r="BQ12">
        <v>12614.5</v>
      </c>
      <c r="BS12">
        <v>16110.6</v>
      </c>
      <c r="BU12">
        <v>589921.6</v>
      </c>
      <c r="BW12">
        <v>1487.2</v>
      </c>
      <c r="BY12">
        <v>54373.4</v>
      </c>
      <c r="CA12">
        <v>2460.4</v>
      </c>
      <c r="CC12">
        <v>151.9</v>
      </c>
      <c r="CE12">
        <v>1632.7</v>
      </c>
      <c r="CG12">
        <v>1807.8</v>
      </c>
      <c r="CI12">
        <v>2061.8000000000002</v>
      </c>
      <c r="CK12">
        <v>9687.6</v>
      </c>
      <c r="CM12">
        <v>1891.3</v>
      </c>
      <c r="CO12">
        <v>592.79999999999995</v>
      </c>
      <c r="CQ12">
        <v>1565.9</v>
      </c>
      <c r="CS12">
        <v>1112.7</v>
      </c>
      <c r="CU12">
        <v>238485.7</v>
      </c>
      <c r="CW12">
        <v>865.2</v>
      </c>
      <c r="CY12">
        <v>126764.8</v>
      </c>
      <c r="DA12">
        <v>20423.400000000001</v>
      </c>
      <c r="DC12">
        <v>78.900000000000006</v>
      </c>
      <c r="DE12">
        <v>73.5</v>
      </c>
      <c r="DG12">
        <v>14.7</v>
      </c>
      <c r="DI12">
        <v>586.1</v>
      </c>
      <c r="DK12">
        <v>32.200000000000003</v>
      </c>
      <c r="DM12">
        <v>64998.1</v>
      </c>
      <c r="DO12">
        <v>239.3</v>
      </c>
      <c r="DQ12">
        <v>33563.5</v>
      </c>
    </row>
    <row r="13" spans="1:121">
      <c r="D13" t="s">
        <v>62</v>
      </c>
      <c r="E13" t="s">
        <v>61</v>
      </c>
      <c r="G13">
        <v>102.1</v>
      </c>
      <c r="I13">
        <v>23.5</v>
      </c>
      <c r="K13">
        <v>396.3</v>
      </c>
      <c r="M13">
        <v>818.6</v>
      </c>
      <c r="O13">
        <v>896.2</v>
      </c>
      <c r="Q13">
        <v>33.799999999999997</v>
      </c>
      <c r="S13">
        <v>797.2</v>
      </c>
      <c r="U13">
        <v>186.4</v>
      </c>
      <c r="W13">
        <v>174.6</v>
      </c>
      <c r="Y13">
        <v>29.1</v>
      </c>
      <c r="AA13">
        <v>80669.3</v>
      </c>
      <c r="AC13">
        <v>205.4</v>
      </c>
      <c r="AE13">
        <v>181.8</v>
      </c>
      <c r="AG13">
        <v>707.5</v>
      </c>
      <c r="AI13">
        <v>455.6</v>
      </c>
      <c r="AK13">
        <v>1000.5</v>
      </c>
      <c r="AM13">
        <v>653.20000000000005</v>
      </c>
      <c r="AO13">
        <v>198.3</v>
      </c>
      <c r="AQ13">
        <v>226.6</v>
      </c>
      <c r="AS13">
        <v>222.6</v>
      </c>
      <c r="AU13">
        <v>1136.4000000000001</v>
      </c>
      <c r="AW13">
        <v>205.4</v>
      </c>
      <c r="AY13">
        <v>42.6</v>
      </c>
      <c r="BA13">
        <v>43588.6</v>
      </c>
      <c r="BC13">
        <v>2285.4</v>
      </c>
      <c r="BE13">
        <v>364.5</v>
      </c>
      <c r="BG13">
        <v>205</v>
      </c>
      <c r="BI13">
        <v>324.7</v>
      </c>
      <c r="BK13">
        <v>103.9</v>
      </c>
      <c r="BM13">
        <v>566.1</v>
      </c>
      <c r="BO13">
        <v>2004.9</v>
      </c>
      <c r="BQ13">
        <v>382.6</v>
      </c>
      <c r="BS13">
        <v>271.3</v>
      </c>
      <c r="BU13">
        <v>601.9</v>
      </c>
      <c r="BW13">
        <v>82.4</v>
      </c>
      <c r="BY13">
        <v>606.4</v>
      </c>
      <c r="CA13">
        <v>28.2</v>
      </c>
      <c r="CC13">
        <v>13.7</v>
      </c>
      <c r="CE13">
        <v>73.7</v>
      </c>
      <c r="CG13">
        <v>83.8</v>
      </c>
      <c r="CI13">
        <v>26.3</v>
      </c>
      <c r="CK13">
        <v>131</v>
      </c>
      <c r="CM13">
        <v>110</v>
      </c>
      <c r="CO13">
        <v>73.599999999999994</v>
      </c>
      <c r="CQ13">
        <v>124.1</v>
      </c>
      <c r="CS13">
        <v>51.4</v>
      </c>
      <c r="CU13">
        <v>6836.7</v>
      </c>
      <c r="CW13">
        <v>48.6</v>
      </c>
      <c r="CY13">
        <v>527.4</v>
      </c>
      <c r="DA13">
        <v>1275.2</v>
      </c>
      <c r="DC13">
        <v>12.7</v>
      </c>
      <c r="DE13">
        <v>13.7</v>
      </c>
      <c r="DG13">
        <v>5.5</v>
      </c>
      <c r="DI13">
        <v>67.3</v>
      </c>
      <c r="DK13">
        <v>1</v>
      </c>
      <c r="DM13">
        <v>1027.0999999999999</v>
      </c>
      <c r="DO13">
        <v>10.3</v>
      </c>
      <c r="DQ13">
        <v>551.20000000000005</v>
      </c>
    </row>
    <row r="14" spans="1:121">
      <c r="D14" t="s">
        <v>63</v>
      </c>
    </row>
    <row r="15" spans="1:121">
      <c r="D15" t="s">
        <v>64</v>
      </c>
    </row>
    <row r="16" spans="1:121">
      <c r="D16" t="s">
        <v>65</v>
      </c>
      <c r="G16" t="s">
        <v>66</v>
      </c>
      <c r="I16" t="s">
        <v>66</v>
      </c>
      <c r="K16" t="s">
        <v>66</v>
      </c>
      <c r="M16" t="s">
        <v>66</v>
      </c>
      <c r="O16" t="s">
        <v>66</v>
      </c>
      <c r="Q16" t="s">
        <v>66</v>
      </c>
      <c r="S16" t="s">
        <v>66</v>
      </c>
      <c r="U16" t="s">
        <v>66</v>
      </c>
      <c r="W16" t="s">
        <v>66</v>
      </c>
      <c r="Y16" t="s">
        <v>66</v>
      </c>
      <c r="AA16" t="s">
        <v>66</v>
      </c>
      <c r="AC16" t="s">
        <v>66</v>
      </c>
      <c r="AE16" t="s">
        <v>66</v>
      </c>
      <c r="AG16" t="s">
        <v>66</v>
      </c>
      <c r="AI16" t="s">
        <v>66</v>
      </c>
      <c r="AK16" t="s">
        <v>66</v>
      </c>
      <c r="AM16" t="s">
        <v>66</v>
      </c>
      <c r="AO16" t="s">
        <v>66</v>
      </c>
      <c r="AQ16" t="s">
        <v>66</v>
      </c>
      <c r="AS16" t="s">
        <v>66</v>
      </c>
      <c r="AU16" t="s">
        <v>66</v>
      </c>
      <c r="AW16" t="s">
        <v>66</v>
      </c>
      <c r="AY16" t="s">
        <v>66</v>
      </c>
      <c r="BA16" t="s">
        <v>66</v>
      </c>
      <c r="BC16" t="s">
        <v>66</v>
      </c>
      <c r="BE16" t="s">
        <v>66</v>
      </c>
      <c r="BG16" t="s">
        <v>66</v>
      </c>
      <c r="BI16" t="s">
        <v>66</v>
      </c>
      <c r="BK16" t="s">
        <v>66</v>
      </c>
      <c r="BM16" t="s">
        <v>66</v>
      </c>
      <c r="BO16" t="s">
        <v>66</v>
      </c>
      <c r="BQ16" t="s">
        <v>66</v>
      </c>
      <c r="BS16" t="s">
        <v>66</v>
      </c>
      <c r="BU16" t="s">
        <v>66</v>
      </c>
      <c r="BW16" t="s">
        <v>66</v>
      </c>
      <c r="BY16" t="s">
        <v>66</v>
      </c>
      <c r="CA16" t="s">
        <v>66</v>
      </c>
      <c r="CC16" t="s">
        <v>66</v>
      </c>
      <c r="CE16" t="s">
        <v>66</v>
      </c>
      <c r="CG16" t="s">
        <v>66</v>
      </c>
      <c r="CI16" t="s">
        <v>66</v>
      </c>
      <c r="CK16" t="s">
        <v>66</v>
      </c>
      <c r="CM16" t="s">
        <v>66</v>
      </c>
      <c r="CO16" t="s">
        <v>66</v>
      </c>
      <c r="CQ16" t="s">
        <v>66</v>
      </c>
      <c r="CS16" t="s">
        <v>66</v>
      </c>
      <c r="CU16" t="s">
        <v>66</v>
      </c>
      <c r="CW16" t="s">
        <v>66</v>
      </c>
      <c r="CY16" t="s">
        <v>66</v>
      </c>
      <c r="DA16" t="s">
        <v>66</v>
      </c>
      <c r="DC16" t="s">
        <v>66</v>
      </c>
      <c r="DE16" t="s">
        <v>66</v>
      </c>
      <c r="DG16" t="s">
        <v>66</v>
      </c>
      <c r="DI16" t="s">
        <v>66</v>
      </c>
      <c r="DK16" t="s">
        <v>66</v>
      </c>
      <c r="DM16" t="s">
        <v>66</v>
      </c>
      <c r="DO16" t="s">
        <v>66</v>
      </c>
      <c r="DQ16" t="s">
        <v>66</v>
      </c>
    </row>
    <row r="17" spans="1:121">
      <c r="A17" t="s">
        <v>69</v>
      </c>
      <c r="D17" t="s">
        <v>60</v>
      </c>
      <c r="E17" t="s">
        <v>61</v>
      </c>
      <c r="G17">
        <v>20092</v>
      </c>
      <c r="I17">
        <v>5610.3</v>
      </c>
      <c r="K17">
        <v>102783.3</v>
      </c>
      <c r="M17">
        <v>133429.5</v>
      </c>
      <c r="O17">
        <v>144278.29999999999</v>
      </c>
      <c r="Q17">
        <v>17951.599999999999</v>
      </c>
      <c r="S17">
        <v>146096.4</v>
      </c>
      <c r="U17">
        <v>34184.699999999997</v>
      </c>
      <c r="W17">
        <v>70559.899999999994</v>
      </c>
      <c r="Y17">
        <v>11689.1</v>
      </c>
      <c r="AA17">
        <v>2585082.7000000002</v>
      </c>
      <c r="AC17">
        <v>37896.6</v>
      </c>
      <c r="AE17">
        <v>33965.5</v>
      </c>
      <c r="AG17">
        <v>177580.3</v>
      </c>
      <c r="AI17">
        <v>77221.3</v>
      </c>
      <c r="AK17">
        <v>168032.8</v>
      </c>
      <c r="AM17">
        <v>156418.5</v>
      </c>
      <c r="AO17">
        <v>36559.9</v>
      </c>
      <c r="AQ17">
        <v>32002.799999999999</v>
      </c>
      <c r="AS17">
        <v>30673</v>
      </c>
      <c r="AU17">
        <v>203008.4</v>
      </c>
      <c r="AW17">
        <v>54421.3</v>
      </c>
      <c r="AY17">
        <v>49840</v>
      </c>
      <c r="BA17">
        <v>1412089</v>
      </c>
      <c r="BC17">
        <v>385528</v>
      </c>
      <c r="BE17">
        <v>143535.79999999999</v>
      </c>
      <c r="BG17">
        <v>50893.7</v>
      </c>
      <c r="BI17">
        <v>43440</v>
      </c>
      <c r="BK17">
        <v>120099</v>
      </c>
      <c r="BM17">
        <v>171599.5</v>
      </c>
      <c r="BO17">
        <v>131024.6</v>
      </c>
      <c r="BQ17">
        <v>37852.300000000003</v>
      </c>
      <c r="BS17">
        <v>34660.5</v>
      </c>
      <c r="BU17">
        <v>621860.69999999995</v>
      </c>
      <c r="BW17">
        <v>1949.7</v>
      </c>
      <c r="BY17">
        <v>63854.3</v>
      </c>
      <c r="CA17">
        <v>3928.9</v>
      </c>
      <c r="CC17">
        <v>701.2</v>
      </c>
      <c r="CE17">
        <v>8552.7000000000007</v>
      </c>
      <c r="CG17">
        <v>8204</v>
      </c>
      <c r="CI17">
        <v>11190</v>
      </c>
      <c r="CK17">
        <v>40019.599999999999</v>
      </c>
      <c r="CM17">
        <v>10384.200000000001</v>
      </c>
      <c r="CO17">
        <v>2445.6</v>
      </c>
      <c r="CQ17">
        <v>6318.1</v>
      </c>
      <c r="CS17">
        <v>4208.8</v>
      </c>
      <c r="CU17">
        <v>237479.1</v>
      </c>
      <c r="CW17">
        <v>4289.5</v>
      </c>
      <c r="CY17">
        <v>127409.2</v>
      </c>
      <c r="DA17">
        <v>34861.699999999997</v>
      </c>
      <c r="DC17">
        <v>389.7</v>
      </c>
      <c r="DE17">
        <v>381.4</v>
      </c>
      <c r="DG17">
        <v>55.2</v>
      </c>
      <c r="DI17">
        <v>366.6</v>
      </c>
      <c r="DK17">
        <v>32.799999999999997</v>
      </c>
      <c r="DM17">
        <v>66680.7</v>
      </c>
      <c r="DO17">
        <v>1109.8</v>
      </c>
      <c r="DQ17">
        <v>33894.300000000003</v>
      </c>
    </row>
    <row r="18" spans="1:121">
      <c r="D18" t="s">
        <v>62</v>
      </c>
      <c r="E18" t="s">
        <v>61</v>
      </c>
      <c r="G18">
        <v>171.2</v>
      </c>
      <c r="I18">
        <v>305</v>
      </c>
      <c r="K18">
        <v>989.6</v>
      </c>
      <c r="M18">
        <v>406.6</v>
      </c>
      <c r="O18">
        <v>1737.6</v>
      </c>
      <c r="Q18">
        <v>528.29999999999995</v>
      </c>
      <c r="S18">
        <v>1064.5</v>
      </c>
      <c r="U18">
        <v>503.3</v>
      </c>
      <c r="W18">
        <v>729.6</v>
      </c>
      <c r="Y18">
        <v>163.6</v>
      </c>
      <c r="AA18">
        <v>68194.399999999994</v>
      </c>
      <c r="AC18">
        <v>1275</v>
      </c>
      <c r="AE18">
        <v>707.1</v>
      </c>
      <c r="AG18">
        <v>2106</v>
      </c>
      <c r="AI18">
        <v>2230.9</v>
      </c>
      <c r="AK18">
        <v>2934.9</v>
      </c>
      <c r="AM18">
        <v>3799.4</v>
      </c>
      <c r="AO18">
        <v>1160</v>
      </c>
      <c r="AQ18">
        <v>378.2</v>
      </c>
      <c r="AS18">
        <v>513.20000000000005</v>
      </c>
      <c r="AU18">
        <v>3076.3</v>
      </c>
      <c r="AW18">
        <v>604.1</v>
      </c>
      <c r="AY18">
        <v>1099.5</v>
      </c>
      <c r="BA18">
        <v>26657.1</v>
      </c>
      <c r="BC18">
        <v>2251.6</v>
      </c>
      <c r="BE18">
        <v>1105.7</v>
      </c>
      <c r="BG18">
        <v>354.6</v>
      </c>
      <c r="BI18">
        <v>944.1</v>
      </c>
      <c r="BK18">
        <v>865.9</v>
      </c>
      <c r="BM18">
        <v>3666.5</v>
      </c>
      <c r="BO18">
        <v>271.10000000000002</v>
      </c>
      <c r="BQ18">
        <v>623.79999999999995</v>
      </c>
      <c r="BS18">
        <v>395.8</v>
      </c>
      <c r="BU18">
        <v>13083.4</v>
      </c>
      <c r="BW18">
        <v>35.299999999999997</v>
      </c>
      <c r="BY18">
        <v>667.4</v>
      </c>
      <c r="CA18">
        <v>87.2</v>
      </c>
      <c r="CC18">
        <v>28.2</v>
      </c>
      <c r="CE18">
        <v>195.6</v>
      </c>
      <c r="CG18">
        <v>285.7</v>
      </c>
      <c r="CI18">
        <v>26.9</v>
      </c>
      <c r="CK18">
        <v>685.7</v>
      </c>
      <c r="CM18">
        <v>116.9</v>
      </c>
      <c r="CO18">
        <v>33.200000000000003</v>
      </c>
      <c r="CQ18">
        <v>223.4</v>
      </c>
      <c r="CS18">
        <v>66.400000000000006</v>
      </c>
      <c r="CU18">
        <v>4971.6000000000004</v>
      </c>
      <c r="CW18">
        <v>273.39999999999998</v>
      </c>
      <c r="CY18">
        <v>1082.0999999999999</v>
      </c>
      <c r="DA18">
        <v>378</v>
      </c>
      <c r="DC18">
        <v>42.6</v>
      </c>
      <c r="DE18">
        <v>18.600000000000001</v>
      </c>
      <c r="DG18">
        <v>25.8</v>
      </c>
      <c r="DI18">
        <v>47</v>
      </c>
      <c r="DK18">
        <v>15.1</v>
      </c>
      <c r="DM18">
        <v>678.3</v>
      </c>
      <c r="DO18">
        <v>38</v>
      </c>
      <c r="DQ18">
        <v>648.79999999999995</v>
      </c>
    </row>
    <row r="19" spans="1:121">
      <c r="D19" t="s">
        <v>63</v>
      </c>
    </row>
    <row r="20" spans="1:121">
      <c r="D20" t="s">
        <v>64</v>
      </c>
    </row>
    <row r="21" spans="1:121">
      <c r="D21" t="s">
        <v>65</v>
      </c>
      <c r="G21" t="s">
        <v>66</v>
      </c>
      <c r="I21" t="s">
        <v>66</v>
      </c>
      <c r="K21" t="s">
        <v>66</v>
      </c>
      <c r="M21" t="s">
        <v>66</v>
      </c>
      <c r="O21" t="s">
        <v>66</v>
      </c>
      <c r="Q21" t="s">
        <v>66</v>
      </c>
      <c r="S21" t="s">
        <v>66</v>
      </c>
      <c r="U21" t="s">
        <v>66</v>
      </c>
      <c r="W21" t="s">
        <v>66</v>
      </c>
      <c r="Y21" t="s">
        <v>66</v>
      </c>
      <c r="AA21" t="s">
        <v>66</v>
      </c>
      <c r="AC21" t="s">
        <v>66</v>
      </c>
      <c r="AE21" t="s">
        <v>66</v>
      </c>
      <c r="AG21" t="s">
        <v>66</v>
      </c>
      <c r="AI21" t="s">
        <v>66</v>
      </c>
      <c r="AK21" t="s">
        <v>66</v>
      </c>
      <c r="AM21" t="s">
        <v>66</v>
      </c>
      <c r="AO21" t="s">
        <v>66</v>
      </c>
      <c r="AQ21" t="s">
        <v>66</v>
      </c>
      <c r="AS21" t="s">
        <v>66</v>
      </c>
      <c r="AU21" t="s">
        <v>66</v>
      </c>
      <c r="AW21" t="s">
        <v>66</v>
      </c>
      <c r="AY21" t="s">
        <v>66</v>
      </c>
      <c r="BA21" t="s">
        <v>66</v>
      </c>
      <c r="BC21" t="s">
        <v>66</v>
      </c>
      <c r="BE21" t="s">
        <v>66</v>
      </c>
      <c r="BG21" t="s">
        <v>66</v>
      </c>
      <c r="BI21" t="s">
        <v>66</v>
      </c>
      <c r="BK21" t="s">
        <v>66</v>
      </c>
      <c r="BM21" t="s">
        <v>66</v>
      </c>
      <c r="BO21" t="s">
        <v>66</v>
      </c>
      <c r="BQ21" t="s">
        <v>66</v>
      </c>
      <c r="BS21" t="s">
        <v>66</v>
      </c>
      <c r="BU21" t="s">
        <v>66</v>
      </c>
      <c r="BW21" t="s">
        <v>66</v>
      </c>
      <c r="BY21" t="s">
        <v>66</v>
      </c>
      <c r="CA21" t="s">
        <v>66</v>
      </c>
      <c r="CC21" t="s">
        <v>66</v>
      </c>
      <c r="CE21" t="s">
        <v>66</v>
      </c>
      <c r="CG21" t="s">
        <v>66</v>
      </c>
      <c r="CI21" t="s">
        <v>66</v>
      </c>
      <c r="CK21" t="s">
        <v>66</v>
      </c>
      <c r="CM21" t="s">
        <v>66</v>
      </c>
      <c r="CO21" t="s">
        <v>66</v>
      </c>
      <c r="CQ21" t="s">
        <v>66</v>
      </c>
      <c r="CS21" t="s">
        <v>66</v>
      </c>
      <c r="CU21" t="s">
        <v>66</v>
      </c>
      <c r="CW21" t="s">
        <v>66</v>
      </c>
      <c r="CY21" t="s">
        <v>66</v>
      </c>
      <c r="DA21" t="s">
        <v>66</v>
      </c>
      <c r="DC21" t="s">
        <v>66</v>
      </c>
      <c r="DE21" t="s">
        <v>66</v>
      </c>
      <c r="DG21" t="s">
        <v>66</v>
      </c>
      <c r="DI21" t="s">
        <v>66</v>
      </c>
      <c r="DK21" t="s">
        <v>66</v>
      </c>
      <c r="DM21" t="s">
        <v>66</v>
      </c>
      <c r="DO21" t="s">
        <v>66</v>
      </c>
      <c r="DQ21" t="s">
        <v>66</v>
      </c>
    </row>
    <row r="22" spans="1:121">
      <c r="A22" t="s">
        <v>70</v>
      </c>
      <c r="D22" t="s">
        <v>60</v>
      </c>
      <c r="E22" t="s">
        <v>61</v>
      </c>
      <c r="G22">
        <v>90618.7</v>
      </c>
      <c r="I22">
        <v>27441.200000000001</v>
      </c>
      <c r="K22">
        <v>507753.7</v>
      </c>
      <c r="M22">
        <v>655805.80000000005</v>
      </c>
      <c r="O22">
        <v>743610.3</v>
      </c>
      <c r="Q22">
        <v>91077.1</v>
      </c>
      <c r="S22">
        <v>739019.8</v>
      </c>
      <c r="U22">
        <v>166961.4</v>
      </c>
      <c r="W22">
        <v>352487.4</v>
      </c>
      <c r="Y22">
        <v>57955.7</v>
      </c>
      <c r="AA22">
        <v>2628950</v>
      </c>
      <c r="AC22">
        <v>181509.1</v>
      </c>
      <c r="AE22">
        <v>168547.4</v>
      </c>
      <c r="AG22">
        <v>887197.5</v>
      </c>
      <c r="AI22">
        <v>375649.1</v>
      </c>
      <c r="AK22">
        <v>844112.5</v>
      </c>
      <c r="AM22">
        <v>796421.3</v>
      </c>
      <c r="AO22">
        <v>184223.2</v>
      </c>
      <c r="AQ22">
        <v>159506.9</v>
      </c>
      <c r="AS22">
        <v>150950.39999999999</v>
      </c>
      <c r="AU22">
        <v>1033909.2</v>
      </c>
      <c r="AW22">
        <v>268458.40000000002</v>
      </c>
      <c r="AY22">
        <v>213789.6</v>
      </c>
      <c r="BA22">
        <v>1407907.8</v>
      </c>
      <c r="BC22">
        <v>560379.30000000005</v>
      </c>
      <c r="BE22">
        <v>729187.2</v>
      </c>
      <c r="BG22">
        <v>247436.3</v>
      </c>
      <c r="BI22">
        <v>208615.6</v>
      </c>
      <c r="BK22">
        <v>532557.4</v>
      </c>
      <c r="BM22">
        <v>863686.2</v>
      </c>
      <c r="BO22">
        <v>324745.09999999998</v>
      </c>
      <c r="BQ22">
        <v>170782.3</v>
      </c>
      <c r="BS22">
        <v>136909.6</v>
      </c>
      <c r="BU22">
        <v>732136.1</v>
      </c>
      <c r="BW22">
        <v>3952</v>
      </c>
      <c r="BY22">
        <v>113702.9</v>
      </c>
      <c r="CA22">
        <v>12129.6</v>
      </c>
      <c r="CC22">
        <v>3254.9</v>
      </c>
      <c r="CE22">
        <v>42924.1</v>
      </c>
      <c r="CG22">
        <v>39112.199999999997</v>
      </c>
      <c r="CI22">
        <v>55206.400000000001</v>
      </c>
      <c r="CK22">
        <v>183742.1</v>
      </c>
      <c r="CM22">
        <v>50268</v>
      </c>
      <c r="CO22">
        <v>11989.5</v>
      </c>
      <c r="CQ22">
        <v>27728.400000000001</v>
      </c>
      <c r="CS22">
        <v>18453.900000000001</v>
      </c>
      <c r="CU22">
        <v>239785.9</v>
      </c>
      <c r="CW22">
        <v>19779.3</v>
      </c>
      <c r="CY22">
        <v>128750.7</v>
      </c>
      <c r="DA22">
        <v>110184.7</v>
      </c>
      <c r="DC22">
        <v>1964.4</v>
      </c>
      <c r="DE22">
        <v>1866</v>
      </c>
      <c r="DG22">
        <v>186.1</v>
      </c>
      <c r="DI22">
        <v>664.4</v>
      </c>
      <c r="DK22">
        <v>39.4</v>
      </c>
      <c r="DM22">
        <v>67847.3</v>
      </c>
      <c r="DO22">
        <v>5176.6000000000004</v>
      </c>
      <c r="DQ22">
        <v>35533.800000000003</v>
      </c>
    </row>
    <row r="23" spans="1:121">
      <c r="D23" t="s">
        <v>62</v>
      </c>
      <c r="E23" t="s">
        <v>61</v>
      </c>
      <c r="G23">
        <v>1684.1</v>
      </c>
      <c r="I23">
        <v>543.20000000000005</v>
      </c>
      <c r="K23">
        <v>4009.9</v>
      </c>
      <c r="M23">
        <v>3986.9</v>
      </c>
      <c r="O23">
        <v>11317.4</v>
      </c>
      <c r="Q23">
        <v>708.7</v>
      </c>
      <c r="S23">
        <v>12500.6</v>
      </c>
      <c r="U23">
        <v>2215.6999999999998</v>
      </c>
      <c r="W23">
        <v>4362</v>
      </c>
      <c r="Y23">
        <v>320.8</v>
      </c>
      <c r="AA23">
        <v>31633.4</v>
      </c>
      <c r="AC23">
        <v>4026.3</v>
      </c>
      <c r="AE23">
        <v>1379.5</v>
      </c>
      <c r="AG23">
        <v>4379.1000000000004</v>
      </c>
      <c r="AI23">
        <v>4283.1000000000004</v>
      </c>
      <c r="AK23">
        <v>3842.8</v>
      </c>
      <c r="AM23">
        <v>2509.6999999999998</v>
      </c>
      <c r="AO23">
        <v>3362.9</v>
      </c>
      <c r="AQ23">
        <v>1744.8</v>
      </c>
      <c r="AS23">
        <v>4016.9</v>
      </c>
      <c r="AU23">
        <v>29274.400000000001</v>
      </c>
      <c r="AW23">
        <v>10855.5</v>
      </c>
      <c r="AY23">
        <v>6323.1</v>
      </c>
      <c r="BA23">
        <v>34529.599999999999</v>
      </c>
      <c r="BC23">
        <v>7537.2</v>
      </c>
      <c r="BE23">
        <v>5797.4</v>
      </c>
      <c r="BG23">
        <v>4194.1000000000004</v>
      </c>
      <c r="BI23">
        <v>5511.8</v>
      </c>
      <c r="BK23">
        <v>8314.5</v>
      </c>
      <c r="BM23">
        <v>17680.599999999999</v>
      </c>
      <c r="BO23">
        <v>1594.7</v>
      </c>
      <c r="BQ23">
        <v>4091.1</v>
      </c>
      <c r="BS23">
        <v>3099</v>
      </c>
      <c r="BU23">
        <v>3201.5</v>
      </c>
      <c r="BW23">
        <v>86.9</v>
      </c>
      <c r="BY23">
        <v>1843.2</v>
      </c>
      <c r="CA23">
        <v>396.3</v>
      </c>
      <c r="CC23">
        <v>16.3</v>
      </c>
      <c r="CE23">
        <v>855.6</v>
      </c>
      <c r="CG23">
        <v>1177.7</v>
      </c>
      <c r="CI23">
        <v>1243</v>
      </c>
      <c r="CK23">
        <v>1960.1</v>
      </c>
      <c r="CM23">
        <v>289.7</v>
      </c>
      <c r="CO23">
        <v>266.3</v>
      </c>
      <c r="CQ23">
        <v>313.39999999999998</v>
      </c>
      <c r="CS23">
        <v>185.6</v>
      </c>
      <c r="CU23">
        <v>655.7</v>
      </c>
      <c r="CW23">
        <v>350.8</v>
      </c>
      <c r="CY23">
        <v>719.2</v>
      </c>
      <c r="DA23">
        <v>948.5</v>
      </c>
      <c r="DC23">
        <v>29</v>
      </c>
      <c r="DE23">
        <v>34.4</v>
      </c>
      <c r="DG23">
        <v>38.1</v>
      </c>
      <c r="DI23">
        <v>46</v>
      </c>
      <c r="DK23">
        <v>2.5</v>
      </c>
      <c r="DM23">
        <v>1061.8</v>
      </c>
      <c r="DO23">
        <v>176.3</v>
      </c>
      <c r="DQ23">
        <v>435.5</v>
      </c>
    </row>
    <row r="24" spans="1:121">
      <c r="D24" t="s">
        <v>63</v>
      </c>
    </row>
    <row r="25" spans="1:121">
      <c r="D25" t="s">
        <v>64</v>
      </c>
    </row>
    <row r="26" spans="1:121">
      <c r="D26" t="s">
        <v>65</v>
      </c>
      <c r="G26" t="s">
        <v>66</v>
      </c>
      <c r="I26" t="s">
        <v>66</v>
      </c>
      <c r="K26" t="s">
        <v>66</v>
      </c>
      <c r="M26" t="s">
        <v>66</v>
      </c>
      <c r="O26" t="s">
        <v>66</v>
      </c>
      <c r="Q26" t="s">
        <v>66</v>
      </c>
      <c r="S26" t="s">
        <v>66</v>
      </c>
      <c r="U26" t="s">
        <v>66</v>
      </c>
      <c r="W26" t="s">
        <v>66</v>
      </c>
      <c r="Y26" t="s">
        <v>66</v>
      </c>
      <c r="AA26" t="s">
        <v>66</v>
      </c>
      <c r="AC26" t="s">
        <v>66</v>
      </c>
      <c r="AE26" t="s">
        <v>66</v>
      </c>
      <c r="AG26" t="s">
        <v>66</v>
      </c>
      <c r="AI26" t="s">
        <v>66</v>
      </c>
      <c r="AK26" t="s">
        <v>66</v>
      </c>
      <c r="AM26" t="s">
        <v>66</v>
      </c>
      <c r="AO26" t="s">
        <v>66</v>
      </c>
      <c r="AQ26" t="s">
        <v>66</v>
      </c>
      <c r="AS26" t="s">
        <v>66</v>
      </c>
      <c r="AU26" t="s">
        <v>66</v>
      </c>
      <c r="AW26" t="s">
        <v>66</v>
      </c>
      <c r="AY26" t="s">
        <v>66</v>
      </c>
      <c r="BA26" t="s">
        <v>66</v>
      </c>
      <c r="BC26" t="s">
        <v>66</v>
      </c>
      <c r="BE26" t="s">
        <v>66</v>
      </c>
      <c r="BG26" t="s">
        <v>66</v>
      </c>
      <c r="BI26" t="s">
        <v>66</v>
      </c>
      <c r="BK26" t="s">
        <v>66</v>
      </c>
      <c r="BM26" t="s">
        <v>66</v>
      </c>
      <c r="BO26" t="s">
        <v>66</v>
      </c>
      <c r="BQ26" t="s">
        <v>66</v>
      </c>
      <c r="BS26" t="s">
        <v>66</v>
      </c>
      <c r="BU26" t="s">
        <v>66</v>
      </c>
      <c r="BW26" t="s">
        <v>66</v>
      </c>
      <c r="BY26" t="s">
        <v>66</v>
      </c>
      <c r="CA26" t="s">
        <v>66</v>
      </c>
      <c r="CC26" t="s">
        <v>66</v>
      </c>
      <c r="CE26" t="s">
        <v>66</v>
      </c>
      <c r="CG26" t="s">
        <v>66</v>
      </c>
      <c r="CI26" t="s">
        <v>66</v>
      </c>
      <c r="CK26" t="s">
        <v>66</v>
      </c>
      <c r="CM26" t="s">
        <v>66</v>
      </c>
      <c r="CO26" t="s">
        <v>66</v>
      </c>
      <c r="CQ26" t="s">
        <v>66</v>
      </c>
      <c r="CS26" t="s">
        <v>66</v>
      </c>
      <c r="CU26" t="s">
        <v>66</v>
      </c>
      <c r="CW26" t="s">
        <v>66</v>
      </c>
      <c r="CY26" t="s">
        <v>66</v>
      </c>
      <c r="DA26" t="s">
        <v>66</v>
      </c>
      <c r="DC26" t="s">
        <v>66</v>
      </c>
      <c r="DE26" t="s">
        <v>66</v>
      </c>
      <c r="DG26" t="s">
        <v>66</v>
      </c>
      <c r="DI26" t="s">
        <v>66</v>
      </c>
      <c r="DK26" t="s">
        <v>66</v>
      </c>
      <c r="DM26" t="s">
        <v>66</v>
      </c>
      <c r="DO26" t="s">
        <v>66</v>
      </c>
      <c r="DQ26" t="s">
        <v>66</v>
      </c>
    </row>
    <row r="27" spans="1:121">
      <c r="A27" t="s">
        <v>71</v>
      </c>
      <c r="D27" t="s">
        <v>60</v>
      </c>
      <c r="E27" t="s">
        <v>61</v>
      </c>
      <c r="G27">
        <v>225873.8</v>
      </c>
      <c r="I27">
        <v>70706.5</v>
      </c>
      <c r="K27">
        <v>1308363.2</v>
      </c>
      <c r="M27">
        <v>1692019</v>
      </c>
      <c r="O27">
        <v>1908776</v>
      </c>
      <c r="Q27">
        <v>224872.5</v>
      </c>
      <c r="S27">
        <v>1889325.3</v>
      </c>
      <c r="U27">
        <v>412728</v>
      </c>
      <c r="W27">
        <v>887606.9</v>
      </c>
      <c r="Y27">
        <v>144655.29999999999</v>
      </c>
      <c r="AA27">
        <v>2647316.2999999998</v>
      </c>
      <c r="AC27">
        <v>451234.8</v>
      </c>
      <c r="AE27">
        <v>419656.2</v>
      </c>
      <c r="AG27">
        <v>2324617</v>
      </c>
      <c r="AI27">
        <v>953941</v>
      </c>
      <c r="AK27">
        <v>2180708.2999999998</v>
      </c>
      <c r="AM27">
        <v>2042637.3</v>
      </c>
      <c r="AO27">
        <v>464759.3</v>
      </c>
      <c r="AQ27">
        <v>402630.3</v>
      </c>
      <c r="AS27">
        <v>388474.7</v>
      </c>
      <c r="AU27">
        <v>2765524.3</v>
      </c>
      <c r="AW27">
        <v>703074</v>
      </c>
      <c r="AY27">
        <v>542760.30000000005</v>
      </c>
      <c r="BA27">
        <v>1418989.2</v>
      </c>
      <c r="BC27">
        <v>882928.2</v>
      </c>
      <c r="BE27">
        <v>1861227</v>
      </c>
      <c r="BG27">
        <v>613763.69999999995</v>
      </c>
      <c r="BI27">
        <v>520156.7</v>
      </c>
      <c r="BK27">
        <v>1319175.5</v>
      </c>
      <c r="BM27">
        <v>2200055.7000000002</v>
      </c>
      <c r="BO27">
        <v>688305.2</v>
      </c>
      <c r="BQ27">
        <v>418188.1</v>
      </c>
      <c r="BS27">
        <v>319834.09999999998</v>
      </c>
      <c r="BU27">
        <v>926408.9</v>
      </c>
      <c r="BW27">
        <v>7871.1</v>
      </c>
      <c r="BY27">
        <v>207614.8</v>
      </c>
      <c r="CA27">
        <v>27592.3</v>
      </c>
      <c r="CC27">
        <v>7944.3</v>
      </c>
      <c r="CE27">
        <v>107188.6</v>
      </c>
      <c r="CG27">
        <v>96467.1</v>
      </c>
      <c r="CI27">
        <v>136036.6</v>
      </c>
      <c r="CK27">
        <v>447312.4</v>
      </c>
      <c r="CM27">
        <v>126197.3</v>
      </c>
      <c r="CO27">
        <v>29974.9</v>
      </c>
      <c r="CQ27">
        <v>69818.7</v>
      </c>
      <c r="CS27">
        <v>46512.4</v>
      </c>
      <c r="CU27">
        <v>241438.1</v>
      </c>
      <c r="CW27">
        <v>48555.6</v>
      </c>
      <c r="CY27">
        <v>129690</v>
      </c>
      <c r="DA27">
        <v>252633.8</v>
      </c>
      <c r="DC27">
        <v>4862.5</v>
      </c>
      <c r="DE27">
        <v>4892.8999999999996</v>
      </c>
      <c r="DG27">
        <v>536.5</v>
      </c>
      <c r="DI27">
        <v>1735.1</v>
      </c>
      <c r="DK27">
        <v>33.9</v>
      </c>
      <c r="DM27">
        <v>67101</v>
      </c>
      <c r="DO27">
        <v>12697.8</v>
      </c>
      <c r="DQ27">
        <v>33794.9</v>
      </c>
    </row>
    <row r="28" spans="1:121">
      <c r="D28" t="s">
        <v>62</v>
      </c>
      <c r="E28" t="s">
        <v>61</v>
      </c>
      <c r="G28">
        <v>1343.1</v>
      </c>
      <c r="I28">
        <v>606.6</v>
      </c>
      <c r="K28">
        <v>15078.4</v>
      </c>
      <c r="M28">
        <v>24024.799999999999</v>
      </c>
      <c r="O28">
        <v>24637.9</v>
      </c>
      <c r="Q28">
        <v>1465.6</v>
      </c>
      <c r="S28">
        <v>29954</v>
      </c>
      <c r="U28">
        <v>2845.4</v>
      </c>
      <c r="W28">
        <v>12894.9</v>
      </c>
      <c r="Y28">
        <v>2233.6</v>
      </c>
      <c r="AA28">
        <v>9699.2999999999993</v>
      </c>
      <c r="AC28">
        <v>8053.2</v>
      </c>
      <c r="AE28">
        <v>5349.8</v>
      </c>
      <c r="AG28">
        <v>22886.799999999999</v>
      </c>
      <c r="AI28">
        <v>6822.1</v>
      </c>
      <c r="AK28">
        <v>24570.2</v>
      </c>
      <c r="AM28">
        <v>44087</v>
      </c>
      <c r="AO28">
        <v>13951</v>
      </c>
      <c r="AQ28">
        <v>10734</v>
      </c>
      <c r="AS28">
        <v>12526.4</v>
      </c>
      <c r="AU28">
        <v>58728</v>
      </c>
      <c r="AW28">
        <v>15156.2</v>
      </c>
      <c r="AY28">
        <v>11155.8</v>
      </c>
      <c r="BA28">
        <v>37541.1</v>
      </c>
      <c r="BC28">
        <v>6911.7</v>
      </c>
      <c r="BE28">
        <v>20526.7</v>
      </c>
      <c r="BG28">
        <v>11413.9</v>
      </c>
      <c r="BI28">
        <v>5342.6</v>
      </c>
      <c r="BK28">
        <v>17092.8</v>
      </c>
      <c r="BM28">
        <v>18807.7</v>
      </c>
      <c r="BO28">
        <v>12650</v>
      </c>
      <c r="BQ28">
        <v>18163.599999999999</v>
      </c>
      <c r="BS28">
        <v>14413.8</v>
      </c>
      <c r="BU28">
        <v>10802.6</v>
      </c>
      <c r="BW28">
        <v>321.3</v>
      </c>
      <c r="BY28">
        <v>1735.1</v>
      </c>
      <c r="CA28">
        <v>184.3</v>
      </c>
      <c r="CC28">
        <v>108.3</v>
      </c>
      <c r="CE28">
        <v>906.2</v>
      </c>
      <c r="CG28">
        <v>524</v>
      </c>
      <c r="CI28">
        <v>2768.8</v>
      </c>
      <c r="CK28">
        <v>10270.1</v>
      </c>
      <c r="CM28">
        <v>1882.2</v>
      </c>
      <c r="CO28">
        <v>768.8</v>
      </c>
      <c r="CQ28">
        <v>1011.3</v>
      </c>
      <c r="CS28">
        <v>1412.4</v>
      </c>
      <c r="CU28">
        <v>9429.4</v>
      </c>
      <c r="CW28">
        <v>1061</v>
      </c>
      <c r="CY28">
        <v>3568.2</v>
      </c>
      <c r="DA28">
        <v>1334.8</v>
      </c>
      <c r="DC28">
        <v>43.6</v>
      </c>
      <c r="DE28">
        <v>53.7</v>
      </c>
      <c r="DG28">
        <v>21.8</v>
      </c>
      <c r="DI28">
        <v>46.7</v>
      </c>
      <c r="DK28">
        <v>5.0999999999999996</v>
      </c>
      <c r="DM28">
        <v>2279.1999999999998</v>
      </c>
      <c r="DO28">
        <v>199</v>
      </c>
      <c r="DQ28">
        <v>544.20000000000005</v>
      </c>
    </row>
    <row r="29" spans="1:121">
      <c r="D29" t="s">
        <v>63</v>
      </c>
    </row>
    <row r="30" spans="1:121">
      <c r="D30" t="s">
        <v>64</v>
      </c>
    </row>
    <row r="31" spans="1:121">
      <c r="D31" t="s">
        <v>65</v>
      </c>
      <c r="G31" t="s">
        <v>66</v>
      </c>
      <c r="I31" t="s">
        <v>66</v>
      </c>
      <c r="K31" t="s">
        <v>66</v>
      </c>
      <c r="M31" t="s">
        <v>66</v>
      </c>
      <c r="O31" t="s">
        <v>66</v>
      </c>
      <c r="Q31" t="s">
        <v>66</v>
      </c>
      <c r="S31" t="s">
        <v>66</v>
      </c>
      <c r="U31" t="s">
        <v>66</v>
      </c>
      <c r="W31" t="s">
        <v>66</v>
      </c>
      <c r="Y31" t="s">
        <v>66</v>
      </c>
      <c r="AA31" t="s">
        <v>66</v>
      </c>
      <c r="AC31" t="s">
        <v>66</v>
      </c>
      <c r="AE31" t="s">
        <v>66</v>
      </c>
      <c r="AG31" t="s">
        <v>66</v>
      </c>
      <c r="AI31" t="s">
        <v>66</v>
      </c>
      <c r="AK31" t="s">
        <v>66</v>
      </c>
      <c r="AM31" t="s">
        <v>66</v>
      </c>
      <c r="AO31" t="s">
        <v>66</v>
      </c>
      <c r="AQ31" t="s">
        <v>66</v>
      </c>
      <c r="AS31" t="s">
        <v>66</v>
      </c>
      <c r="AU31" t="s">
        <v>66</v>
      </c>
      <c r="AW31" t="s">
        <v>66</v>
      </c>
      <c r="AY31" t="s">
        <v>66</v>
      </c>
      <c r="BA31" t="s">
        <v>66</v>
      </c>
      <c r="BC31" t="s">
        <v>66</v>
      </c>
      <c r="BE31" t="s">
        <v>66</v>
      </c>
      <c r="BG31" t="s">
        <v>66</v>
      </c>
      <c r="BI31" t="s">
        <v>66</v>
      </c>
      <c r="BK31" t="s">
        <v>66</v>
      </c>
      <c r="BM31" t="s">
        <v>66</v>
      </c>
      <c r="BO31" t="s">
        <v>66</v>
      </c>
      <c r="BQ31" t="s">
        <v>66</v>
      </c>
      <c r="BS31" t="s">
        <v>66</v>
      </c>
      <c r="BU31" t="s">
        <v>66</v>
      </c>
      <c r="BW31" t="s">
        <v>66</v>
      </c>
      <c r="BY31" t="s">
        <v>66</v>
      </c>
      <c r="CA31" t="s">
        <v>66</v>
      </c>
      <c r="CC31" t="s">
        <v>66</v>
      </c>
      <c r="CE31" t="s">
        <v>66</v>
      </c>
      <c r="CG31" t="s">
        <v>66</v>
      </c>
      <c r="CI31" t="s">
        <v>66</v>
      </c>
      <c r="CK31" t="s">
        <v>66</v>
      </c>
      <c r="CM31" t="s">
        <v>66</v>
      </c>
      <c r="CO31" t="s">
        <v>66</v>
      </c>
      <c r="CQ31" t="s">
        <v>66</v>
      </c>
      <c r="CS31" t="s">
        <v>66</v>
      </c>
      <c r="CU31" t="s">
        <v>66</v>
      </c>
      <c r="CW31" t="s">
        <v>66</v>
      </c>
      <c r="CY31" t="s">
        <v>66</v>
      </c>
      <c r="DA31" t="s">
        <v>66</v>
      </c>
      <c r="DC31" t="s">
        <v>66</v>
      </c>
      <c r="DE31" t="s">
        <v>66</v>
      </c>
      <c r="DG31" t="s">
        <v>66</v>
      </c>
      <c r="DI31" t="s">
        <v>66</v>
      </c>
      <c r="DK31" t="s">
        <v>66</v>
      </c>
      <c r="DM31" t="s">
        <v>66</v>
      </c>
      <c r="DO31" t="s">
        <v>66</v>
      </c>
      <c r="DQ31" t="s">
        <v>66</v>
      </c>
    </row>
    <row r="32" spans="1:121">
      <c r="A32" t="s">
        <v>72</v>
      </c>
      <c r="D32" t="s">
        <v>60</v>
      </c>
      <c r="E32" t="s">
        <v>61</v>
      </c>
      <c r="G32">
        <v>941499.3</v>
      </c>
      <c r="I32">
        <v>290574.59999999998</v>
      </c>
      <c r="K32">
        <v>5530650</v>
      </c>
      <c r="M32">
        <v>7121345.5999999996</v>
      </c>
      <c r="O32">
        <v>8120473.0999999996</v>
      </c>
      <c r="Q32">
        <v>950657.7</v>
      </c>
      <c r="S32">
        <v>7838464.7999999998</v>
      </c>
      <c r="U32">
        <v>1759551.5</v>
      </c>
      <c r="W32">
        <v>3649874.7</v>
      </c>
      <c r="Y32">
        <v>599697</v>
      </c>
      <c r="AA32">
        <v>2627687</v>
      </c>
      <c r="AC32">
        <v>1937004</v>
      </c>
      <c r="AE32">
        <v>1807231.2</v>
      </c>
      <c r="AG32">
        <v>9280197.4000000004</v>
      </c>
      <c r="AI32">
        <v>3957594.4</v>
      </c>
      <c r="AK32">
        <v>9007866.1999999993</v>
      </c>
      <c r="AM32">
        <v>8436262.0999999996</v>
      </c>
      <c r="AO32">
        <v>1932090.3</v>
      </c>
      <c r="AQ32">
        <v>1693089.7</v>
      </c>
      <c r="AS32">
        <v>1625192.2</v>
      </c>
      <c r="AU32">
        <v>10675924.300000001</v>
      </c>
      <c r="AW32">
        <v>3002512.3</v>
      </c>
      <c r="AY32">
        <v>2257768.7000000002</v>
      </c>
      <c r="BA32">
        <v>1405461.7</v>
      </c>
      <c r="BC32">
        <v>2551211</v>
      </c>
      <c r="BE32">
        <v>7177725.9000000004</v>
      </c>
      <c r="BG32">
        <v>2641865.2999999998</v>
      </c>
      <c r="BI32">
        <v>2254761</v>
      </c>
      <c r="BK32">
        <v>5146554.5999999996</v>
      </c>
      <c r="BM32">
        <v>8377837.7000000002</v>
      </c>
      <c r="BO32">
        <v>2667468.4</v>
      </c>
      <c r="BQ32">
        <v>1732956.4</v>
      </c>
      <c r="BS32">
        <v>1310460.7</v>
      </c>
      <c r="BU32">
        <v>1863267.6</v>
      </c>
      <c r="BW32">
        <v>26879.1</v>
      </c>
      <c r="BY32">
        <v>700289.3</v>
      </c>
      <c r="CA32">
        <v>103096.5</v>
      </c>
      <c r="CC32">
        <v>33714.6</v>
      </c>
      <c r="CE32">
        <v>446818.1</v>
      </c>
      <c r="CG32">
        <v>397539.5</v>
      </c>
      <c r="CI32">
        <v>567225.80000000005</v>
      </c>
      <c r="CK32">
        <v>1936135.1</v>
      </c>
      <c r="CM32">
        <v>523510</v>
      </c>
      <c r="CO32">
        <v>123216.4</v>
      </c>
      <c r="CQ32">
        <v>286089</v>
      </c>
      <c r="CS32">
        <v>185761.7</v>
      </c>
      <c r="CU32">
        <v>244133.8</v>
      </c>
      <c r="CW32">
        <v>200998.9</v>
      </c>
      <c r="CY32">
        <v>130403.8</v>
      </c>
      <c r="DA32">
        <v>996316.6</v>
      </c>
      <c r="DC32">
        <v>20351.400000000001</v>
      </c>
      <c r="DE32">
        <v>19559.900000000001</v>
      </c>
      <c r="DG32">
        <v>2075.6999999999998</v>
      </c>
      <c r="DI32">
        <v>6835.6</v>
      </c>
      <c r="DK32">
        <v>26.1</v>
      </c>
      <c r="DM32">
        <v>69261.7</v>
      </c>
      <c r="DO32">
        <v>53529.2</v>
      </c>
      <c r="DQ32">
        <v>34952.400000000001</v>
      </c>
    </row>
    <row r="33" spans="1:122">
      <c r="D33" t="s">
        <v>62</v>
      </c>
      <c r="E33" t="s">
        <v>61</v>
      </c>
      <c r="G33">
        <v>20377.599999999999</v>
      </c>
      <c r="I33">
        <v>6105.5</v>
      </c>
      <c r="K33">
        <v>33589</v>
      </c>
      <c r="M33">
        <v>144086.9</v>
      </c>
      <c r="O33">
        <v>146809.70000000001</v>
      </c>
      <c r="Q33">
        <v>16021.4</v>
      </c>
      <c r="S33">
        <v>161223</v>
      </c>
      <c r="U33">
        <v>43723.9</v>
      </c>
      <c r="W33">
        <v>64800</v>
      </c>
      <c r="Y33">
        <v>3093.3</v>
      </c>
      <c r="AA33">
        <v>21738.6</v>
      </c>
      <c r="AC33">
        <v>14922.7</v>
      </c>
      <c r="AE33">
        <v>9799.7999999999993</v>
      </c>
      <c r="AG33">
        <v>32723.9</v>
      </c>
      <c r="AI33">
        <v>38671.9</v>
      </c>
      <c r="AK33">
        <v>167068.4</v>
      </c>
      <c r="AM33">
        <v>129977</v>
      </c>
      <c r="AO33">
        <v>31855</v>
      </c>
      <c r="AQ33">
        <v>27782.400000000001</v>
      </c>
      <c r="AS33">
        <v>34370.699999999997</v>
      </c>
      <c r="AU33">
        <v>309111.2</v>
      </c>
      <c r="AW33">
        <v>141098.79999999999</v>
      </c>
      <c r="AY33">
        <v>91573.2</v>
      </c>
      <c r="BA33">
        <v>40847.5</v>
      </c>
      <c r="BC33">
        <v>38441.4</v>
      </c>
      <c r="BE33">
        <v>37590.199999999997</v>
      </c>
      <c r="BG33">
        <v>25555.599999999999</v>
      </c>
      <c r="BI33">
        <v>18186.599999999999</v>
      </c>
      <c r="BK33">
        <v>42392.3</v>
      </c>
      <c r="BM33">
        <v>81388.5</v>
      </c>
      <c r="BO33">
        <v>10245.5</v>
      </c>
      <c r="BQ33">
        <v>30360.799999999999</v>
      </c>
      <c r="BS33">
        <v>21908.7</v>
      </c>
      <c r="BU33">
        <v>15239</v>
      </c>
      <c r="BW33">
        <v>646.70000000000005</v>
      </c>
      <c r="BY33">
        <v>873.2</v>
      </c>
      <c r="CA33">
        <v>1187.3</v>
      </c>
      <c r="CC33">
        <v>922.4</v>
      </c>
      <c r="CE33">
        <v>8930</v>
      </c>
      <c r="CG33">
        <v>7697.1</v>
      </c>
      <c r="CI33">
        <v>11844.9</v>
      </c>
      <c r="CK33">
        <v>54789.1</v>
      </c>
      <c r="CM33">
        <v>19999</v>
      </c>
      <c r="CO33">
        <v>5361.3</v>
      </c>
      <c r="CQ33">
        <v>7405.4</v>
      </c>
      <c r="CS33">
        <v>4957</v>
      </c>
      <c r="CU33">
        <v>4010.7</v>
      </c>
      <c r="CW33">
        <v>1982.7</v>
      </c>
      <c r="CY33">
        <v>1569.9</v>
      </c>
      <c r="DA33">
        <v>29979.200000000001</v>
      </c>
      <c r="DC33">
        <v>323.39999999999998</v>
      </c>
      <c r="DE33">
        <v>317.8</v>
      </c>
      <c r="DG33">
        <v>25.9</v>
      </c>
      <c r="DI33">
        <v>148.6</v>
      </c>
      <c r="DK33">
        <v>3.5</v>
      </c>
      <c r="DM33">
        <v>804.1</v>
      </c>
      <c r="DO33">
        <v>293.39999999999998</v>
      </c>
      <c r="DQ33">
        <v>979.1</v>
      </c>
    </row>
    <row r="34" spans="1:122">
      <c r="D34" t="s">
        <v>63</v>
      </c>
    </row>
    <row r="35" spans="1:122">
      <c r="D35" t="s">
        <v>64</v>
      </c>
    </row>
    <row r="36" spans="1:122">
      <c r="D36" t="s">
        <v>65</v>
      </c>
      <c r="G36" t="s">
        <v>66</v>
      </c>
      <c r="I36" t="s">
        <v>66</v>
      </c>
      <c r="K36" t="s">
        <v>66</v>
      </c>
      <c r="M36" t="s">
        <v>66</v>
      </c>
      <c r="O36" t="s">
        <v>66</v>
      </c>
      <c r="Q36" t="s">
        <v>66</v>
      </c>
      <c r="S36" t="s">
        <v>66</v>
      </c>
      <c r="U36" t="s">
        <v>66</v>
      </c>
      <c r="W36" t="s">
        <v>66</v>
      </c>
      <c r="Y36" t="s">
        <v>66</v>
      </c>
      <c r="AA36" t="s">
        <v>66</v>
      </c>
      <c r="AC36" t="s">
        <v>66</v>
      </c>
      <c r="AE36" t="s">
        <v>66</v>
      </c>
      <c r="AG36" t="s">
        <v>66</v>
      </c>
      <c r="AI36" t="s">
        <v>66</v>
      </c>
      <c r="AK36" t="s">
        <v>66</v>
      </c>
      <c r="AM36" t="s">
        <v>66</v>
      </c>
      <c r="AO36" t="s">
        <v>66</v>
      </c>
      <c r="AQ36" t="s">
        <v>66</v>
      </c>
      <c r="AS36" t="s">
        <v>66</v>
      </c>
      <c r="AU36" t="s">
        <v>66</v>
      </c>
      <c r="AW36" t="s">
        <v>66</v>
      </c>
      <c r="AY36" t="s">
        <v>66</v>
      </c>
      <c r="BA36" t="s">
        <v>66</v>
      </c>
      <c r="BC36" t="s">
        <v>66</v>
      </c>
      <c r="BE36" t="s">
        <v>66</v>
      </c>
      <c r="BG36" t="s">
        <v>66</v>
      </c>
      <c r="BI36" t="s">
        <v>66</v>
      </c>
      <c r="BK36" t="s">
        <v>66</v>
      </c>
      <c r="BM36" t="s">
        <v>66</v>
      </c>
      <c r="BO36" t="s">
        <v>66</v>
      </c>
      <c r="BQ36" t="s">
        <v>66</v>
      </c>
      <c r="BS36" t="s">
        <v>66</v>
      </c>
      <c r="BU36" t="s">
        <v>66</v>
      </c>
      <c r="BW36" t="s">
        <v>66</v>
      </c>
      <c r="BY36" t="s">
        <v>66</v>
      </c>
      <c r="CA36" t="s">
        <v>66</v>
      </c>
      <c r="CC36" t="s">
        <v>66</v>
      </c>
      <c r="CE36" t="s">
        <v>66</v>
      </c>
      <c r="CG36" t="s">
        <v>66</v>
      </c>
      <c r="CI36" t="s">
        <v>66</v>
      </c>
      <c r="CK36" t="s">
        <v>66</v>
      </c>
      <c r="CM36" t="s">
        <v>66</v>
      </c>
      <c r="CO36" t="s">
        <v>66</v>
      </c>
      <c r="CQ36" t="s">
        <v>66</v>
      </c>
      <c r="CS36" t="s">
        <v>66</v>
      </c>
      <c r="CU36" t="s">
        <v>66</v>
      </c>
      <c r="CW36" t="s">
        <v>66</v>
      </c>
      <c r="CY36" t="s">
        <v>66</v>
      </c>
      <c r="DA36" t="s">
        <v>66</v>
      </c>
      <c r="DC36" t="s">
        <v>66</v>
      </c>
      <c r="DE36" t="s">
        <v>66</v>
      </c>
      <c r="DG36" t="s">
        <v>66</v>
      </c>
      <c r="DI36" t="s">
        <v>66</v>
      </c>
      <c r="DK36" t="s">
        <v>66</v>
      </c>
      <c r="DM36" t="s">
        <v>66</v>
      </c>
      <c r="DO36" t="s">
        <v>66</v>
      </c>
      <c r="DQ36" t="s">
        <v>66</v>
      </c>
    </row>
    <row r="37" spans="1:122">
      <c r="A37" t="s">
        <v>73</v>
      </c>
      <c r="D37" t="s">
        <v>60</v>
      </c>
      <c r="E37" t="s">
        <v>61</v>
      </c>
      <c r="G37">
        <v>2051200.7</v>
      </c>
      <c r="I37">
        <v>635887.30000000005</v>
      </c>
      <c r="K37">
        <v>11342095.699999999</v>
      </c>
      <c r="M37">
        <v>14391705.5</v>
      </c>
      <c r="O37">
        <v>16245854.699999999</v>
      </c>
      <c r="Q37">
        <v>1972166</v>
      </c>
      <c r="S37">
        <v>15712768.699999999</v>
      </c>
      <c r="U37">
        <v>3561806.4</v>
      </c>
      <c r="W37">
        <v>7322573.2000000002</v>
      </c>
      <c r="Y37">
        <v>1256667.2</v>
      </c>
      <c r="AA37">
        <v>2741944.3</v>
      </c>
      <c r="AC37">
        <v>3768475.5</v>
      </c>
      <c r="AE37">
        <v>3630697</v>
      </c>
      <c r="AG37">
        <v>18947229.300000001</v>
      </c>
      <c r="AI37">
        <v>8027932.5</v>
      </c>
      <c r="AK37">
        <v>18490854.100000001</v>
      </c>
      <c r="AM37">
        <v>17484778.399999999</v>
      </c>
      <c r="AO37">
        <v>3978917.9</v>
      </c>
      <c r="AQ37">
        <v>3577130</v>
      </c>
      <c r="AS37">
        <v>3447808</v>
      </c>
      <c r="AU37">
        <v>21094170.199999999</v>
      </c>
      <c r="AW37">
        <v>5836069</v>
      </c>
      <c r="AY37">
        <v>4357949.8</v>
      </c>
      <c r="BA37">
        <v>1412082.3</v>
      </c>
      <c r="BC37">
        <v>4398392.0999999996</v>
      </c>
      <c r="BE37">
        <v>14024121.699999999</v>
      </c>
      <c r="BG37">
        <v>4917974.5999999996</v>
      </c>
      <c r="BI37">
        <v>4191553.7</v>
      </c>
      <c r="BK37">
        <v>10145999.6</v>
      </c>
      <c r="BM37">
        <v>16659245.1</v>
      </c>
      <c r="BO37">
        <v>5221970.2</v>
      </c>
      <c r="BQ37">
        <v>3625001.5</v>
      </c>
      <c r="BS37">
        <v>2679433.5</v>
      </c>
      <c r="BU37">
        <v>3267563.9</v>
      </c>
      <c r="BW37">
        <v>52522.1</v>
      </c>
      <c r="BY37">
        <v>1424246.8</v>
      </c>
      <c r="CA37">
        <v>197933.4</v>
      </c>
      <c r="CC37">
        <v>67519.7</v>
      </c>
      <c r="CE37">
        <v>882211.4</v>
      </c>
      <c r="CG37">
        <v>808721</v>
      </c>
      <c r="CI37">
        <v>1142205.8999999999</v>
      </c>
      <c r="CK37">
        <v>3850793.2</v>
      </c>
      <c r="CM37">
        <v>1074156.1000000001</v>
      </c>
      <c r="CO37">
        <v>250475.3</v>
      </c>
      <c r="CQ37">
        <v>591289.30000000005</v>
      </c>
      <c r="CS37">
        <v>392426.3</v>
      </c>
      <c r="CU37">
        <v>245161.3</v>
      </c>
      <c r="CW37">
        <v>410146.3</v>
      </c>
      <c r="CY37">
        <v>130956.3</v>
      </c>
      <c r="DA37">
        <v>2146978.7000000002</v>
      </c>
      <c r="DC37">
        <v>42763.4</v>
      </c>
      <c r="DE37">
        <v>39363</v>
      </c>
      <c r="DG37">
        <v>4074.8</v>
      </c>
      <c r="DI37">
        <v>13325</v>
      </c>
      <c r="DK37">
        <v>44.4</v>
      </c>
      <c r="DM37">
        <v>72761.2</v>
      </c>
      <c r="DO37">
        <v>111397.4</v>
      </c>
      <c r="DQ37">
        <v>35744.699999999997</v>
      </c>
    </row>
    <row r="38" spans="1:122">
      <c r="D38" t="s">
        <v>62</v>
      </c>
      <c r="E38" t="s">
        <v>61</v>
      </c>
      <c r="G38">
        <v>43633.8</v>
      </c>
      <c r="I38">
        <v>13817.1</v>
      </c>
      <c r="K38">
        <v>49752.9</v>
      </c>
      <c r="M38">
        <v>138427.29999999999</v>
      </c>
      <c r="O38">
        <v>18765.099999999999</v>
      </c>
      <c r="Q38">
        <v>38205.800000000003</v>
      </c>
      <c r="S38">
        <v>234533.6</v>
      </c>
      <c r="U38">
        <v>25890.799999999999</v>
      </c>
      <c r="W38">
        <v>85045.2</v>
      </c>
      <c r="Y38">
        <v>26025.1</v>
      </c>
      <c r="AA38">
        <v>44723.199999999997</v>
      </c>
      <c r="AC38">
        <v>47991.9</v>
      </c>
      <c r="AE38">
        <v>19110.099999999999</v>
      </c>
      <c r="AG38">
        <v>60002.400000000001</v>
      </c>
      <c r="AI38">
        <v>60658.7</v>
      </c>
      <c r="AK38">
        <v>253167.9</v>
      </c>
      <c r="AM38">
        <v>186799.7</v>
      </c>
      <c r="AO38">
        <v>49940</v>
      </c>
      <c r="AQ38">
        <v>63622</v>
      </c>
      <c r="AS38">
        <v>52745.9</v>
      </c>
      <c r="AU38">
        <v>226015.5</v>
      </c>
      <c r="AW38">
        <v>89627.7</v>
      </c>
      <c r="AY38">
        <v>55974</v>
      </c>
      <c r="BA38">
        <v>18687.400000000001</v>
      </c>
      <c r="BC38">
        <v>33147.699999999997</v>
      </c>
      <c r="BE38">
        <v>117936.3</v>
      </c>
      <c r="BG38">
        <v>56346.400000000001</v>
      </c>
      <c r="BI38">
        <v>104890</v>
      </c>
      <c r="BK38">
        <v>318177.09999999998</v>
      </c>
      <c r="BM38">
        <v>323031.90000000002</v>
      </c>
      <c r="BO38">
        <v>66956.3</v>
      </c>
      <c r="BQ38">
        <v>49057</v>
      </c>
      <c r="BS38">
        <v>66249.3</v>
      </c>
      <c r="BU38">
        <v>63582</v>
      </c>
      <c r="BW38">
        <v>1433.7</v>
      </c>
      <c r="BY38">
        <v>41676.9</v>
      </c>
      <c r="CA38">
        <v>9364.4</v>
      </c>
      <c r="CC38">
        <v>4406.3999999999996</v>
      </c>
      <c r="CE38">
        <v>50918.8</v>
      </c>
      <c r="CG38">
        <v>40798.300000000003</v>
      </c>
      <c r="CI38">
        <v>40372.400000000001</v>
      </c>
      <c r="CK38">
        <v>148534.5</v>
      </c>
      <c r="CM38">
        <v>11143.8</v>
      </c>
      <c r="CO38">
        <v>1655.8</v>
      </c>
      <c r="CQ38">
        <v>5098.5</v>
      </c>
      <c r="CS38">
        <v>5009.8</v>
      </c>
      <c r="CU38">
        <v>7507.3</v>
      </c>
      <c r="CW38">
        <v>7450.8</v>
      </c>
      <c r="CY38">
        <v>2158.1999999999998</v>
      </c>
      <c r="DA38">
        <v>76979.3</v>
      </c>
      <c r="DC38">
        <v>1526.9</v>
      </c>
      <c r="DE38">
        <v>1607.5</v>
      </c>
      <c r="DG38">
        <v>83</v>
      </c>
      <c r="DI38">
        <v>290</v>
      </c>
      <c r="DK38">
        <v>9.8000000000000007</v>
      </c>
      <c r="DM38">
        <v>1679.5</v>
      </c>
      <c r="DO38">
        <v>3935.1</v>
      </c>
      <c r="DQ38">
        <v>557.9</v>
      </c>
    </row>
    <row r="39" spans="1:122">
      <c r="D39" t="s">
        <v>63</v>
      </c>
    </row>
    <row r="40" spans="1:122">
      <c r="D40" t="s">
        <v>64</v>
      </c>
    </row>
    <row r="41" spans="1:122">
      <c r="D41" t="s">
        <v>65</v>
      </c>
      <c r="G41" t="s">
        <v>66</v>
      </c>
      <c r="I41" t="s">
        <v>66</v>
      </c>
      <c r="K41" t="s">
        <v>66</v>
      </c>
      <c r="M41" t="s">
        <v>66</v>
      </c>
      <c r="O41" t="s">
        <v>66</v>
      </c>
      <c r="Q41" t="s">
        <v>66</v>
      </c>
      <c r="S41" t="s">
        <v>66</v>
      </c>
      <c r="U41" t="s">
        <v>66</v>
      </c>
      <c r="W41" t="s">
        <v>66</v>
      </c>
      <c r="Y41" t="s">
        <v>66</v>
      </c>
      <c r="AA41" t="s">
        <v>66</v>
      </c>
      <c r="AC41" t="s">
        <v>66</v>
      </c>
      <c r="AE41" t="s">
        <v>66</v>
      </c>
      <c r="AG41" t="s">
        <v>66</v>
      </c>
      <c r="AI41" t="s">
        <v>66</v>
      </c>
      <c r="AK41" t="s">
        <v>66</v>
      </c>
      <c r="AM41" t="s">
        <v>66</v>
      </c>
      <c r="AO41" t="s">
        <v>66</v>
      </c>
      <c r="AQ41" t="s">
        <v>66</v>
      </c>
      <c r="AS41" t="s">
        <v>66</v>
      </c>
      <c r="AU41" t="s">
        <v>66</v>
      </c>
      <c r="AW41" t="s">
        <v>66</v>
      </c>
      <c r="AY41" t="s">
        <v>66</v>
      </c>
      <c r="BA41" t="s">
        <v>66</v>
      </c>
      <c r="BC41" t="s">
        <v>66</v>
      </c>
      <c r="BE41" t="s">
        <v>66</v>
      </c>
      <c r="BG41" t="s">
        <v>66</v>
      </c>
      <c r="BI41" t="s">
        <v>66</v>
      </c>
      <c r="BK41" t="s">
        <v>66</v>
      </c>
      <c r="BM41" t="s">
        <v>66</v>
      </c>
      <c r="BO41" t="s">
        <v>66</v>
      </c>
      <c r="BQ41" t="s">
        <v>66</v>
      </c>
      <c r="BS41" t="s">
        <v>66</v>
      </c>
      <c r="BU41" t="s">
        <v>66</v>
      </c>
      <c r="BW41" t="s">
        <v>66</v>
      </c>
      <c r="BY41" t="s">
        <v>66</v>
      </c>
      <c r="CA41" t="s">
        <v>66</v>
      </c>
      <c r="CC41" t="s">
        <v>66</v>
      </c>
      <c r="CE41" t="s">
        <v>66</v>
      </c>
      <c r="CG41" t="s">
        <v>66</v>
      </c>
      <c r="CI41" t="s">
        <v>66</v>
      </c>
      <c r="CK41" t="s">
        <v>66</v>
      </c>
      <c r="CM41" t="s">
        <v>66</v>
      </c>
      <c r="CO41" t="s">
        <v>66</v>
      </c>
      <c r="CQ41" t="s">
        <v>66</v>
      </c>
      <c r="CS41" t="s">
        <v>66</v>
      </c>
      <c r="CU41" t="s">
        <v>66</v>
      </c>
      <c r="CW41" t="s">
        <v>66</v>
      </c>
      <c r="CY41" t="s">
        <v>66</v>
      </c>
      <c r="DA41" t="s">
        <v>66</v>
      </c>
      <c r="DC41" t="s">
        <v>66</v>
      </c>
      <c r="DE41" t="s">
        <v>66</v>
      </c>
      <c r="DG41" t="s">
        <v>66</v>
      </c>
      <c r="DI41" t="s">
        <v>66</v>
      </c>
      <c r="DK41" t="s">
        <v>66</v>
      </c>
      <c r="DM41" t="s">
        <v>66</v>
      </c>
      <c r="DO41" t="s">
        <v>66</v>
      </c>
      <c r="DQ41" t="s">
        <v>66</v>
      </c>
    </row>
    <row r="42" spans="1:122">
      <c r="A42" t="s">
        <v>74</v>
      </c>
      <c r="D42" t="s">
        <v>60</v>
      </c>
      <c r="E42" t="s">
        <v>61</v>
      </c>
      <c r="G42">
        <v>6119.2</v>
      </c>
      <c r="I42">
        <v>1137.0999999999999</v>
      </c>
      <c r="K42">
        <v>25310.3</v>
      </c>
      <c r="M42">
        <v>25676.3</v>
      </c>
      <c r="O42">
        <v>13612.3</v>
      </c>
      <c r="Q42">
        <v>4240.7</v>
      </c>
      <c r="S42">
        <v>18998.900000000001</v>
      </c>
      <c r="U42">
        <v>4497.3</v>
      </c>
      <c r="W42">
        <v>9907.2000000000007</v>
      </c>
      <c r="Y42">
        <v>1329</v>
      </c>
      <c r="AA42">
        <v>2619974</v>
      </c>
      <c r="AC42">
        <v>5679.1</v>
      </c>
      <c r="AE42">
        <v>4835.2</v>
      </c>
      <c r="AG42">
        <v>27685.9</v>
      </c>
      <c r="AI42">
        <v>10151.1</v>
      </c>
      <c r="AK42">
        <v>15112</v>
      </c>
      <c r="AM42">
        <v>13878.4</v>
      </c>
      <c r="AO42">
        <v>3843.3</v>
      </c>
      <c r="AQ42">
        <v>3322.9</v>
      </c>
      <c r="AS42">
        <v>2706.6</v>
      </c>
      <c r="AU42">
        <v>17740.900000000001</v>
      </c>
      <c r="AW42">
        <v>5238.8999999999996</v>
      </c>
      <c r="AY42">
        <v>11262.3</v>
      </c>
      <c r="BA42">
        <v>1491136.5</v>
      </c>
      <c r="BC42">
        <v>286880.8</v>
      </c>
      <c r="BE42">
        <v>15105.8</v>
      </c>
      <c r="BG42">
        <v>5028.2</v>
      </c>
      <c r="BI42">
        <v>4440</v>
      </c>
      <c r="BK42">
        <v>25647.9</v>
      </c>
      <c r="BM42">
        <v>15001.2</v>
      </c>
      <c r="BO42">
        <v>141010.9</v>
      </c>
      <c r="BQ42">
        <v>14470.5</v>
      </c>
      <c r="BS42">
        <v>16075.4</v>
      </c>
      <c r="BU42">
        <v>721591.1</v>
      </c>
      <c r="BW42">
        <v>1371.3</v>
      </c>
      <c r="BY42">
        <v>61968</v>
      </c>
      <c r="CA42">
        <v>5742.3</v>
      </c>
      <c r="CC42">
        <v>54.6</v>
      </c>
      <c r="CE42">
        <v>514.9</v>
      </c>
      <c r="CG42">
        <v>563.1</v>
      </c>
      <c r="CI42">
        <v>665</v>
      </c>
      <c r="CK42">
        <v>4382.2</v>
      </c>
      <c r="CM42">
        <v>514.9</v>
      </c>
      <c r="CO42">
        <v>391.7</v>
      </c>
      <c r="CQ42">
        <v>824.4</v>
      </c>
      <c r="CS42">
        <v>763.3</v>
      </c>
      <c r="CU42">
        <v>243062.5</v>
      </c>
      <c r="CW42">
        <v>445.4</v>
      </c>
      <c r="CY42">
        <v>136053.1</v>
      </c>
      <c r="DA42">
        <v>31858.3</v>
      </c>
      <c r="DC42">
        <v>33.299999999999997</v>
      </c>
      <c r="DE42">
        <v>14.6</v>
      </c>
      <c r="DG42">
        <v>0</v>
      </c>
      <c r="DI42">
        <v>523.1</v>
      </c>
      <c r="DK42">
        <v>48.9</v>
      </c>
      <c r="DM42">
        <v>71049.2</v>
      </c>
      <c r="DO42">
        <v>106.5</v>
      </c>
      <c r="DQ42">
        <v>37267.800000000003</v>
      </c>
    </row>
    <row r="43" spans="1:122">
      <c r="D43" t="s">
        <v>62</v>
      </c>
      <c r="E43" t="s">
        <v>61</v>
      </c>
      <c r="G43">
        <v>511.7</v>
      </c>
      <c r="I43">
        <v>134.6</v>
      </c>
      <c r="K43">
        <v>3376.7</v>
      </c>
      <c r="M43">
        <v>2934.3</v>
      </c>
      <c r="O43">
        <v>2085.1</v>
      </c>
      <c r="Q43">
        <v>697.6</v>
      </c>
      <c r="S43">
        <v>2641.1</v>
      </c>
      <c r="U43">
        <v>701.4</v>
      </c>
      <c r="W43">
        <v>2122.8000000000002</v>
      </c>
      <c r="Y43">
        <v>267.3</v>
      </c>
      <c r="AA43">
        <v>21731.1</v>
      </c>
      <c r="AC43">
        <v>903.6</v>
      </c>
      <c r="AE43">
        <v>863.2</v>
      </c>
      <c r="AG43">
        <v>6163.6</v>
      </c>
      <c r="AI43">
        <v>1394.4</v>
      </c>
      <c r="AK43">
        <v>2506.5</v>
      </c>
      <c r="AM43">
        <v>2085.6</v>
      </c>
      <c r="AO43">
        <v>568.4</v>
      </c>
      <c r="AQ43">
        <v>528.4</v>
      </c>
      <c r="AS43">
        <v>413.3</v>
      </c>
      <c r="AU43">
        <v>3392.6</v>
      </c>
      <c r="AW43">
        <v>1014.2</v>
      </c>
      <c r="AY43">
        <v>1582.6</v>
      </c>
      <c r="BA43">
        <v>5954.6</v>
      </c>
      <c r="BC43">
        <v>1818.7</v>
      </c>
      <c r="BE43">
        <v>4343.7</v>
      </c>
      <c r="BG43">
        <v>1064.4000000000001</v>
      </c>
      <c r="BI43">
        <v>1027.3</v>
      </c>
      <c r="BK43">
        <v>1748.2</v>
      </c>
      <c r="BM43">
        <v>3192.6</v>
      </c>
      <c r="BO43">
        <v>1920.7</v>
      </c>
      <c r="BQ43">
        <v>525.79999999999995</v>
      </c>
      <c r="BS43">
        <v>181</v>
      </c>
      <c r="BU43">
        <v>2992</v>
      </c>
      <c r="BW43">
        <v>87.8</v>
      </c>
      <c r="BY43">
        <v>945.3</v>
      </c>
      <c r="CA43">
        <v>146.6</v>
      </c>
      <c r="CC43">
        <v>22.6</v>
      </c>
      <c r="CE43">
        <v>94.4</v>
      </c>
      <c r="CG43">
        <v>57.9</v>
      </c>
      <c r="CI43">
        <v>117.5</v>
      </c>
      <c r="CK43">
        <v>243.4</v>
      </c>
      <c r="CM43">
        <v>131.1</v>
      </c>
      <c r="CO43">
        <v>54.7</v>
      </c>
      <c r="CQ43">
        <v>46.9</v>
      </c>
      <c r="CS43">
        <v>88.3</v>
      </c>
      <c r="CU43">
        <v>3003.6</v>
      </c>
      <c r="CW43">
        <v>64.8</v>
      </c>
      <c r="CY43">
        <v>6119.6</v>
      </c>
      <c r="DA43">
        <v>2671.7</v>
      </c>
      <c r="DC43">
        <v>33.5</v>
      </c>
      <c r="DE43">
        <v>2.9</v>
      </c>
      <c r="DG43">
        <v>0</v>
      </c>
      <c r="DI43">
        <v>94.6</v>
      </c>
      <c r="DK43">
        <v>14</v>
      </c>
      <c r="DM43">
        <v>1495.3</v>
      </c>
      <c r="DO43">
        <v>11.7</v>
      </c>
      <c r="DQ43">
        <v>150</v>
      </c>
    </row>
    <row r="44" spans="1:122">
      <c r="D44" t="s">
        <v>63</v>
      </c>
      <c r="G44">
        <v>9.6750000000000003E-2</v>
      </c>
      <c r="H44" t="s">
        <v>75</v>
      </c>
      <c r="I44">
        <v>8.8200000000000001E-2</v>
      </c>
      <c r="J44" t="s">
        <v>75</v>
      </c>
      <c r="K44">
        <v>5.3490000000000003E-2</v>
      </c>
      <c r="L44" t="s">
        <v>75</v>
      </c>
      <c r="M44">
        <v>3.245E-2</v>
      </c>
      <c r="N44" t="s">
        <v>75</v>
      </c>
      <c r="O44">
        <v>1.8669999999999999E-2</v>
      </c>
      <c r="P44" t="s">
        <v>75</v>
      </c>
      <c r="Q44">
        <v>5.6849999999999998E-2</v>
      </c>
      <c r="R44" t="s">
        <v>75</v>
      </c>
      <c r="S44">
        <v>1.3639999999999999E-2</v>
      </c>
      <c r="T44" t="s">
        <v>75</v>
      </c>
      <c r="U44">
        <v>2.6589999999999999E-2</v>
      </c>
      <c r="V44" t="s">
        <v>75</v>
      </c>
      <c r="W44">
        <v>9.5899999999999996E-3</v>
      </c>
      <c r="X44" t="s">
        <v>75</v>
      </c>
      <c r="Y44">
        <v>4.5100000000000001E-2</v>
      </c>
      <c r="Z44" t="s">
        <v>75</v>
      </c>
      <c r="AC44">
        <v>-2.32E-3</v>
      </c>
      <c r="AD44" t="s">
        <v>75</v>
      </c>
      <c r="AE44">
        <v>2.657E-2</v>
      </c>
      <c r="AF44" t="s">
        <v>75</v>
      </c>
      <c r="AG44">
        <v>3.0509999999999999E-2</v>
      </c>
      <c r="AH44" t="s">
        <v>75</v>
      </c>
      <c r="AI44">
        <v>7.8560000000000005E-2</v>
      </c>
      <c r="AJ44" t="s">
        <v>75</v>
      </c>
      <c r="AK44">
        <v>3.3950000000000001E-2</v>
      </c>
      <c r="AL44" t="s">
        <v>75</v>
      </c>
      <c r="AM44">
        <v>3.3009999999999998E-2</v>
      </c>
      <c r="AN44" t="s">
        <v>75</v>
      </c>
      <c r="AO44">
        <v>3.4689999999999999E-2</v>
      </c>
      <c r="AP44" t="s">
        <v>75</v>
      </c>
      <c r="AQ44">
        <v>3.8679999999999999E-2</v>
      </c>
      <c r="AR44" t="s">
        <v>75</v>
      </c>
      <c r="AS44">
        <v>3.721E-2</v>
      </c>
      <c r="AT44" t="s">
        <v>75</v>
      </c>
      <c r="AU44">
        <v>1.234E-2</v>
      </c>
      <c r="AV44" t="s">
        <v>75</v>
      </c>
      <c r="AW44">
        <v>4.7969999999999999E-2</v>
      </c>
      <c r="AX44" t="s">
        <v>75</v>
      </c>
      <c r="AY44">
        <v>-1.831E-2</v>
      </c>
      <c r="AZ44" t="s">
        <v>75</v>
      </c>
      <c r="BB44" t="s">
        <v>76</v>
      </c>
      <c r="BC44">
        <v>-0.28277000000000002</v>
      </c>
      <c r="BD44" t="s">
        <v>75</v>
      </c>
      <c r="BE44">
        <v>-4.2610000000000002E-2</v>
      </c>
      <c r="BF44" t="s">
        <v>75</v>
      </c>
      <c r="BG44">
        <v>-4.5859999999999998E-2</v>
      </c>
      <c r="BH44" t="s">
        <v>75</v>
      </c>
      <c r="BI44">
        <v>-4.3720000000000002E-2</v>
      </c>
      <c r="BJ44" t="s">
        <v>75</v>
      </c>
      <c r="BK44">
        <v>-3.6880000000000003E-2</v>
      </c>
      <c r="BL44" t="s">
        <v>75</v>
      </c>
      <c r="BM44">
        <v>-3.5779999999999999E-2</v>
      </c>
      <c r="BN44" t="s">
        <v>75</v>
      </c>
      <c r="BO44">
        <v>1.0831200000000001</v>
      </c>
      <c r="BP44" t="s">
        <v>75</v>
      </c>
      <c r="BQ44">
        <v>0.66064999999999996</v>
      </c>
      <c r="BR44" t="s">
        <v>75</v>
      </c>
      <c r="BS44">
        <v>0.25185000000000002</v>
      </c>
      <c r="BT44" t="s">
        <v>75</v>
      </c>
      <c r="BU44">
        <v>4.2266399999999997</v>
      </c>
      <c r="BV44" t="s">
        <v>75</v>
      </c>
      <c r="BW44">
        <v>-1.112E-2</v>
      </c>
      <c r="BX44" t="s">
        <v>75</v>
      </c>
      <c r="BY44">
        <v>3.0013000000000001</v>
      </c>
      <c r="BZ44" t="s">
        <v>75</v>
      </c>
      <c r="CA44">
        <v>1.4560599999999999</v>
      </c>
      <c r="CB44" t="s">
        <v>75</v>
      </c>
      <c r="CC44">
        <v>3.338E-2</v>
      </c>
      <c r="CD44" t="s">
        <v>75</v>
      </c>
      <c r="CE44">
        <v>1.8290000000000001E-2</v>
      </c>
      <c r="CF44" t="s">
        <v>75</v>
      </c>
      <c r="CG44">
        <v>3.5499999999999997E-2</v>
      </c>
      <c r="CH44" t="s">
        <v>75</v>
      </c>
      <c r="CI44">
        <v>3.3149999999999999E-2</v>
      </c>
      <c r="CJ44" t="s">
        <v>75</v>
      </c>
      <c r="CK44">
        <v>0.13406000000000001</v>
      </c>
      <c r="CL44" t="s">
        <v>75</v>
      </c>
      <c r="CM44">
        <v>4.8210000000000003E-2</v>
      </c>
      <c r="CN44" t="s">
        <v>75</v>
      </c>
      <c r="CO44">
        <v>4.5760000000000002E-2</v>
      </c>
      <c r="CP44" t="s">
        <v>75</v>
      </c>
      <c r="CQ44">
        <v>5.3879999999999997E-2</v>
      </c>
      <c r="CR44" t="s">
        <v>75</v>
      </c>
      <c r="CS44">
        <v>0.24329999999999999</v>
      </c>
      <c r="CT44" t="s">
        <v>75</v>
      </c>
      <c r="CW44">
        <v>4.4319999999999998E-2</v>
      </c>
      <c r="CX44" t="s">
        <v>75</v>
      </c>
      <c r="CZ44" t="s">
        <v>76</v>
      </c>
      <c r="DA44">
        <v>0.88919999999999999</v>
      </c>
      <c r="DB44" t="s">
        <v>75</v>
      </c>
      <c r="DC44">
        <v>2.9090000000000001E-2</v>
      </c>
      <c r="DD44" t="s">
        <v>75</v>
      </c>
      <c r="DE44">
        <v>-2.5770000000000001E-2</v>
      </c>
      <c r="DF44" t="s">
        <v>75</v>
      </c>
      <c r="DG44">
        <v>-7.6869999999999994E-2</v>
      </c>
      <c r="DH44" t="s">
        <v>75</v>
      </c>
      <c r="DI44">
        <v>0.12382</v>
      </c>
      <c r="DJ44" t="s">
        <v>75</v>
      </c>
      <c r="DL44" t="s">
        <v>76</v>
      </c>
      <c r="DO44">
        <v>2.0670000000000001E-2</v>
      </c>
      <c r="DP44" t="s">
        <v>75</v>
      </c>
      <c r="DR44" t="s">
        <v>76</v>
      </c>
    </row>
    <row r="45" spans="1:122">
      <c r="D45" t="s">
        <v>64</v>
      </c>
      <c r="G45">
        <v>3.5300000000000002E-3</v>
      </c>
      <c r="H45" t="s">
        <v>75</v>
      </c>
      <c r="I45">
        <v>2.9099999999999998E-3</v>
      </c>
      <c r="J45" t="s">
        <v>75</v>
      </c>
      <c r="K45">
        <v>4.0400000000000002E-3</v>
      </c>
      <c r="L45" t="s">
        <v>75</v>
      </c>
      <c r="M45">
        <v>2.7799999999999999E-3</v>
      </c>
      <c r="N45" t="s">
        <v>75</v>
      </c>
      <c r="O45">
        <v>1.72E-3</v>
      </c>
      <c r="P45" t="s">
        <v>75</v>
      </c>
      <c r="Q45">
        <v>4.7200000000000002E-3</v>
      </c>
      <c r="R45" t="s">
        <v>75</v>
      </c>
      <c r="S45">
        <v>2.2599999999999999E-3</v>
      </c>
      <c r="T45" t="s">
        <v>75</v>
      </c>
      <c r="U45">
        <v>2.6099999999999999E-3</v>
      </c>
      <c r="V45" t="s">
        <v>75</v>
      </c>
      <c r="W45">
        <v>3.8500000000000001E-3</v>
      </c>
      <c r="X45" t="s">
        <v>75</v>
      </c>
      <c r="Y45">
        <v>2.8400000000000001E-3</v>
      </c>
      <c r="Z45" t="s">
        <v>75</v>
      </c>
      <c r="AC45">
        <v>3.1900000000000001E-3</v>
      </c>
      <c r="AD45" t="s">
        <v>75</v>
      </c>
      <c r="AE45">
        <v>3.1700000000000001E-3</v>
      </c>
      <c r="AF45" t="s">
        <v>75</v>
      </c>
      <c r="AG45">
        <v>4.28E-3</v>
      </c>
      <c r="AH45" t="s">
        <v>75</v>
      </c>
      <c r="AI45">
        <v>8.4899999999999993E-3</v>
      </c>
      <c r="AJ45" t="s">
        <v>75</v>
      </c>
      <c r="AK45">
        <v>1.7899999999999999E-3</v>
      </c>
      <c r="AL45" t="s">
        <v>75</v>
      </c>
      <c r="AM45">
        <v>1.6100000000000001E-3</v>
      </c>
      <c r="AN45" t="s">
        <v>75</v>
      </c>
      <c r="AO45">
        <v>1.89E-3</v>
      </c>
      <c r="AP45" t="s">
        <v>75</v>
      </c>
      <c r="AQ45">
        <v>1.9599999999999999E-3</v>
      </c>
      <c r="AR45" t="s">
        <v>75</v>
      </c>
      <c r="AS45">
        <v>1.65E-3</v>
      </c>
      <c r="AT45" t="s">
        <v>75</v>
      </c>
      <c r="AU45">
        <v>2.0500000000000002E-3</v>
      </c>
      <c r="AV45" t="s">
        <v>75</v>
      </c>
      <c r="AW45">
        <v>2.1700000000000001E-3</v>
      </c>
      <c r="AX45" t="s">
        <v>75</v>
      </c>
      <c r="AY45">
        <v>4.8999999999999998E-3</v>
      </c>
      <c r="AZ45" t="s">
        <v>75</v>
      </c>
      <c r="BC45">
        <v>1.004E-2</v>
      </c>
      <c r="BD45" t="s">
        <v>75</v>
      </c>
      <c r="BE45">
        <v>4.0600000000000002E-3</v>
      </c>
      <c r="BF45" t="s">
        <v>75</v>
      </c>
      <c r="BG45">
        <v>2.82E-3</v>
      </c>
      <c r="BH45" t="s">
        <v>75</v>
      </c>
      <c r="BI45">
        <v>3.1900000000000001E-3</v>
      </c>
      <c r="BJ45" t="s">
        <v>75</v>
      </c>
      <c r="BK45">
        <v>2.66E-3</v>
      </c>
      <c r="BL45" t="s">
        <v>75</v>
      </c>
      <c r="BM45">
        <v>2.5300000000000001E-3</v>
      </c>
      <c r="BN45" t="s">
        <v>75</v>
      </c>
      <c r="BO45">
        <v>2.1850000000000001E-2</v>
      </c>
      <c r="BP45" t="s">
        <v>75</v>
      </c>
      <c r="BQ45">
        <v>1.566E-2</v>
      </c>
      <c r="BR45" t="s">
        <v>75</v>
      </c>
      <c r="BS45">
        <v>5.4599999999999996E-3</v>
      </c>
      <c r="BT45" t="s">
        <v>75</v>
      </c>
      <c r="BU45">
        <v>0.20568</v>
      </c>
      <c r="BV45" t="s">
        <v>75</v>
      </c>
      <c r="BW45">
        <v>2.392E-2</v>
      </c>
      <c r="BX45" t="s">
        <v>75</v>
      </c>
      <c r="BY45">
        <v>0.22647</v>
      </c>
      <c r="BZ45" t="s">
        <v>75</v>
      </c>
      <c r="CA45">
        <v>9.1319999999999998E-2</v>
      </c>
      <c r="CB45" t="s">
        <v>75</v>
      </c>
      <c r="CC45">
        <v>3.9699999999999996E-3</v>
      </c>
      <c r="CD45" t="s">
        <v>75</v>
      </c>
      <c r="CE45">
        <v>1.3799999999999999E-3</v>
      </c>
      <c r="CF45" t="s">
        <v>75</v>
      </c>
      <c r="CG45">
        <v>8.7000000000000001E-4</v>
      </c>
      <c r="CH45" t="s">
        <v>75</v>
      </c>
      <c r="CI45">
        <v>1.31E-3</v>
      </c>
      <c r="CJ45" t="s">
        <v>75</v>
      </c>
      <c r="CK45">
        <v>3.0400000000000002E-3</v>
      </c>
      <c r="CL45" t="s">
        <v>75</v>
      </c>
      <c r="CM45">
        <v>1.5100000000000001E-3</v>
      </c>
      <c r="CN45" t="s">
        <v>75</v>
      </c>
      <c r="CO45">
        <v>2.4599999999999999E-3</v>
      </c>
      <c r="CP45" t="s">
        <v>75</v>
      </c>
      <c r="CQ45">
        <v>7.6999999999999996E-4</v>
      </c>
      <c r="CR45" t="s">
        <v>75</v>
      </c>
      <c r="CS45">
        <v>9.5499999999999995E-3</v>
      </c>
      <c r="CT45" t="s">
        <v>75</v>
      </c>
      <c r="CW45">
        <v>1.97E-3</v>
      </c>
      <c r="CX45" t="s">
        <v>75</v>
      </c>
      <c r="DA45">
        <v>0.13594000000000001</v>
      </c>
      <c r="DB45" t="s">
        <v>75</v>
      </c>
      <c r="DC45">
        <v>1.001E-2</v>
      </c>
      <c r="DD45" t="s">
        <v>75</v>
      </c>
      <c r="DE45">
        <v>9.7999999999999997E-4</v>
      </c>
      <c r="DF45" t="s">
        <v>75</v>
      </c>
      <c r="DG45">
        <v>0</v>
      </c>
      <c r="DH45" t="s">
        <v>75</v>
      </c>
      <c r="DI45">
        <v>9.11E-2</v>
      </c>
      <c r="DJ45" t="s">
        <v>75</v>
      </c>
      <c r="DO45">
        <v>1.5499999999999999E-3</v>
      </c>
      <c r="DP45" t="s">
        <v>75</v>
      </c>
    </row>
    <row r="46" spans="1:122">
      <c r="D46" t="s">
        <v>65</v>
      </c>
      <c r="G46" t="s">
        <v>66</v>
      </c>
      <c r="I46" t="s">
        <v>66</v>
      </c>
      <c r="K46" t="s">
        <v>66</v>
      </c>
      <c r="M46" t="s">
        <v>66</v>
      </c>
      <c r="O46" t="s">
        <v>66</v>
      </c>
      <c r="Q46" t="s">
        <v>66</v>
      </c>
      <c r="S46" t="s">
        <v>66</v>
      </c>
      <c r="U46" t="s">
        <v>66</v>
      </c>
      <c r="W46" t="s">
        <v>66</v>
      </c>
      <c r="Y46" t="s">
        <v>66</v>
      </c>
      <c r="AA46" t="s">
        <v>66</v>
      </c>
      <c r="AC46" t="s">
        <v>66</v>
      </c>
      <c r="AE46" t="s">
        <v>66</v>
      </c>
      <c r="AG46" t="s">
        <v>66</v>
      </c>
      <c r="AI46" t="s">
        <v>66</v>
      </c>
      <c r="AK46" t="s">
        <v>66</v>
      </c>
      <c r="AM46" t="s">
        <v>66</v>
      </c>
      <c r="AO46" t="s">
        <v>66</v>
      </c>
      <c r="AQ46" t="s">
        <v>66</v>
      </c>
      <c r="AS46" t="s">
        <v>66</v>
      </c>
      <c r="AU46" t="s">
        <v>66</v>
      </c>
      <c r="AW46" t="s">
        <v>66</v>
      </c>
      <c r="AY46" t="s">
        <v>66</v>
      </c>
      <c r="BA46" t="s">
        <v>66</v>
      </c>
      <c r="BC46" t="s">
        <v>66</v>
      </c>
      <c r="BE46" t="s">
        <v>66</v>
      </c>
      <c r="BG46" t="s">
        <v>66</v>
      </c>
      <c r="BI46" t="s">
        <v>66</v>
      </c>
      <c r="BK46" t="s">
        <v>66</v>
      </c>
      <c r="BM46" t="s">
        <v>66</v>
      </c>
      <c r="BO46" t="s">
        <v>66</v>
      </c>
      <c r="BQ46" t="s">
        <v>66</v>
      </c>
      <c r="BS46" t="s">
        <v>66</v>
      </c>
      <c r="BU46" t="s">
        <v>66</v>
      </c>
      <c r="BW46" t="s">
        <v>66</v>
      </c>
      <c r="BY46" t="s">
        <v>66</v>
      </c>
      <c r="CA46" t="s">
        <v>66</v>
      </c>
      <c r="CC46" t="s">
        <v>66</v>
      </c>
      <c r="CE46" t="s">
        <v>66</v>
      </c>
      <c r="CG46" t="s">
        <v>66</v>
      </c>
      <c r="CI46" t="s">
        <v>66</v>
      </c>
      <c r="CK46" t="s">
        <v>66</v>
      </c>
      <c r="CM46" t="s">
        <v>66</v>
      </c>
      <c r="CO46" t="s">
        <v>66</v>
      </c>
      <c r="CQ46" t="s">
        <v>66</v>
      </c>
      <c r="CS46" t="s">
        <v>66</v>
      </c>
      <c r="CU46" t="s">
        <v>66</v>
      </c>
      <c r="CW46" t="s">
        <v>66</v>
      </c>
      <c r="CY46" t="s">
        <v>66</v>
      </c>
      <c r="DA46" t="s">
        <v>66</v>
      </c>
      <c r="DC46" t="s">
        <v>66</v>
      </c>
      <c r="DE46" t="s">
        <v>66</v>
      </c>
      <c r="DG46" t="s">
        <v>66</v>
      </c>
      <c r="DI46" t="s">
        <v>66</v>
      </c>
      <c r="DK46" t="s">
        <v>66</v>
      </c>
      <c r="DM46" t="s">
        <v>66</v>
      </c>
      <c r="DO46" t="s">
        <v>66</v>
      </c>
      <c r="DQ46" t="s">
        <v>66</v>
      </c>
    </row>
    <row r="47" spans="1:122">
      <c r="A47" t="s">
        <v>77</v>
      </c>
      <c r="D47" t="s">
        <v>60</v>
      </c>
      <c r="E47" t="s">
        <v>61</v>
      </c>
      <c r="G47">
        <v>189296.8</v>
      </c>
      <c r="I47">
        <v>58847.5</v>
      </c>
      <c r="K47">
        <v>1076908.2</v>
      </c>
      <c r="M47">
        <v>1377874.5</v>
      </c>
      <c r="O47">
        <v>1546288.3</v>
      </c>
      <c r="Q47">
        <v>184391.1</v>
      </c>
      <c r="S47">
        <v>1525943</v>
      </c>
      <c r="U47">
        <v>336806.6</v>
      </c>
      <c r="W47">
        <v>728336.6</v>
      </c>
      <c r="Y47">
        <v>118054.8</v>
      </c>
      <c r="AA47">
        <v>2671308.7000000002</v>
      </c>
      <c r="AC47">
        <v>372090.4</v>
      </c>
      <c r="AE47">
        <v>346903.8</v>
      </c>
      <c r="AG47">
        <v>1886666</v>
      </c>
      <c r="AI47">
        <v>789746.3</v>
      </c>
      <c r="AK47">
        <v>1802702</v>
      </c>
      <c r="AM47">
        <v>1697140.2</v>
      </c>
      <c r="AO47">
        <v>384067.5</v>
      </c>
      <c r="AQ47">
        <v>334526.3</v>
      </c>
      <c r="AS47">
        <v>318808.5</v>
      </c>
      <c r="AU47">
        <v>2222480.2999999998</v>
      </c>
      <c r="AW47">
        <v>572414.1</v>
      </c>
      <c r="AY47">
        <v>440393.3</v>
      </c>
      <c r="BA47">
        <v>1429914.7</v>
      </c>
      <c r="BC47">
        <v>701224</v>
      </c>
      <c r="BE47">
        <v>1497214.7</v>
      </c>
      <c r="BG47">
        <v>500947.7</v>
      </c>
      <c r="BI47">
        <v>429331.3</v>
      </c>
      <c r="BK47">
        <v>1090312.2</v>
      </c>
      <c r="BM47">
        <v>1794370.7</v>
      </c>
      <c r="BO47">
        <v>572438.80000000005</v>
      </c>
      <c r="BQ47">
        <v>327899.59999999998</v>
      </c>
      <c r="BS47">
        <v>256189.8</v>
      </c>
      <c r="BU47">
        <v>903141.3</v>
      </c>
      <c r="BW47">
        <v>6302.3</v>
      </c>
      <c r="BY47">
        <v>177247.4</v>
      </c>
      <c r="CA47">
        <v>21840.799999999999</v>
      </c>
      <c r="CC47">
        <v>6778.9</v>
      </c>
      <c r="CE47">
        <v>87606.7</v>
      </c>
      <c r="CG47">
        <v>80500.3</v>
      </c>
      <c r="CI47">
        <v>111361.9</v>
      </c>
      <c r="CK47">
        <v>371879.9</v>
      </c>
      <c r="CM47">
        <v>102311.9</v>
      </c>
      <c r="CO47">
        <v>24173.7</v>
      </c>
      <c r="CQ47">
        <v>55920.3</v>
      </c>
      <c r="CS47">
        <v>37423.4</v>
      </c>
      <c r="CU47">
        <v>244542.6</v>
      </c>
      <c r="CW47">
        <v>39631.699999999997</v>
      </c>
      <c r="CY47">
        <v>131161.5</v>
      </c>
      <c r="DA47">
        <v>217317.1</v>
      </c>
      <c r="DC47">
        <v>4234</v>
      </c>
      <c r="DE47">
        <v>3852.1</v>
      </c>
      <c r="DG47">
        <v>443</v>
      </c>
      <c r="DI47">
        <v>1342.2</v>
      </c>
      <c r="DK47">
        <v>34.4</v>
      </c>
      <c r="DM47">
        <v>69489.399999999994</v>
      </c>
      <c r="DO47">
        <v>10710.3</v>
      </c>
      <c r="DQ47">
        <v>35543.5</v>
      </c>
    </row>
    <row r="48" spans="1:122">
      <c r="D48" t="s">
        <v>62</v>
      </c>
      <c r="E48" t="s">
        <v>61</v>
      </c>
      <c r="G48">
        <v>2725.9</v>
      </c>
      <c r="I48">
        <v>457.1</v>
      </c>
      <c r="K48">
        <v>10303.9</v>
      </c>
      <c r="M48">
        <v>24862.5</v>
      </c>
      <c r="O48">
        <v>39397.699999999997</v>
      </c>
      <c r="Q48">
        <v>2472.3000000000002</v>
      </c>
      <c r="S48">
        <v>21015.200000000001</v>
      </c>
      <c r="U48">
        <v>3915.1</v>
      </c>
      <c r="W48">
        <v>5297.7</v>
      </c>
      <c r="Y48">
        <v>639.4</v>
      </c>
      <c r="AA48">
        <v>46648.800000000003</v>
      </c>
      <c r="AC48">
        <v>787</v>
      </c>
      <c r="AE48">
        <v>4650.2</v>
      </c>
      <c r="AG48">
        <v>25444.9</v>
      </c>
      <c r="AI48">
        <v>2184.6</v>
      </c>
      <c r="AK48">
        <v>17989.599999999999</v>
      </c>
      <c r="AM48">
        <v>29954.400000000001</v>
      </c>
      <c r="AO48">
        <v>3890</v>
      </c>
      <c r="AQ48">
        <v>7135</v>
      </c>
      <c r="AS48">
        <v>10449.799999999999</v>
      </c>
      <c r="AU48">
        <v>119430.39999999999</v>
      </c>
      <c r="AW48">
        <v>25753</v>
      </c>
      <c r="AY48">
        <v>18238.900000000001</v>
      </c>
      <c r="BA48">
        <v>37865.5</v>
      </c>
      <c r="BC48">
        <v>11773.9</v>
      </c>
      <c r="BE48">
        <v>13729.1</v>
      </c>
      <c r="BG48">
        <v>6019.2</v>
      </c>
      <c r="BI48">
        <v>6807.8</v>
      </c>
      <c r="BK48">
        <v>6677.7</v>
      </c>
      <c r="BM48">
        <v>27328</v>
      </c>
      <c r="BO48">
        <v>7875.4</v>
      </c>
      <c r="BQ48">
        <v>5627.2</v>
      </c>
      <c r="BS48">
        <v>4448</v>
      </c>
      <c r="BU48">
        <v>11229.3</v>
      </c>
      <c r="BW48">
        <v>408.9</v>
      </c>
      <c r="BY48">
        <v>2079.4</v>
      </c>
      <c r="CA48">
        <v>545.70000000000005</v>
      </c>
      <c r="CC48">
        <v>228.3</v>
      </c>
      <c r="CE48">
        <v>1495.6</v>
      </c>
      <c r="CG48">
        <v>557.70000000000005</v>
      </c>
      <c r="CI48">
        <v>2262.1</v>
      </c>
      <c r="CK48">
        <v>9370.5</v>
      </c>
      <c r="CM48">
        <v>2521</v>
      </c>
      <c r="CO48">
        <v>367.5</v>
      </c>
      <c r="CQ48">
        <v>705.3</v>
      </c>
      <c r="CS48">
        <v>433.1</v>
      </c>
      <c r="CU48">
        <v>6510.7</v>
      </c>
      <c r="CW48">
        <v>1700</v>
      </c>
      <c r="CY48">
        <v>4578.1000000000004</v>
      </c>
      <c r="DA48">
        <v>785.5</v>
      </c>
      <c r="DC48">
        <v>124.4</v>
      </c>
      <c r="DE48">
        <v>75.2</v>
      </c>
      <c r="DG48">
        <v>31.6</v>
      </c>
      <c r="DI48">
        <v>44.9</v>
      </c>
      <c r="DK48">
        <v>8.1999999999999993</v>
      </c>
      <c r="DM48">
        <v>2236.8000000000002</v>
      </c>
      <c r="DO48">
        <v>546</v>
      </c>
      <c r="DQ48">
        <v>851.9</v>
      </c>
    </row>
    <row r="49" spans="1:122">
      <c r="D49" t="s">
        <v>63</v>
      </c>
      <c r="G49">
        <v>1.2269600000000001</v>
      </c>
      <c r="H49" t="s">
        <v>75</v>
      </c>
      <c r="I49">
        <v>1.2372399999999999</v>
      </c>
      <c r="J49" t="s">
        <v>75</v>
      </c>
      <c r="K49">
        <v>1.21679</v>
      </c>
      <c r="L49" t="s">
        <v>75</v>
      </c>
      <c r="M49">
        <v>1.2096899999999999</v>
      </c>
      <c r="N49" t="s">
        <v>75</v>
      </c>
      <c r="O49">
        <v>1.19865</v>
      </c>
      <c r="P49" t="s">
        <v>75</v>
      </c>
      <c r="Q49">
        <v>1.2050000000000001</v>
      </c>
      <c r="R49" t="s">
        <v>75</v>
      </c>
      <c r="S49">
        <v>1.21435</v>
      </c>
      <c r="T49" t="s">
        <v>75</v>
      </c>
      <c r="U49">
        <v>1.1958899999999999</v>
      </c>
      <c r="V49" t="s">
        <v>75</v>
      </c>
      <c r="W49">
        <v>1.23872</v>
      </c>
      <c r="X49" t="s">
        <v>75</v>
      </c>
      <c r="Y49">
        <v>1.21468</v>
      </c>
      <c r="Z49" t="s">
        <v>75</v>
      </c>
      <c r="AC49">
        <v>1.21011</v>
      </c>
      <c r="AD49" t="s">
        <v>75</v>
      </c>
      <c r="AE49">
        <v>1.20608</v>
      </c>
      <c r="AF49" t="s">
        <v>75</v>
      </c>
      <c r="AG49">
        <v>1.2493399999999999</v>
      </c>
      <c r="AH49" t="s">
        <v>75</v>
      </c>
      <c r="AI49">
        <v>4.4636500000000003</v>
      </c>
      <c r="AJ49" t="s">
        <v>75</v>
      </c>
      <c r="AK49">
        <v>1.2413700000000001</v>
      </c>
      <c r="AL49" t="s">
        <v>75</v>
      </c>
      <c r="AM49">
        <v>1.24705</v>
      </c>
      <c r="AN49" t="s">
        <v>75</v>
      </c>
      <c r="AO49">
        <v>1.2326699999999999</v>
      </c>
      <c r="AP49" t="s">
        <v>75</v>
      </c>
      <c r="AQ49">
        <v>1.22936</v>
      </c>
      <c r="AR49" t="s">
        <v>75</v>
      </c>
      <c r="AS49">
        <v>1.2206399999999999</v>
      </c>
      <c r="AT49" t="s">
        <v>75</v>
      </c>
      <c r="AU49">
        <v>1.2690999999999999</v>
      </c>
      <c r="AV49" t="s">
        <v>75</v>
      </c>
      <c r="AW49">
        <v>1.1968700000000001</v>
      </c>
      <c r="AX49" t="s">
        <v>75</v>
      </c>
      <c r="AY49">
        <v>1.21052</v>
      </c>
      <c r="AZ49" t="s">
        <v>75</v>
      </c>
      <c r="BB49" t="s">
        <v>76</v>
      </c>
      <c r="BC49">
        <v>0.97230000000000005</v>
      </c>
      <c r="BD49" t="s">
        <v>75</v>
      </c>
      <c r="BE49">
        <v>1.2794399999999999</v>
      </c>
      <c r="BF49" t="s">
        <v>75</v>
      </c>
      <c r="BG49">
        <v>1.20435</v>
      </c>
      <c r="BH49" t="s">
        <v>75</v>
      </c>
      <c r="BI49">
        <v>1.2125999999999999</v>
      </c>
      <c r="BJ49" t="s">
        <v>75</v>
      </c>
      <c r="BK49">
        <v>1.2493000000000001</v>
      </c>
      <c r="BL49" t="s">
        <v>75</v>
      </c>
      <c r="BM49">
        <v>1.3043199999999999</v>
      </c>
      <c r="BN49" t="s">
        <v>75</v>
      </c>
      <c r="BO49">
        <v>8.4800900000000006</v>
      </c>
      <c r="BP49" t="s">
        <v>75</v>
      </c>
      <c r="BQ49">
        <v>8.3412199999999999</v>
      </c>
      <c r="BR49" t="s">
        <v>75</v>
      </c>
      <c r="BS49">
        <v>4.2327399999999997</v>
      </c>
      <c r="BT49" t="s">
        <v>75</v>
      </c>
      <c r="BU49">
        <v>10.187379999999999</v>
      </c>
      <c r="BV49" t="s">
        <v>75</v>
      </c>
      <c r="BW49">
        <v>1.1735599999999999</v>
      </c>
      <c r="BX49" t="s">
        <v>75</v>
      </c>
      <c r="BY49">
        <v>23.70026</v>
      </c>
      <c r="BZ49" t="s">
        <v>75</v>
      </c>
      <c r="CA49">
        <v>8.6881699999999995</v>
      </c>
      <c r="CB49" t="s">
        <v>75</v>
      </c>
      <c r="CC49">
        <v>1.2555000000000001</v>
      </c>
      <c r="CD49" t="s">
        <v>75</v>
      </c>
      <c r="CE49">
        <v>1.22681</v>
      </c>
      <c r="CF49" t="s">
        <v>75</v>
      </c>
      <c r="CG49">
        <v>1.25057</v>
      </c>
      <c r="CH49" t="s">
        <v>75</v>
      </c>
      <c r="CI49">
        <v>1.2220599999999999</v>
      </c>
      <c r="CJ49" t="s">
        <v>75</v>
      </c>
      <c r="CK49">
        <v>4.3409000000000004</v>
      </c>
      <c r="CL49" t="s">
        <v>75</v>
      </c>
      <c r="CM49">
        <v>1.21295</v>
      </c>
      <c r="CN49" t="s">
        <v>75</v>
      </c>
      <c r="CO49">
        <v>1.21193</v>
      </c>
      <c r="CP49" t="s">
        <v>75</v>
      </c>
      <c r="CQ49">
        <v>1.2008399999999999</v>
      </c>
      <c r="CR49" t="s">
        <v>75</v>
      </c>
      <c r="CS49">
        <v>4.3966200000000004</v>
      </c>
      <c r="CT49" t="s">
        <v>75</v>
      </c>
      <c r="CW49">
        <v>1.2184600000000001</v>
      </c>
      <c r="CX49" t="s">
        <v>75</v>
      </c>
      <c r="CZ49" t="s">
        <v>76</v>
      </c>
      <c r="DA49">
        <v>9.01112</v>
      </c>
      <c r="DB49" t="s">
        <v>75</v>
      </c>
      <c r="DC49">
        <v>1.2903199999999999</v>
      </c>
      <c r="DD49" t="s">
        <v>75</v>
      </c>
      <c r="DE49">
        <v>1.22004</v>
      </c>
      <c r="DF49" t="s">
        <v>75</v>
      </c>
      <c r="DG49">
        <v>1.30891</v>
      </c>
      <c r="DH49" t="s">
        <v>75</v>
      </c>
      <c r="DI49">
        <v>0.94520000000000004</v>
      </c>
      <c r="DJ49" t="s">
        <v>75</v>
      </c>
      <c r="DL49" t="s">
        <v>76</v>
      </c>
      <c r="DO49">
        <v>1.2426600000000001</v>
      </c>
      <c r="DP49" t="s">
        <v>75</v>
      </c>
      <c r="DR49" t="s">
        <v>76</v>
      </c>
    </row>
    <row r="50" spans="1:122">
      <c r="D50" t="s">
        <v>64</v>
      </c>
      <c r="G50">
        <v>5.9800000000000001E-3</v>
      </c>
      <c r="H50" t="s">
        <v>75</v>
      </c>
      <c r="I50">
        <v>1.3100000000000001E-2</v>
      </c>
      <c r="J50" t="s">
        <v>75</v>
      </c>
      <c r="K50">
        <v>1.0030000000000001E-2</v>
      </c>
      <c r="L50" t="s">
        <v>75</v>
      </c>
      <c r="M50">
        <v>2.615E-2</v>
      </c>
      <c r="N50" t="s">
        <v>75</v>
      </c>
      <c r="O50">
        <v>3.2000000000000001E-2</v>
      </c>
      <c r="P50" t="s">
        <v>75</v>
      </c>
      <c r="Q50">
        <v>1.298E-2</v>
      </c>
      <c r="R50" t="s">
        <v>75</v>
      </c>
      <c r="S50">
        <v>1.8120000000000001E-2</v>
      </c>
      <c r="T50" t="s">
        <v>75</v>
      </c>
      <c r="U50">
        <v>9.6699999999999998E-3</v>
      </c>
      <c r="V50" t="s">
        <v>75</v>
      </c>
      <c r="W50">
        <v>1.3809999999999999E-2</v>
      </c>
      <c r="X50" t="s">
        <v>75</v>
      </c>
      <c r="Y50">
        <v>1.49E-2</v>
      </c>
      <c r="Z50" t="s">
        <v>75</v>
      </c>
      <c r="AC50">
        <v>2.3019999999999999E-2</v>
      </c>
      <c r="AD50" t="s">
        <v>75</v>
      </c>
      <c r="AE50">
        <v>3.6679999999999997E-2</v>
      </c>
      <c r="AF50" t="s">
        <v>75</v>
      </c>
      <c r="AG50">
        <v>5.4799999999999996E-3</v>
      </c>
      <c r="AH50" t="s">
        <v>75</v>
      </c>
      <c r="AI50">
        <v>6.5329999999999999E-2</v>
      </c>
      <c r="AJ50" t="s">
        <v>75</v>
      </c>
      <c r="AK50">
        <v>1.0749999999999999E-2</v>
      </c>
      <c r="AL50" t="s">
        <v>75</v>
      </c>
      <c r="AM50">
        <v>1.7069999999999998E-2</v>
      </c>
      <c r="AN50" t="s">
        <v>75</v>
      </c>
      <c r="AO50">
        <v>2.1999999999999999E-2</v>
      </c>
      <c r="AP50" t="s">
        <v>75</v>
      </c>
      <c r="AQ50">
        <v>3.1780000000000003E-2</v>
      </c>
      <c r="AR50" t="s">
        <v>75</v>
      </c>
      <c r="AS50">
        <v>3.2910000000000002E-2</v>
      </c>
      <c r="AT50" t="s">
        <v>75</v>
      </c>
      <c r="AU50">
        <v>6.4219999999999999E-2</v>
      </c>
      <c r="AV50" t="s">
        <v>75</v>
      </c>
      <c r="AW50">
        <v>5.3499999999999999E-2</v>
      </c>
      <c r="AX50" t="s">
        <v>75</v>
      </c>
      <c r="AY50">
        <v>4.9579999999999999E-2</v>
      </c>
      <c r="AZ50" t="s">
        <v>75</v>
      </c>
      <c r="BC50">
        <v>4.0039999999999999E-2</v>
      </c>
      <c r="BD50" t="s">
        <v>75</v>
      </c>
      <c r="BE50">
        <v>1.1429999999999999E-2</v>
      </c>
      <c r="BF50" t="s">
        <v>75</v>
      </c>
      <c r="BG50">
        <v>1.661E-2</v>
      </c>
      <c r="BH50" t="s">
        <v>75</v>
      </c>
      <c r="BI50">
        <v>2.4199999999999998E-3</v>
      </c>
      <c r="BJ50" t="s">
        <v>75</v>
      </c>
      <c r="BK50">
        <v>1.6840000000000001E-2</v>
      </c>
      <c r="BL50" t="s">
        <v>75</v>
      </c>
      <c r="BM50">
        <v>3.0040000000000001E-2</v>
      </c>
      <c r="BN50" t="s">
        <v>75</v>
      </c>
      <c r="BO50">
        <v>0.32790000000000002</v>
      </c>
      <c r="BP50" t="s">
        <v>75</v>
      </c>
      <c r="BQ50">
        <v>0.34664</v>
      </c>
      <c r="BR50" t="s">
        <v>75</v>
      </c>
      <c r="BS50">
        <v>0.18326999999999999</v>
      </c>
      <c r="BT50" t="s">
        <v>75</v>
      </c>
      <c r="BU50">
        <v>0.90600999999999998</v>
      </c>
      <c r="BV50" t="s">
        <v>75</v>
      </c>
      <c r="BW50">
        <v>0.13149</v>
      </c>
      <c r="BX50" t="s">
        <v>75</v>
      </c>
      <c r="BY50">
        <v>1.1997899999999999</v>
      </c>
      <c r="BZ50" t="s">
        <v>75</v>
      </c>
      <c r="CA50">
        <v>0.46481</v>
      </c>
      <c r="CB50" t="s">
        <v>75</v>
      </c>
      <c r="CC50">
        <v>7.3230000000000003E-2</v>
      </c>
      <c r="CD50" t="s">
        <v>75</v>
      </c>
      <c r="CE50">
        <v>4.7539999999999999E-2</v>
      </c>
      <c r="CF50" t="s">
        <v>75</v>
      </c>
      <c r="CG50">
        <v>3.977E-2</v>
      </c>
      <c r="CH50" t="s">
        <v>75</v>
      </c>
      <c r="CI50">
        <v>4.8410000000000002E-2</v>
      </c>
      <c r="CJ50" t="s">
        <v>75</v>
      </c>
      <c r="CK50">
        <v>0.1956</v>
      </c>
      <c r="CL50" t="s">
        <v>75</v>
      </c>
      <c r="CM50">
        <v>5.6860000000000001E-2</v>
      </c>
      <c r="CN50" t="s">
        <v>75</v>
      </c>
      <c r="CO50">
        <v>4.8989999999999999E-2</v>
      </c>
      <c r="CP50" t="s">
        <v>75</v>
      </c>
      <c r="CQ50">
        <v>4.5089999999999998E-2</v>
      </c>
      <c r="CR50" t="s">
        <v>75</v>
      </c>
      <c r="CS50">
        <v>0.15952</v>
      </c>
      <c r="CT50" t="s">
        <v>75</v>
      </c>
      <c r="CW50">
        <v>7.7929999999999999E-2</v>
      </c>
      <c r="CX50" t="s">
        <v>75</v>
      </c>
      <c r="DA50">
        <v>0.32408999999999999</v>
      </c>
      <c r="DB50" t="s">
        <v>75</v>
      </c>
      <c r="DC50">
        <v>6.6549999999999998E-2</v>
      </c>
      <c r="DD50" t="s">
        <v>75</v>
      </c>
      <c r="DE50">
        <v>5.4940000000000003E-2</v>
      </c>
      <c r="DF50" t="s">
        <v>75</v>
      </c>
      <c r="DG50">
        <v>6.4740000000000006E-2</v>
      </c>
      <c r="DH50" t="s">
        <v>75</v>
      </c>
      <c r="DI50">
        <v>5.9290000000000002E-2</v>
      </c>
      <c r="DJ50" t="s">
        <v>75</v>
      </c>
      <c r="DO50">
        <v>9.9830000000000002E-2</v>
      </c>
      <c r="DP50" t="s">
        <v>75</v>
      </c>
    </row>
    <row r="51" spans="1:122">
      <c r="D51" t="s">
        <v>65</v>
      </c>
      <c r="G51" t="s">
        <v>66</v>
      </c>
      <c r="I51" t="s">
        <v>66</v>
      </c>
      <c r="K51" t="s">
        <v>66</v>
      </c>
      <c r="M51" t="s">
        <v>66</v>
      </c>
      <c r="O51" t="s">
        <v>66</v>
      </c>
      <c r="Q51" t="s">
        <v>66</v>
      </c>
      <c r="S51" t="s">
        <v>66</v>
      </c>
      <c r="U51" t="s">
        <v>66</v>
      </c>
      <c r="W51" t="s">
        <v>66</v>
      </c>
      <c r="Y51" t="s">
        <v>66</v>
      </c>
      <c r="AA51" t="s">
        <v>66</v>
      </c>
      <c r="AC51" t="s">
        <v>66</v>
      </c>
      <c r="AE51" t="s">
        <v>66</v>
      </c>
      <c r="AG51" t="s">
        <v>66</v>
      </c>
      <c r="AI51" t="s">
        <v>66</v>
      </c>
      <c r="AK51" t="s">
        <v>66</v>
      </c>
      <c r="AM51" t="s">
        <v>66</v>
      </c>
      <c r="AO51" t="s">
        <v>66</v>
      </c>
      <c r="AQ51" t="s">
        <v>66</v>
      </c>
      <c r="AS51" t="s">
        <v>66</v>
      </c>
      <c r="AU51" t="s">
        <v>66</v>
      </c>
      <c r="AW51" t="s">
        <v>66</v>
      </c>
      <c r="AY51" t="s">
        <v>66</v>
      </c>
      <c r="BA51" t="s">
        <v>66</v>
      </c>
      <c r="BC51" t="s">
        <v>66</v>
      </c>
      <c r="BE51" t="s">
        <v>66</v>
      </c>
      <c r="BG51" t="s">
        <v>66</v>
      </c>
      <c r="BI51" t="s">
        <v>66</v>
      </c>
      <c r="BK51" t="s">
        <v>66</v>
      </c>
      <c r="BM51" t="s">
        <v>66</v>
      </c>
      <c r="BO51" t="s">
        <v>66</v>
      </c>
      <c r="BQ51" t="s">
        <v>66</v>
      </c>
      <c r="BS51" t="s">
        <v>66</v>
      </c>
      <c r="BU51" t="s">
        <v>66</v>
      </c>
      <c r="BW51" t="s">
        <v>66</v>
      </c>
      <c r="BY51" t="s">
        <v>66</v>
      </c>
      <c r="CA51" t="s">
        <v>66</v>
      </c>
      <c r="CC51" t="s">
        <v>66</v>
      </c>
      <c r="CE51" t="s">
        <v>66</v>
      </c>
      <c r="CG51" t="s">
        <v>66</v>
      </c>
      <c r="CI51" t="s">
        <v>66</v>
      </c>
      <c r="CK51" t="s">
        <v>66</v>
      </c>
      <c r="CM51" t="s">
        <v>66</v>
      </c>
      <c r="CO51" t="s">
        <v>66</v>
      </c>
      <c r="CQ51" t="s">
        <v>66</v>
      </c>
      <c r="CS51" t="s">
        <v>66</v>
      </c>
      <c r="CU51" t="s">
        <v>66</v>
      </c>
      <c r="CW51" t="s">
        <v>66</v>
      </c>
      <c r="CY51" t="s">
        <v>66</v>
      </c>
      <c r="DA51" t="s">
        <v>66</v>
      </c>
      <c r="DC51" t="s">
        <v>66</v>
      </c>
      <c r="DE51" t="s">
        <v>66</v>
      </c>
      <c r="DG51" t="s">
        <v>66</v>
      </c>
      <c r="DI51" t="s">
        <v>66</v>
      </c>
      <c r="DK51" t="s">
        <v>66</v>
      </c>
      <c r="DM51" t="s">
        <v>66</v>
      </c>
      <c r="DO51" t="s">
        <v>66</v>
      </c>
      <c r="DQ51" t="s">
        <v>66</v>
      </c>
    </row>
    <row r="52" spans="1:122">
      <c r="A52" t="s">
        <v>78</v>
      </c>
      <c r="D52" t="s">
        <v>60</v>
      </c>
      <c r="E52" t="s">
        <v>61</v>
      </c>
      <c r="G52">
        <v>54773.1</v>
      </c>
      <c r="I52">
        <v>13920.2</v>
      </c>
      <c r="K52">
        <v>236370.8</v>
      </c>
      <c r="M52">
        <v>7618541.4000000004</v>
      </c>
      <c r="O52">
        <v>1771.1</v>
      </c>
      <c r="Q52">
        <v>351397.3</v>
      </c>
      <c r="S52">
        <v>5241</v>
      </c>
      <c r="U52">
        <v>2395.8000000000002</v>
      </c>
      <c r="W52">
        <v>13177</v>
      </c>
      <c r="Y52">
        <v>12636.5</v>
      </c>
      <c r="AA52">
        <v>2781451.3</v>
      </c>
      <c r="AC52">
        <v>2514.6999999999998</v>
      </c>
      <c r="AE52">
        <v>317197.5</v>
      </c>
      <c r="AG52">
        <v>7905</v>
      </c>
      <c r="AI52">
        <v>1936571.3</v>
      </c>
      <c r="AK52">
        <v>1605.3</v>
      </c>
      <c r="AM52">
        <v>1356.1</v>
      </c>
      <c r="AO52">
        <v>504.3</v>
      </c>
      <c r="AQ52">
        <v>410.5</v>
      </c>
      <c r="AS52">
        <v>382.3</v>
      </c>
      <c r="AU52">
        <v>1866</v>
      </c>
      <c r="AW52">
        <v>879.6</v>
      </c>
      <c r="AY52">
        <v>10164.700000000001</v>
      </c>
      <c r="BA52">
        <v>1443887.3</v>
      </c>
      <c r="BC52">
        <v>184048.5</v>
      </c>
      <c r="BE52">
        <v>168883.20000000001</v>
      </c>
      <c r="BG52">
        <v>151872.29999999999</v>
      </c>
      <c r="BI52">
        <v>131769.4</v>
      </c>
      <c r="BK52">
        <v>335867.9</v>
      </c>
      <c r="BM52">
        <v>365130.5</v>
      </c>
      <c r="BO52">
        <v>21365211.199999999</v>
      </c>
      <c r="BQ52">
        <v>5650969.9000000004</v>
      </c>
      <c r="BS52">
        <v>166379.5</v>
      </c>
      <c r="BU52">
        <v>729961.2</v>
      </c>
      <c r="BW52">
        <v>1569.6</v>
      </c>
      <c r="BY52">
        <v>51478.3</v>
      </c>
      <c r="CA52">
        <v>1304508.3999999999</v>
      </c>
      <c r="CC52">
        <v>28.7</v>
      </c>
      <c r="CE52">
        <v>53682.400000000001</v>
      </c>
      <c r="CG52">
        <v>25469.4</v>
      </c>
      <c r="CI52">
        <v>70430</v>
      </c>
      <c r="CK52">
        <v>166889.29999999999</v>
      </c>
      <c r="CM52">
        <v>44336</v>
      </c>
      <c r="CO52">
        <v>24886.400000000001</v>
      </c>
      <c r="CQ52">
        <v>21210.6</v>
      </c>
      <c r="CS52">
        <v>13794.4</v>
      </c>
      <c r="CU52">
        <v>242868</v>
      </c>
      <c r="CW52">
        <v>293.10000000000002</v>
      </c>
      <c r="CY52">
        <v>133036.5</v>
      </c>
      <c r="DA52">
        <v>918585.6</v>
      </c>
      <c r="DC52">
        <v>7.8</v>
      </c>
      <c r="DE52">
        <v>3786.7</v>
      </c>
      <c r="DG52">
        <v>94.5</v>
      </c>
      <c r="DI52">
        <v>1148.5999999999999</v>
      </c>
      <c r="DK52">
        <v>39.4</v>
      </c>
      <c r="DM52">
        <v>68268.3</v>
      </c>
      <c r="DO52">
        <v>69.599999999999994</v>
      </c>
      <c r="DQ52">
        <v>34272.400000000001</v>
      </c>
    </row>
    <row r="53" spans="1:122">
      <c r="D53" t="s">
        <v>62</v>
      </c>
      <c r="E53" t="s">
        <v>61</v>
      </c>
      <c r="G53">
        <v>451.9</v>
      </c>
      <c r="I53">
        <v>91.6</v>
      </c>
      <c r="K53">
        <v>1925.8</v>
      </c>
      <c r="M53">
        <v>118623.1</v>
      </c>
      <c r="O53">
        <v>40.299999999999997</v>
      </c>
      <c r="Q53">
        <v>12153.6</v>
      </c>
      <c r="S53">
        <v>277.5</v>
      </c>
      <c r="U53">
        <v>97.2</v>
      </c>
      <c r="W53">
        <v>264.39999999999998</v>
      </c>
      <c r="Y53">
        <v>445.9</v>
      </c>
      <c r="AA53">
        <v>97093.3</v>
      </c>
      <c r="AC53">
        <v>73.599999999999994</v>
      </c>
      <c r="AE53">
        <v>4535.5</v>
      </c>
      <c r="AG53">
        <v>300.10000000000002</v>
      </c>
      <c r="AI53">
        <v>22649.4</v>
      </c>
      <c r="AK53">
        <v>59.7</v>
      </c>
      <c r="AM53">
        <v>86.8</v>
      </c>
      <c r="AO53">
        <v>53.3</v>
      </c>
      <c r="AQ53">
        <v>10.1</v>
      </c>
      <c r="AS53">
        <v>34.4</v>
      </c>
      <c r="AU53">
        <v>35.9</v>
      </c>
      <c r="AW53">
        <v>99.4</v>
      </c>
      <c r="AY53">
        <v>120.3</v>
      </c>
      <c r="BA53">
        <v>20936.599999999999</v>
      </c>
      <c r="BC53">
        <v>13679.2</v>
      </c>
      <c r="BE53">
        <v>1708.2</v>
      </c>
      <c r="BG53">
        <v>5264.7</v>
      </c>
      <c r="BI53">
        <v>1652.9</v>
      </c>
      <c r="BK53">
        <v>6900.2</v>
      </c>
      <c r="BM53">
        <v>4898.2</v>
      </c>
      <c r="BO53">
        <v>60779</v>
      </c>
      <c r="BQ53">
        <v>122055.7</v>
      </c>
      <c r="BS53">
        <v>4451.7</v>
      </c>
      <c r="BU53">
        <v>1377</v>
      </c>
      <c r="BW53">
        <v>71.8</v>
      </c>
      <c r="BY53">
        <v>151.19999999999999</v>
      </c>
      <c r="CA53">
        <v>28591.3</v>
      </c>
      <c r="CC53">
        <v>8</v>
      </c>
      <c r="CE53">
        <v>2038.2</v>
      </c>
      <c r="CG53">
        <v>834.4</v>
      </c>
      <c r="CI53">
        <v>2888.4</v>
      </c>
      <c r="CK53">
        <v>5563</v>
      </c>
      <c r="CM53">
        <v>1193.9000000000001</v>
      </c>
      <c r="CO53">
        <v>968.2</v>
      </c>
      <c r="CQ53">
        <v>822.9</v>
      </c>
      <c r="CS53">
        <v>129.9</v>
      </c>
      <c r="CU53">
        <v>4962.5</v>
      </c>
      <c r="CW53">
        <v>27.8</v>
      </c>
      <c r="CY53">
        <v>3609.5</v>
      </c>
      <c r="DA53">
        <v>8719.6</v>
      </c>
      <c r="DC53">
        <v>2.5</v>
      </c>
      <c r="DE53">
        <v>20.5</v>
      </c>
      <c r="DG53">
        <v>21.2</v>
      </c>
      <c r="DI53">
        <v>155.5</v>
      </c>
      <c r="DK53">
        <v>12.9</v>
      </c>
      <c r="DM53">
        <v>896.1</v>
      </c>
      <c r="DO53">
        <v>9.3000000000000007</v>
      </c>
      <c r="DQ53">
        <v>1226.4000000000001</v>
      </c>
    </row>
    <row r="54" spans="1:122">
      <c r="D54" t="s">
        <v>63</v>
      </c>
      <c r="G54">
        <v>0.38270999999999999</v>
      </c>
      <c r="H54" t="s">
        <v>75</v>
      </c>
      <c r="I54">
        <v>0.33105000000000001</v>
      </c>
      <c r="J54" t="s">
        <v>75</v>
      </c>
      <c r="K54">
        <v>0.27592</v>
      </c>
      <c r="L54" t="s">
        <v>75</v>
      </c>
      <c r="M54">
        <v>6.3753900000000003</v>
      </c>
      <c r="N54" t="s">
        <v>75</v>
      </c>
      <c r="O54">
        <v>9.3100000000000006E-3</v>
      </c>
      <c r="P54" t="s">
        <v>75</v>
      </c>
      <c r="Q54">
        <v>2.1797800000000001</v>
      </c>
      <c r="R54" t="s">
        <v>75</v>
      </c>
      <c r="S54">
        <v>2.2300000000000002E-3</v>
      </c>
      <c r="T54" t="s">
        <v>75</v>
      </c>
      <c r="U54">
        <v>1.8550000000000001E-2</v>
      </c>
      <c r="V54" t="s">
        <v>75</v>
      </c>
      <c r="W54">
        <v>1.3950000000000001E-2</v>
      </c>
      <c r="X54" t="s">
        <v>75</v>
      </c>
      <c r="Y54">
        <v>0.15309</v>
      </c>
      <c r="Z54" t="s">
        <v>75</v>
      </c>
      <c r="AC54">
        <v>-1.3480000000000001E-2</v>
      </c>
      <c r="AD54" t="s">
        <v>75</v>
      </c>
      <c r="AE54">
        <v>1.05897</v>
      </c>
      <c r="AF54" t="s">
        <v>75</v>
      </c>
      <c r="AG54">
        <v>1.6990000000000002E-2</v>
      </c>
      <c r="AH54" t="s">
        <v>75</v>
      </c>
      <c r="AI54">
        <v>10.470840000000001</v>
      </c>
      <c r="AJ54" t="s">
        <v>75</v>
      </c>
      <c r="AK54">
        <v>2.4590000000000001E-2</v>
      </c>
      <c r="AL54" t="s">
        <v>75</v>
      </c>
      <c r="AM54">
        <v>2.375E-2</v>
      </c>
      <c r="AN54" t="s">
        <v>75</v>
      </c>
      <c r="AO54">
        <v>2.3890000000000002E-2</v>
      </c>
      <c r="AP54" t="s">
        <v>75</v>
      </c>
      <c r="AQ54">
        <v>2.794E-2</v>
      </c>
      <c r="AR54" t="s">
        <v>75</v>
      </c>
      <c r="AS54">
        <v>2.827E-2</v>
      </c>
      <c r="AT54" t="s">
        <v>75</v>
      </c>
      <c r="AU54">
        <v>3.0599999999999998E-3</v>
      </c>
      <c r="AV54" t="s">
        <v>75</v>
      </c>
      <c r="AW54">
        <v>3.8879999999999998E-2</v>
      </c>
      <c r="AX54" t="s">
        <v>75</v>
      </c>
      <c r="AY54">
        <v>-2.3230000000000001E-2</v>
      </c>
      <c r="AZ54" t="s">
        <v>75</v>
      </c>
      <c r="BB54" t="s">
        <v>76</v>
      </c>
      <c r="BC54">
        <v>-0.6361</v>
      </c>
      <c r="BD54" t="s">
        <v>75</v>
      </c>
      <c r="BE54">
        <v>8.8200000000000001E-2</v>
      </c>
      <c r="BF54" t="s">
        <v>75</v>
      </c>
      <c r="BG54">
        <v>0.30879000000000001</v>
      </c>
      <c r="BH54" t="s">
        <v>75</v>
      </c>
      <c r="BI54">
        <v>0.31680000000000003</v>
      </c>
      <c r="BJ54" t="s">
        <v>75</v>
      </c>
      <c r="BK54">
        <v>0.32516</v>
      </c>
      <c r="BL54" t="s">
        <v>75</v>
      </c>
      <c r="BM54">
        <v>0.21654999999999999</v>
      </c>
      <c r="BN54" t="s">
        <v>75</v>
      </c>
      <c r="BO54">
        <v>366.88718999999998</v>
      </c>
      <c r="BP54" t="s">
        <v>75</v>
      </c>
      <c r="BQ54">
        <v>139.39391000000001</v>
      </c>
      <c r="BR54" t="s">
        <v>75</v>
      </c>
      <c r="BS54">
        <v>2.75549</v>
      </c>
      <c r="BT54" t="s">
        <v>75</v>
      </c>
      <c r="BU54">
        <v>4.5298400000000001</v>
      </c>
      <c r="BV54" t="s">
        <v>75</v>
      </c>
      <c r="BW54">
        <v>3.6740000000000002E-2</v>
      </c>
      <c r="BX54" t="s">
        <v>75</v>
      </c>
      <c r="BY54">
        <v>1.1175299999999999</v>
      </c>
      <c r="BZ54" t="s">
        <v>75</v>
      </c>
      <c r="CA54">
        <v>587.90066999999999</v>
      </c>
      <c r="CB54" t="s">
        <v>75</v>
      </c>
      <c r="CC54">
        <v>2.8709999999999999E-2</v>
      </c>
      <c r="CD54" t="s">
        <v>75</v>
      </c>
      <c r="CE54">
        <v>0.75905999999999996</v>
      </c>
      <c r="CF54" t="s">
        <v>75</v>
      </c>
      <c r="CG54">
        <v>0.41566999999999998</v>
      </c>
      <c r="CH54" t="s">
        <v>75</v>
      </c>
      <c r="CI54">
        <v>0.78552</v>
      </c>
      <c r="CJ54" t="s">
        <v>75</v>
      </c>
      <c r="CK54">
        <v>2.0012400000000001</v>
      </c>
      <c r="CL54" t="s">
        <v>75</v>
      </c>
      <c r="CM54">
        <v>0.55140999999999996</v>
      </c>
      <c r="CN54" t="s">
        <v>75</v>
      </c>
      <c r="CO54">
        <v>1.25135</v>
      </c>
      <c r="CP54" t="s">
        <v>75</v>
      </c>
      <c r="CQ54">
        <v>0.4798</v>
      </c>
      <c r="CR54" t="s">
        <v>75</v>
      </c>
      <c r="CS54">
        <v>1.7260800000000001</v>
      </c>
      <c r="CT54" t="s">
        <v>75</v>
      </c>
      <c r="CW54">
        <v>3.977E-2</v>
      </c>
      <c r="CX54" t="s">
        <v>75</v>
      </c>
      <c r="CZ54" t="s">
        <v>76</v>
      </c>
      <c r="DA54">
        <v>40.198889999999999</v>
      </c>
      <c r="DB54" t="s">
        <v>75</v>
      </c>
      <c r="DC54">
        <v>2.1600000000000001E-2</v>
      </c>
      <c r="DD54" t="s">
        <v>75</v>
      </c>
      <c r="DE54">
        <v>1.2169700000000001</v>
      </c>
      <c r="DF54" t="s">
        <v>75</v>
      </c>
      <c r="DG54">
        <v>0.22364000000000001</v>
      </c>
      <c r="DH54" t="s">
        <v>75</v>
      </c>
      <c r="DI54">
        <v>0.77186999999999995</v>
      </c>
      <c r="DJ54" t="s">
        <v>75</v>
      </c>
      <c r="DL54" t="s">
        <v>76</v>
      </c>
      <c r="DO54">
        <v>1.6840000000000001E-2</v>
      </c>
      <c r="DP54" t="s">
        <v>75</v>
      </c>
      <c r="DR54" t="s">
        <v>76</v>
      </c>
    </row>
    <row r="55" spans="1:122">
      <c r="D55" t="s">
        <v>64</v>
      </c>
      <c r="G55">
        <v>1.41E-2</v>
      </c>
      <c r="H55" t="s">
        <v>75</v>
      </c>
      <c r="I55">
        <v>9.0900000000000009E-3</v>
      </c>
      <c r="J55" t="s">
        <v>75</v>
      </c>
      <c r="K55">
        <v>1.0840000000000001E-2</v>
      </c>
      <c r="L55" t="s">
        <v>75</v>
      </c>
      <c r="M55">
        <v>0.32235999999999998</v>
      </c>
      <c r="N55" t="s">
        <v>75</v>
      </c>
      <c r="O55">
        <v>2.0000000000000002E-5</v>
      </c>
      <c r="P55" t="s">
        <v>75</v>
      </c>
      <c r="Q55">
        <v>0.14466000000000001</v>
      </c>
      <c r="R55" t="s">
        <v>75</v>
      </c>
      <c r="S55">
        <v>3.5E-4</v>
      </c>
      <c r="T55" t="s">
        <v>75</v>
      </c>
      <c r="U55">
        <v>2.5999999999999998E-4</v>
      </c>
      <c r="V55" t="s">
        <v>75</v>
      </c>
      <c r="W55">
        <v>1.1900000000000001E-3</v>
      </c>
      <c r="X55" t="s">
        <v>75</v>
      </c>
      <c r="Y55">
        <v>8.5900000000000004E-3</v>
      </c>
      <c r="Z55" t="s">
        <v>75</v>
      </c>
      <c r="AC55">
        <v>2.9999999999999997E-4</v>
      </c>
      <c r="AD55" t="s">
        <v>75</v>
      </c>
      <c r="AE55">
        <v>5.1950000000000003E-2</v>
      </c>
      <c r="AF55" t="s">
        <v>75</v>
      </c>
      <c r="AG55">
        <v>2.5999999999999998E-4</v>
      </c>
      <c r="AH55" t="s">
        <v>75</v>
      </c>
      <c r="AI55">
        <v>0.43680999999999998</v>
      </c>
      <c r="AJ55" t="s">
        <v>75</v>
      </c>
      <c r="AK55">
        <v>3.0000000000000001E-5</v>
      </c>
      <c r="AL55" t="s">
        <v>75</v>
      </c>
      <c r="AM55">
        <v>9.0000000000000006E-5</v>
      </c>
      <c r="AN55" t="s">
        <v>75</v>
      </c>
      <c r="AO55">
        <v>2.1000000000000001E-4</v>
      </c>
      <c r="AP55" t="s">
        <v>75</v>
      </c>
      <c r="AQ55">
        <v>5.0000000000000002E-5</v>
      </c>
      <c r="AR55" t="s">
        <v>75</v>
      </c>
      <c r="AS55">
        <v>1.7000000000000001E-4</v>
      </c>
      <c r="AT55" t="s">
        <v>75</v>
      </c>
      <c r="AU55">
        <v>5.0000000000000002E-5</v>
      </c>
      <c r="AV55" t="s">
        <v>75</v>
      </c>
      <c r="AW55">
        <v>2.5000000000000001E-4</v>
      </c>
      <c r="AX55" t="s">
        <v>75</v>
      </c>
      <c r="AY55">
        <v>8.4000000000000003E-4</v>
      </c>
      <c r="AZ55" t="s">
        <v>75</v>
      </c>
      <c r="BC55">
        <v>5.024E-2</v>
      </c>
      <c r="BD55" t="s">
        <v>75</v>
      </c>
      <c r="BE55">
        <v>6.43E-3</v>
      </c>
      <c r="BF55" t="s">
        <v>75</v>
      </c>
      <c r="BG55">
        <v>2.564E-2</v>
      </c>
      <c r="BH55" t="s">
        <v>75</v>
      </c>
      <c r="BI55">
        <v>1.788E-2</v>
      </c>
      <c r="BJ55" t="s">
        <v>75</v>
      </c>
      <c r="BK55">
        <v>2.1839999999999998E-2</v>
      </c>
      <c r="BL55" t="s">
        <v>75</v>
      </c>
      <c r="BM55">
        <v>1.274E-2</v>
      </c>
      <c r="BN55" t="s">
        <v>75</v>
      </c>
      <c r="BO55">
        <v>7.3193200000000003</v>
      </c>
      <c r="BP55" t="s">
        <v>75</v>
      </c>
      <c r="BQ55">
        <v>5.8228400000000002</v>
      </c>
      <c r="BR55" t="s">
        <v>75</v>
      </c>
      <c r="BS55">
        <v>0.13148000000000001</v>
      </c>
      <c r="BT55" t="s">
        <v>75</v>
      </c>
      <c r="BU55">
        <v>0.46155000000000002</v>
      </c>
      <c r="BV55" t="s">
        <v>75</v>
      </c>
      <c r="BW55">
        <v>1.1050000000000001E-2</v>
      </c>
      <c r="BX55" t="s">
        <v>75</v>
      </c>
      <c r="BY55">
        <v>0.17949999999999999</v>
      </c>
      <c r="BZ55" t="s">
        <v>75</v>
      </c>
      <c r="CA55">
        <v>17.71001</v>
      </c>
      <c r="CB55" t="s">
        <v>75</v>
      </c>
      <c r="CC55">
        <v>1.5299999999999999E-3</v>
      </c>
      <c r="CD55" t="s">
        <v>75</v>
      </c>
      <c r="CE55">
        <v>3.0419999999999999E-2</v>
      </c>
      <c r="CF55" t="s">
        <v>75</v>
      </c>
      <c r="CG55">
        <v>1.4409999999999999E-2</v>
      </c>
      <c r="CH55" t="s">
        <v>75</v>
      </c>
      <c r="CI55">
        <v>3.3860000000000001E-2</v>
      </c>
      <c r="CJ55" t="s">
        <v>75</v>
      </c>
      <c r="CK55">
        <v>4.1459999999999997E-2</v>
      </c>
      <c r="CL55" t="s">
        <v>75</v>
      </c>
      <c r="CM55">
        <v>5.5999999999999999E-3</v>
      </c>
      <c r="CN55" t="s">
        <v>75</v>
      </c>
      <c r="CO55">
        <v>3.635E-2</v>
      </c>
      <c r="CP55" t="s">
        <v>75</v>
      </c>
      <c r="CQ55">
        <v>8.5599999999999999E-3</v>
      </c>
      <c r="CR55" t="s">
        <v>75</v>
      </c>
      <c r="CS55">
        <v>4.7050000000000002E-2</v>
      </c>
      <c r="CT55" t="s">
        <v>75</v>
      </c>
      <c r="CW55">
        <v>1.0200000000000001E-3</v>
      </c>
      <c r="CX55" t="s">
        <v>75</v>
      </c>
      <c r="DA55">
        <v>0.92400000000000004</v>
      </c>
      <c r="DB55" t="s">
        <v>75</v>
      </c>
      <c r="DC55">
        <v>7.6999999999999996E-4</v>
      </c>
      <c r="DD55" t="s">
        <v>75</v>
      </c>
      <c r="DE55">
        <v>1.4579999999999999E-2</v>
      </c>
      <c r="DF55" t="s">
        <v>75</v>
      </c>
      <c r="DG55">
        <v>6.88E-2</v>
      </c>
      <c r="DH55" t="s">
        <v>75</v>
      </c>
      <c r="DI55">
        <v>0.16572000000000001</v>
      </c>
      <c r="DJ55" t="s">
        <v>75</v>
      </c>
      <c r="DO55">
        <v>1.15E-3</v>
      </c>
      <c r="DP55" t="s">
        <v>75</v>
      </c>
    </row>
    <row r="56" spans="1:122">
      <c r="D56" t="s">
        <v>65</v>
      </c>
      <c r="G56" t="s">
        <v>66</v>
      </c>
      <c r="I56" t="s">
        <v>66</v>
      </c>
      <c r="K56" t="s">
        <v>66</v>
      </c>
      <c r="M56" t="s">
        <v>66</v>
      </c>
      <c r="O56" t="s">
        <v>66</v>
      </c>
      <c r="Q56" t="s">
        <v>66</v>
      </c>
      <c r="S56" t="s">
        <v>66</v>
      </c>
      <c r="U56" t="s">
        <v>66</v>
      </c>
      <c r="W56" t="s">
        <v>66</v>
      </c>
      <c r="Y56" t="s">
        <v>66</v>
      </c>
      <c r="AA56" t="s">
        <v>66</v>
      </c>
      <c r="AC56" t="s">
        <v>66</v>
      </c>
      <c r="AE56" t="s">
        <v>66</v>
      </c>
      <c r="AG56" t="s">
        <v>66</v>
      </c>
      <c r="AI56" t="s">
        <v>66</v>
      </c>
      <c r="AK56" t="s">
        <v>66</v>
      </c>
      <c r="AM56" t="s">
        <v>66</v>
      </c>
      <c r="AO56" t="s">
        <v>66</v>
      </c>
      <c r="AQ56" t="s">
        <v>66</v>
      </c>
      <c r="AS56" t="s">
        <v>66</v>
      </c>
      <c r="AU56" t="s">
        <v>66</v>
      </c>
      <c r="AW56" t="s">
        <v>66</v>
      </c>
      <c r="AY56" t="s">
        <v>66</v>
      </c>
      <c r="BA56" t="s">
        <v>66</v>
      </c>
      <c r="BC56" t="s">
        <v>66</v>
      </c>
      <c r="BE56" t="s">
        <v>66</v>
      </c>
      <c r="BG56" t="s">
        <v>66</v>
      </c>
      <c r="BI56" t="s">
        <v>66</v>
      </c>
      <c r="BK56" t="s">
        <v>66</v>
      </c>
      <c r="BM56" t="s">
        <v>66</v>
      </c>
      <c r="BO56" t="s">
        <v>66</v>
      </c>
      <c r="BQ56" t="s">
        <v>66</v>
      </c>
      <c r="BS56" t="s">
        <v>66</v>
      </c>
      <c r="BU56" t="s">
        <v>66</v>
      </c>
      <c r="BW56" t="s">
        <v>66</v>
      </c>
      <c r="BY56" t="s">
        <v>66</v>
      </c>
      <c r="CA56" t="s">
        <v>66</v>
      </c>
      <c r="CC56" t="s">
        <v>66</v>
      </c>
      <c r="CE56" t="s">
        <v>66</v>
      </c>
      <c r="CG56" t="s">
        <v>66</v>
      </c>
      <c r="CI56" t="s">
        <v>66</v>
      </c>
      <c r="CK56" t="s">
        <v>66</v>
      </c>
      <c r="CM56" t="s">
        <v>66</v>
      </c>
      <c r="CO56" t="s">
        <v>66</v>
      </c>
      <c r="CQ56" t="s">
        <v>66</v>
      </c>
      <c r="CS56" t="s">
        <v>66</v>
      </c>
      <c r="CU56" t="s">
        <v>66</v>
      </c>
      <c r="CW56" t="s">
        <v>66</v>
      </c>
      <c r="CY56" t="s">
        <v>66</v>
      </c>
      <c r="DA56" t="s">
        <v>66</v>
      </c>
      <c r="DC56" t="s">
        <v>66</v>
      </c>
      <c r="DE56" t="s">
        <v>66</v>
      </c>
      <c r="DG56" t="s">
        <v>66</v>
      </c>
      <c r="DI56" t="s">
        <v>66</v>
      </c>
      <c r="DK56" t="s">
        <v>66</v>
      </c>
      <c r="DM56" t="s">
        <v>66</v>
      </c>
      <c r="DO56" t="s">
        <v>66</v>
      </c>
      <c r="DQ56" t="s">
        <v>66</v>
      </c>
    </row>
    <row r="57" spans="1:122">
      <c r="A57" t="s">
        <v>79</v>
      </c>
      <c r="D57" t="s">
        <v>60</v>
      </c>
      <c r="E57" t="s">
        <v>61</v>
      </c>
      <c r="G57">
        <v>2616912</v>
      </c>
      <c r="I57">
        <v>658801.80000000005</v>
      </c>
      <c r="K57">
        <v>11082143.9</v>
      </c>
      <c r="M57">
        <v>345315914.30000001</v>
      </c>
      <c r="O57">
        <v>42843.199999999997</v>
      </c>
      <c r="Q57">
        <v>17166967.800000001</v>
      </c>
      <c r="S57">
        <v>28668.1</v>
      </c>
      <c r="U57">
        <v>45102.2</v>
      </c>
      <c r="W57">
        <v>75197.8</v>
      </c>
      <c r="Y57">
        <v>603037.69999999995</v>
      </c>
      <c r="AA57">
        <v>2418308</v>
      </c>
      <c r="AC57">
        <v>18825.099999999999</v>
      </c>
      <c r="AE57">
        <v>14322812.6</v>
      </c>
      <c r="AG57">
        <v>8693.6</v>
      </c>
      <c r="AI57">
        <v>83931881.599999994</v>
      </c>
      <c r="AK57">
        <v>27294.1</v>
      </c>
      <c r="AM57">
        <v>17112.3</v>
      </c>
      <c r="AO57">
        <v>3576.4</v>
      </c>
      <c r="AQ57">
        <v>883.8</v>
      </c>
      <c r="AS57">
        <v>2341.5</v>
      </c>
      <c r="AU57">
        <v>926.5</v>
      </c>
      <c r="AW57">
        <v>524.1</v>
      </c>
      <c r="AY57">
        <v>15390.2</v>
      </c>
      <c r="BA57">
        <v>1403736.5</v>
      </c>
      <c r="BC57">
        <v>1188.3</v>
      </c>
      <c r="BE57">
        <v>7065989.5</v>
      </c>
      <c r="BG57">
        <v>6317553.7999999998</v>
      </c>
      <c r="BI57">
        <v>5475625.5</v>
      </c>
      <c r="BK57">
        <v>13155655.4</v>
      </c>
      <c r="BM57">
        <v>13851181.699999999</v>
      </c>
      <c r="BO57">
        <v>950958647.70000005</v>
      </c>
      <c r="BQ57">
        <v>242316357.90000001</v>
      </c>
      <c r="BS57">
        <v>6922234.7000000002</v>
      </c>
      <c r="BU57">
        <v>1206835</v>
      </c>
      <c r="BW57">
        <v>6287.4</v>
      </c>
      <c r="BY57">
        <v>83499</v>
      </c>
      <c r="CA57">
        <v>60029674.700000003</v>
      </c>
      <c r="CC57">
        <v>326.89999999999998</v>
      </c>
      <c r="CE57">
        <v>2527619</v>
      </c>
      <c r="CG57">
        <v>1086423.7</v>
      </c>
      <c r="CI57">
        <v>3148943.4</v>
      </c>
      <c r="CK57">
        <v>7123595.7999999998</v>
      </c>
      <c r="CM57">
        <v>2024588.1</v>
      </c>
      <c r="CO57">
        <v>1061026.3999999999</v>
      </c>
      <c r="CQ57">
        <v>839939.1</v>
      </c>
      <c r="CS57">
        <v>561325.30000000005</v>
      </c>
      <c r="CU57">
        <v>221103.5</v>
      </c>
      <c r="CW57">
        <v>2138.8000000000002</v>
      </c>
      <c r="CY57">
        <v>124958.1</v>
      </c>
      <c r="DA57">
        <v>42619155.600000001</v>
      </c>
      <c r="DC57">
        <v>14.4</v>
      </c>
      <c r="DE57">
        <v>107803.1</v>
      </c>
      <c r="DG57">
        <v>2018.9</v>
      </c>
      <c r="DI57">
        <v>7055.5</v>
      </c>
      <c r="DK57">
        <v>51.1</v>
      </c>
      <c r="DM57">
        <v>63300.9</v>
      </c>
      <c r="DO57">
        <v>566.70000000000005</v>
      </c>
      <c r="DQ57">
        <v>36280</v>
      </c>
    </row>
    <row r="58" spans="1:122">
      <c r="D58" t="s">
        <v>62</v>
      </c>
      <c r="E58" t="s">
        <v>61</v>
      </c>
      <c r="G58">
        <v>73591.7</v>
      </c>
      <c r="I58">
        <v>19967.3</v>
      </c>
      <c r="K58">
        <v>223047.5</v>
      </c>
      <c r="M58">
        <v>9249421.0999999996</v>
      </c>
      <c r="O58">
        <v>975.9</v>
      </c>
      <c r="Q58">
        <v>113702.1</v>
      </c>
      <c r="S58">
        <v>134.80000000000001</v>
      </c>
      <c r="U58">
        <v>786.2</v>
      </c>
      <c r="W58">
        <v>1029.0999999999999</v>
      </c>
      <c r="Y58">
        <v>5562.7</v>
      </c>
      <c r="AA58">
        <v>31286.7</v>
      </c>
      <c r="AC58">
        <v>302.3</v>
      </c>
      <c r="AE58">
        <v>224979.1</v>
      </c>
      <c r="AG58">
        <v>480.1</v>
      </c>
      <c r="AI58">
        <v>1884228.4</v>
      </c>
      <c r="AK58">
        <v>693.4</v>
      </c>
      <c r="AM58">
        <v>565.1</v>
      </c>
      <c r="AO58">
        <v>92.8</v>
      </c>
      <c r="AQ58">
        <v>63.2</v>
      </c>
      <c r="AS58">
        <v>169.7</v>
      </c>
      <c r="AU58">
        <v>99.4</v>
      </c>
      <c r="AW58">
        <v>56.8</v>
      </c>
      <c r="AY58">
        <v>461.4</v>
      </c>
      <c r="BA58">
        <v>20774.900000000001</v>
      </c>
      <c r="BC58">
        <v>32.9</v>
      </c>
      <c r="BE58">
        <v>146157</v>
      </c>
      <c r="BG58">
        <v>74988.899999999994</v>
      </c>
      <c r="BI58">
        <v>49872.800000000003</v>
      </c>
      <c r="BK58">
        <v>66403.5</v>
      </c>
      <c r="BM58">
        <v>149930</v>
      </c>
      <c r="BO58">
        <v>27837689.699999999</v>
      </c>
      <c r="BQ58">
        <v>11884000.300000001</v>
      </c>
      <c r="BS58">
        <v>220936</v>
      </c>
      <c r="BU58">
        <v>3013.2</v>
      </c>
      <c r="BW58">
        <v>30.1</v>
      </c>
      <c r="BY58">
        <v>1037.0999999999999</v>
      </c>
      <c r="CA58">
        <v>1687375.9</v>
      </c>
      <c r="CC58">
        <v>68.5</v>
      </c>
      <c r="CE58">
        <v>94632.7</v>
      </c>
      <c r="CG58">
        <v>62038.3</v>
      </c>
      <c r="CI58">
        <v>161207.6</v>
      </c>
      <c r="CK58">
        <v>309515.3</v>
      </c>
      <c r="CM58">
        <v>75933.100000000006</v>
      </c>
      <c r="CO58">
        <v>28758.3</v>
      </c>
      <c r="CQ58">
        <v>11104.8</v>
      </c>
      <c r="CS58">
        <v>1111.2</v>
      </c>
      <c r="CU58">
        <v>2841.3</v>
      </c>
      <c r="CW58">
        <v>145.19999999999999</v>
      </c>
      <c r="CY58">
        <v>4508.8</v>
      </c>
      <c r="DA58">
        <v>1030612.7</v>
      </c>
      <c r="DC58">
        <v>1</v>
      </c>
      <c r="DE58">
        <v>2024.8</v>
      </c>
      <c r="DG58">
        <v>40.1</v>
      </c>
      <c r="DI58">
        <v>247.6</v>
      </c>
      <c r="DK58">
        <v>6.3</v>
      </c>
      <c r="DM58">
        <v>1749.4</v>
      </c>
      <c r="DO58">
        <v>16</v>
      </c>
      <c r="DQ58">
        <v>961.3</v>
      </c>
    </row>
    <row r="59" spans="1:122">
      <c r="D59" t="s">
        <v>63</v>
      </c>
      <c r="G59">
        <v>17.866689999999998</v>
      </c>
      <c r="H59" t="s">
        <v>75</v>
      </c>
      <c r="I59">
        <v>14.52861</v>
      </c>
      <c r="J59" t="s">
        <v>75</v>
      </c>
      <c r="K59">
        <v>13.544700000000001</v>
      </c>
      <c r="L59" t="s">
        <v>75</v>
      </c>
      <c r="M59">
        <v>331.50355000000002</v>
      </c>
      <c r="N59" t="s">
        <v>75</v>
      </c>
      <c r="O59">
        <v>4.437E-2</v>
      </c>
      <c r="P59" t="s">
        <v>75</v>
      </c>
      <c r="Q59">
        <v>120.70795</v>
      </c>
      <c r="R59" t="s">
        <v>75</v>
      </c>
      <c r="S59">
        <v>2.341E-2</v>
      </c>
      <c r="T59" t="s">
        <v>75</v>
      </c>
      <c r="U59">
        <v>0.18546000000000001</v>
      </c>
      <c r="V59" t="s">
        <v>75</v>
      </c>
      <c r="W59">
        <v>0.13419</v>
      </c>
      <c r="X59" t="s">
        <v>75</v>
      </c>
      <c r="Y59">
        <v>6.6945800000000002</v>
      </c>
      <c r="Z59" t="s">
        <v>75</v>
      </c>
      <c r="AC59">
        <v>4.7219999999999998E-2</v>
      </c>
      <c r="AD59" t="s">
        <v>75</v>
      </c>
      <c r="AE59">
        <v>54.454599999999999</v>
      </c>
      <c r="AF59" t="s">
        <v>75</v>
      </c>
      <c r="AG59">
        <v>1.831E-2</v>
      </c>
      <c r="AH59" t="s">
        <v>75</v>
      </c>
      <c r="AI59">
        <v>520.56605000000002</v>
      </c>
      <c r="AJ59" t="s">
        <v>75</v>
      </c>
      <c r="AK59">
        <v>4.3880000000000002E-2</v>
      </c>
      <c r="AL59" t="s">
        <v>75</v>
      </c>
      <c r="AM59">
        <v>3.6420000000000001E-2</v>
      </c>
      <c r="AN59" t="s">
        <v>75</v>
      </c>
      <c r="AO59">
        <v>3.4790000000000001E-2</v>
      </c>
      <c r="AP59" t="s">
        <v>75</v>
      </c>
      <c r="AQ59">
        <v>3.0030000000000001E-2</v>
      </c>
      <c r="AR59" t="s">
        <v>75</v>
      </c>
      <c r="AS59">
        <v>3.6560000000000002E-2</v>
      </c>
      <c r="AT59" t="s">
        <v>75</v>
      </c>
      <c r="AU59">
        <v>2.6199999999999999E-3</v>
      </c>
      <c r="AV59" t="s">
        <v>75</v>
      </c>
      <c r="AW59">
        <v>3.8339999999999999E-2</v>
      </c>
      <c r="AX59" t="s">
        <v>75</v>
      </c>
      <c r="AY59">
        <v>-2.5400000000000002E-3</v>
      </c>
      <c r="AZ59" t="s">
        <v>75</v>
      </c>
      <c r="BB59" t="s">
        <v>76</v>
      </c>
      <c r="BC59">
        <v>-1.1736800000000001</v>
      </c>
      <c r="BD59" t="s">
        <v>75</v>
      </c>
      <c r="BE59">
        <v>6.8947000000000003</v>
      </c>
      <c r="BF59" t="s">
        <v>75</v>
      </c>
      <c r="BG59">
        <v>17.50339</v>
      </c>
      <c r="BH59" t="s">
        <v>75</v>
      </c>
      <c r="BI59">
        <v>17.798469999999998</v>
      </c>
      <c r="BJ59" t="s">
        <v>75</v>
      </c>
      <c r="BK59">
        <v>17.76276</v>
      </c>
      <c r="BL59" t="s">
        <v>75</v>
      </c>
      <c r="BM59">
        <v>11.4541</v>
      </c>
      <c r="BN59" t="s">
        <v>75</v>
      </c>
      <c r="BO59">
        <v>18002.432919999999</v>
      </c>
      <c r="BP59" t="s">
        <v>75</v>
      </c>
      <c r="BQ59">
        <v>6549.7156199999999</v>
      </c>
      <c r="BR59" t="s">
        <v>75</v>
      </c>
      <c r="BS59">
        <v>126.59177</v>
      </c>
      <c r="BT59" t="s">
        <v>75</v>
      </c>
      <c r="BU59">
        <v>24.42839</v>
      </c>
      <c r="BV59" t="s">
        <v>75</v>
      </c>
      <c r="BW59">
        <v>1.3243400000000001</v>
      </c>
      <c r="BX59" t="s">
        <v>75</v>
      </c>
      <c r="BY59">
        <v>8.3853000000000009</v>
      </c>
      <c r="BZ59" t="s">
        <v>75</v>
      </c>
      <c r="CA59">
        <v>29772.40019</v>
      </c>
      <c r="CB59" t="s">
        <v>75</v>
      </c>
      <c r="CC59">
        <v>8.9069999999999996E-2</v>
      </c>
      <c r="CD59" t="s">
        <v>75</v>
      </c>
      <c r="CE59">
        <v>38.688040000000001</v>
      </c>
      <c r="CF59" t="s">
        <v>75</v>
      </c>
      <c r="CG59">
        <v>18.234290000000001</v>
      </c>
      <c r="CH59" t="s">
        <v>75</v>
      </c>
      <c r="CI59">
        <v>37.314100000000003</v>
      </c>
      <c r="CJ59" t="s">
        <v>75</v>
      </c>
      <c r="CK59">
        <v>89.987579999999994</v>
      </c>
      <c r="CL59" t="s">
        <v>75</v>
      </c>
      <c r="CM59">
        <v>25.58099</v>
      </c>
      <c r="CN59" t="s">
        <v>75</v>
      </c>
      <c r="CO59">
        <v>57.40119</v>
      </c>
      <c r="CP59" t="s">
        <v>75</v>
      </c>
      <c r="CQ59">
        <v>19.32028</v>
      </c>
      <c r="CR59" t="s">
        <v>75</v>
      </c>
      <c r="CS59">
        <v>70.296030000000002</v>
      </c>
      <c r="CT59" t="s">
        <v>75</v>
      </c>
      <c r="CW59">
        <v>0.10162</v>
      </c>
      <c r="CX59" t="s">
        <v>75</v>
      </c>
      <c r="CZ59" t="s">
        <v>76</v>
      </c>
      <c r="DA59">
        <v>2035.83671</v>
      </c>
      <c r="DB59" t="s">
        <v>75</v>
      </c>
      <c r="DC59">
        <v>2.3980000000000001E-2</v>
      </c>
      <c r="DD59" t="s">
        <v>75</v>
      </c>
      <c r="DE59">
        <v>38.297139999999999</v>
      </c>
      <c r="DF59" t="s">
        <v>75</v>
      </c>
      <c r="DG59">
        <v>6.8506600000000004</v>
      </c>
      <c r="DH59" t="s">
        <v>75</v>
      </c>
      <c r="DI59">
        <v>7.2463899999999999</v>
      </c>
      <c r="DJ59" t="s">
        <v>75</v>
      </c>
      <c r="DL59" t="s">
        <v>76</v>
      </c>
      <c r="DO59">
        <v>8.0159999999999995E-2</v>
      </c>
      <c r="DP59" t="s">
        <v>75</v>
      </c>
      <c r="DR59" t="s">
        <v>76</v>
      </c>
    </row>
    <row r="60" spans="1:122">
      <c r="D60" t="s">
        <v>64</v>
      </c>
      <c r="G60">
        <v>0.27494000000000002</v>
      </c>
      <c r="H60" t="s">
        <v>75</v>
      </c>
      <c r="I60">
        <v>0.35531000000000001</v>
      </c>
      <c r="J60" t="s">
        <v>75</v>
      </c>
      <c r="K60">
        <v>0.19098000000000001</v>
      </c>
      <c r="L60" t="s">
        <v>75</v>
      </c>
      <c r="M60">
        <v>7.2999299999999998</v>
      </c>
      <c r="N60" t="s">
        <v>75</v>
      </c>
      <c r="O60">
        <v>7.9000000000000001E-4</v>
      </c>
      <c r="P60" t="s">
        <v>75</v>
      </c>
      <c r="Q60">
        <v>2.1248200000000002</v>
      </c>
      <c r="R60" t="s">
        <v>75</v>
      </c>
      <c r="S60">
        <v>4.2999999999999999E-4</v>
      </c>
      <c r="T60" t="s">
        <v>75</v>
      </c>
      <c r="U60">
        <v>2E-3</v>
      </c>
      <c r="V60" t="s">
        <v>75</v>
      </c>
      <c r="W60">
        <v>3.14E-3</v>
      </c>
      <c r="X60" t="s">
        <v>75</v>
      </c>
      <c r="Y60">
        <v>0.13852</v>
      </c>
      <c r="Z60" t="s">
        <v>75</v>
      </c>
      <c r="AC60">
        <v>5.1000000000000004E-4</v>
      </c>
      <c r="AD60" t="s">
        <v>75</v>
      </c>
      <c r="AE60">
        <v>0.85485</v>
      </c>
      <c r="AF60" t="s">
        <v>75</v>
      </c>
      <c r="AG60">
        <v>3.8000000000000002E-4</v>
      </c>
      <c r="AH60" t="s">
        <v>75</v>
      </c>
      <c r="AI60">
        <v>12.505280000000001</v>
      </c>
      <c r="AJ60" t="s">
        <v>75</v>
      </c>
      <c r="AK60">
        <v>5.9000000000000003E-4</v>
      </c>
      <c r="AL60" t="s">
        <v>75</v>
      </c>
      <c r="AM60">
        <v>4.4999999999999999E-4</v>
      </c>
      <c r="AN60" t="s">
        <v>75</v>
      </c>
      <c r="AO60">
        <v>3.6000000000000002E-4</v>
      </c>
      <c r="AP60" t="s">
        <v>75</v>
      </c>
      <c r="AQ60">
        <v>2.9E-4</v>
      </c>
      <c r="AR60" t="s">
        <v>75</v>
      </c>
      <c r="AS60">
        <v>8.1999999999999998E-4</v>
      </c>
      <c r="AT60" t="s">
        <v>75</v>
      </c>
      <c r="AU60">
        <v>6.0000000000000002E-5</v>
      </c>
      <c r="AV60" t="s">
        <v>75</v>
      </c>
      <c r="AW60">
        <v>1.2E-4</v>
      </c>
      <c r="AX60" t="s">
        <v>75</v>
      </c>
      <c r="AY60">
        <v>1.97E-3</v>
      </c>
      <c r="AZ60" t="s">
        <v>75</v>
      </c>
      <c r="BC60">
        <v>1.2E-4</v>
      </c>
      <c r="BD60" t="s">
        <v>75</v>
      </c>
      <c r="BE60">
        <v>0.21792</v>
      </c>
      <c r="BF60" t="s">
        <v>75</v>
      </c>
      <c r="BG60">
        <v>0.36018</v>
      </c>
      <c r="BH60" t="s">
        <v>75</v>
      </c>
      <c r="BI60">
        <v>0.38812999999999998</v>
      </c>
      <c r="BJ60" t="s">
        <v>75</v>
      </c>
      <c r="BK60">
        <v>0.26629999999999998</v>
      </c>
      <c r="BL60" t="s">
        <v>75</v>
      </c>
      <c r="BM60">
        <v>0.18135999999999999</v>
      </c>
      <c r="BN60" t="s">
        <v>75</v>
      </c>
      <c r="BO60">
        <v>623.59099000000003</v>
      </c>
      <c r="BP60" t="s">
        <v>75</v>
      </c>
      <c r="BQ60">
        <v>337.34728000000001</v>
      </c>
      <c r="BR60" t="s">
        <v>75</v>
      </c>
      <c r="BS60">
        <v>5.2245299999999997</v>
      </c>
      <c r="BT60" t="s">
        <v>75</v>
      </c>
      <c r="BU60">
        <v>0.66876999999999998</v>
      </c>
      <c r="BV60" t="s">
        <v>75</v>
      </c>
      <c r="BW60">
        <v>2.5229999999999999E-2</v>
      </c>
      <c r="BX60" t="s">
        <v>75</v>
      </c>
      <c r="BY60">
        <v>0.38950000000000001</v>
      </c>
      <c r="BZ60" t="s">
        <v>75</v>
      </c>
      <c r="CA60">
        <v>967.99744999999996</v>
      </c>
      <c r="CB60" t="s">
        <v>75</v>
      </c>
      <c r="CC60">
        <v>1.468E-2</v>
      </c>
      <c r="CD60" t="s">
        <v>75</v>
      </c>
      <c r="CE60">
        <v>1.2147600000000001</v>
      </c>
      <c r="CF60" t="s">
        <v>75</v>
      </c>
      <c r="CG60">
        <v>0.85324</v>
      </c>
      <c r="CH60" t="s">
        <v>75</v>
      </c>
      <c r="CI60">
        <v>1.53823</v>
      </c>
      <c r="CJ60" t="s">
        <v>75</v>
      </c>
      <c r="CK60">
        <v>2.9772699999999999</v>
      </c>
      <c r="CL60" t="s">
        <v>75</v>
      </c>
      <c r="CM60">
        <v>0.76778999999999997</v>
      </c>
      <c r="CN60" t="s">
        <v>75</v>
      </c>
      <c r="CO60">
        <v>1.4802500000000001</v>
      </c>
      <c r="CP60" t="s">
        <v>75</v>
      </c>
      <c r="CQ60">
        <v>0.23619999999999999</v>
      </c>
      <c r="CR60" t="s">
        <v>75</v>
      </c>
      <c r="CS60">
        <v>0.80384999999999995</v>
      </c>
      <c r="CT60" t="s">
        <v>75</v>
      </c>
      <c r="CW60">
        <v>5.5900000000000004E-3</v>
      </c>
      <c r="CX60" t="s">
        <v>75</v>
      </c>
      <c r="DA60">
        <v>96.982879999999994</v>
      </c>
      <c r="DB60" t="s">
        <v>75</v>
      </c>
      <c r="DC60">
        <v>4.0999999999999999E-4</v>
      </c>
      <c r="DD60" t="s">
        <v>75</v>
      </c>
      <c r="DE60">
        <v>1.6288199999999999</v>
      </c>
      <c r="DF60" t="s">
        <v>75</v>
      </c>
      <c r="DG60">
        <v>0.31680000000000003</v>
      </c>
      <c r="DH60" t="s">
        <v>75</v>
      </c>
      <c r="DI60">
        <v>0.39144000000000001</v>
      </c>
      <c r="DJ60" t="s">
        <v>75</v>
      </c>
      <c r="DO60">
        <v>4.0400000000000002E-3</v>
      </c>
      <c r="DP60" t="s">
        <v>75</v>
      </c>
    </row>
    <row r="61" spans="1:122">
      <c r="D61" t="s">
        <v>65</v>
      </c>
      <c r="G61" t="s">
        <v>66</v>
      </c>
      <c r="I61" t="s">
        <v>66</v>
      </c>
      <c r="K61" t="s">
        <v>66</v>
      </c>
      <c r="M61" t="s">
        <v>66</v>
      </c>
      <c r="O61" t="s">
        <v>66</v>
      </c>
      <c r="Q61" t="s">
        <v>66</v>
      </c>
      <c r="S61" t="s">
        <v>66</v>
      </c>
      <c r="U61" t="s">
        <v>66</v>
      </c>
      <c r="W61" t="s">
        <v>66</v>
      </c>
      <c r="Y61" t="s">
        <v>66</v>
      </c>
      <c r="AA61" t="s">
        <v>66</v>
      </c>
      <c r="AC61" t="s">
        <v>66</v>
      </c>
      <c r="AE61" t="s">
        <v>66</v>
      </c>
      <c r="AG61" t="s">
        <v>66</v>
      </c>
      <c r="AI61" t="s">
        <v>66</v>
      </c>
      <c r="AK61" t="s">
        <v>66</v>
      </c>
      <c r="AM61" t="s">
        <v>66</v>
      </c>
      <c r="AO61" t="s">
        <v>66</v>
      </c>
      <c r="AQ61" t="s">
        <v>66</v>
      </c>
      <c r="AS61" t="s">
        <v>66</v>
      </c>
      <c r="AU61" t="s">
        <v>66</v>
      </c>
      <c r="AW61" t="s">
        <v>66</v>
      </c>
      <c r="AY61" t="s">
        <v>66</v>
      </c>
      <c r="BA61" t="s">
        <v>66</v>
      </c>
      <c r="BC61" t="s">
        <v>66</v>
      </c>
      <c r="BE61" t="s">
        <v>66</v>
      </c>
      <c r="BG61" t="s">
        <v>66</v>
      </c>
      <c r="BI61" t="s">
        <v>66</v>
      </c>
      <c r="BK61" t="s">
        <v>66</v>
      </c>
      <c r="BM61" t="s">
        <v>66</v>
      </c>
      <c r="BO61" t="s">
        <v>66</v>
      </c>
      <c r="BQ61" t="s">
        <v>66</v>
      </c>
      <c r="BS61" t="s">
        <v>66</v>
      </c>
      <c r="BU61" t="s">
        <v>66</v>
      </c>
      <c r="BW61" t="s">
        <v>66</v>
      </c>
      <c r="BY61" t="s">
        <v>66</v>
      </c>
      <c r="CA61" t="s">
        <v>66</v>
      </c>
      <c r="CC61" t="s">
        <v>66</v>
      </c>
      <c r="CE61" t="s">
        <v>66</v>
      </c>
      <c r="CG61" t="s">
        <v>66</v>
      </c>
      <c r="CI61" t="s">
        <v>66</v>
      </c>
      <c r="CK61" t="s">
        <v>66</v>
      </c>
      <c r="CM61" t="s">
        <v>66</v>
      </c>
      <c r="CO61" t="s">
        <v>66</v>
      </c>
      <c r="CQ61" t="s">
        <v>66</v>
      </c>
      <c r="CS61" t="s">
        <v>66</v>
      </c>
      <c r="CU61" t="s">
        <v>66</v>
      </c>
      <c r="CW61" t="s">
        <v>66</v>
      </c>
      <c r="CY61" t="s">
        <v>66</v>
      </c>
      <c r="DA61" t="s">
        <v>66</v>
      </c>
      <c r="DC61" t="s">
        <v>66</v>
      </c>
      <c r="DE61" t="s">
        <v>66</v>
      </c>
      <c r="DG61" t="s">
        <v>66</v>
      </c>
      <c r="DI61" t="s">
        <v>66</v>
      </c>
      <c r="DK61" t="s">
        <v>66</v>
      </c>
      <c r="DM61" t="s">
        <v>66</v>
      </c>
      <c r="DO61" t="s">
        <v>66</v>
      </c>
      <c r="DQ61" t="s">
        <v>66</v>
      </c>
    </row>
    <row r="65" spans="1:1">
      <c r="A65" t="s">
        <v>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M266"/>
  <sheetViews>
    <sheetView workbookViewId="0">
      <pane xSplit="2" ySplit="1" topLeftCell="C2" activePane="bottomRight" state="frozen"/>
      <selection activeCell="L25" sqref="L25"/>
      <selection pane="topRight" activeCell="L25" sqref="L25"/>
      <selection pane="bottomLeft" activeCell="L25" sqref="L25"/>
      <selection pane="bottomRight" sqref="A1:M264"/>
    </sheetView>
  </sheetViews>
  <sheetFormatPr defaultRowHeight="12.75"/>
  <cols>
    <col min="1" max="1" width="15.28515625" customWidth="1"/>
    <col min="3" max="5" width="9.42578125" customWidth="1"/>
    <col min="6" max="6" width="7.7109375" customWidth="1"/>
    <col min="7" max="7" width="7.5703125" customWidth="1"/>
    <col min="8" max="8" width="8" customWidth="1"/>
    <col min="9" max="9" width="8.28515625" customWidth="1"/>
    <col min="10" max="10" width="8.7109375" customWidth="1"/>
    <col min="11" max="11" width="7.7109375" customWidth="1"/>
    <col min="12" max="12" width="7.42578125" customWidth="1"/>
  </cols>
  <sheetData>
    <row r="1" spans="1:13" ht="35.25" customHeight="1">
      <c r="A1" s="1" t="s">
        <v>81</v>
      </c>
      <c r="B1" s="2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4" t="s">
        <v>79</v>
      </c>
      <c r="J1" s="3" t="s">
        <v>89</v>
      </c>
      <c r="K1" s="3" t="s">
        <v>78</v>
      </c>
      <c r="L1" s="3" t="s">
        <v>90</v>
      </c>
      <c r="M1" s="2" t="s">
        <v>82</v>
      </c>
    </row>
    <row r="2" spans="1:13">
      <c r="A2" s="5" t="s">
        <v>91</v>
      </c>
      <c r="B2" s="6">
        <v>1.148084693524575E-3</v>
      </c>
      <c r="C2" s="7"/>
      <c r="D2" s="7">
        <v>5</v>
      </c>
      <c r="E2" s="7"/>
      <c r="F2" s="7">
        <v>8.0809999999999995</v>
      </c>
      <c r="G2" s="7">
        <f>F2/10</f>
        <v>0.80809999999999993</v>
      </c>
      <c r="H2" s="7">
        <f>F2/100</f>
        <v>8.0809999999999993E-2</v>
      </c>
      <c r="I2" s="8">
        <v>0.97030000000000005</v>
      </c>
      <c r="J2" s="7">
        <f t="shared" ref="J2:J9" si="0">I2/10</f>
        <v>9.7030000000000005E-2</v>
      </c>
      <c r="K2" s="7">
        <f>I2/20</f>
        <v>4.8515000000000003E-2</v>
      </c>
      <c r="L2" s="7">
        <f t="shared" ref="L2:L58" si="1">I2/100</f>
        <v>9.7029999999999998E-3</v>
      </c>
      <c r="M2" s="9">
        <v>8.6556917690038E-3</v>
      </c>
    </row>
    <row r="3" spans="1:13">
      <c r="A3" s="5" t="s">
        <v>92</v>
      </c>
      <c r="B3" s="6">
        <v>0.21841637765299984</v>
      </c>
      <c r="C3" s="7"/>
      <c r="D3" s="7">
        <v>20</v>
      </c>
      <c r="E3" s="7"/>
      <c r="F3" s="10">
        <v>53</v>
      </c>
      <c r="G3" s="7">
        <f>F3/10</f>
        <v>5.3</v>
      </c>
      <c r="H3" s="7">
        <f>F3/100</f>
        <v>0.53</v>
      </c>
      <c r="I3" s="8">
        <v>133.80000000000001</v>
      </c>
      <c r="J3" s="7">
        <f t="shared" si="0"/>
        <v>13.38</v>
      </c>
      <c r="K3" s="7">
        <f t="shared" ref="K3:K9" si="2">I3/20</f>
        <v>6.69</v>
      </c>
      <c r="L3" s="7">
        <f t="shared" si="1"/>
        <v>1.3380000000000001</v>
      </c>
      <c r="M3" s="9">
        <v>0.50280513123873338</v>
      </c>
    </row>
    <row r="4" spans="1:13">
      <c r="A4" s="5" t="s">
        <v>93</v>
      </c>
      <c r="B4" s="6">
        <v>3.9939360654491496E-2</v>
      </c>
      <c r="C4" s="7"/>
      <c r="D4" s="7">
        <v>10</v>
      </c>
      <c r="E4" s="7"/>
      <c r="F4" s="7">
        <v>8.0749999999999993</v>
      </c>
      <c r="G4" s="7">
        <f>F4/10</f>
        <v>0.80749999999999988</v>
      </c>
      <c r="H4" s="7">
        <f>F4/100</f>
        <v>8.0749999999999988E-2</v>
      </c>
      <c r="I4" s="8">
        <v>57.42</v>
      </c>
      <c r="J4" s="7">
        <f t="shared" si="0"/>
        <v>5.742</v>
      </c>
      <c r="K4" s="7">
        <f t="shared" si="2"/>
        <v>2.871</v>
      </c>
      <c r="L4" s="7">
        <f t="shared" si="1"/>
        <v>0.57420000000000004</v>
      </c>
      <c r="M4" s="9">
        <v>0.13821000325591487</v>
      </c>
    </row>
    <row r="5" spans="1:13">
      <c r="A5" s="5" t="s">
        <v>94</v>
      </c>
      <c r="B5" s="6">
        <v>4.0834975712296114E-2</v>
      </c>
      <c r="C5" s="7"/>
      <c r="D5" s="7">
        <v>20</v>
      </c>
      <c r="E5" s="7"/>
      <c r="F5" s="11">
        <v>151.80000000000001</v>
      </c>
      <c r="G5" s="7">
        <f>F5/10</f>
        <v>15.180000000000001</v>
      </c>
      <c r="H5" s="7">
        <f>F5/100</f>
        <v>1.518</v>
      </c>
      <c r="I5" s="8">
        <v>518.20000000000005</v>
      </c>
      <c r="J5" s="7">
        <f t="shared" si="0"/>
        <v>51.820000000000007</v>
      </c>
      <c r="K5" s="7">
        <f t="shared" si="2"/>
        <v>25.910000000000004</v>
      </c>
      <c r="L5" s="7">
        <f t="shared" si="1"/>
        <v>5.1820000000000004</v>
      </c>
      <c r="M5" s="9">
        <v>8.1797585538938747E-2</v>
      </c>
    </row>
    <row r="6" spans="1:13">
      <c r="A6" s="5" t="s">
        <v>95</v>
      </c>
      <c r="B6" s="6">
        <v>1.5870275431053321E-2</v>
      </c>
      <c r="C6" s="7"/>
      <c r="D6" s="7">
        <v>10</v>
      </c>
      <c r="E6" s="7"/>
      <c r="F6" s="7">
        <v>3.0259999999999998</v>
      </c>
      <c r="G6" s="7">
        <f>F6/10</f>
        <v>0.30259999999999998</v>
      </c>
      <c r="H6" s="7">
        <f>F6/100</f>
        <v>3.0259999999999999E-2</v>
      </c>
      <c r="I6" s="8">
        <v>13.67</v>
      </c>
      <c r="J6" s="7">
        <f t="shared" si="0"/>
        <v>1.367</v>
      </c>
      <c r="K6" s="7">
        <f t="shared" si="2"/>
        <v>0.6835</v>
      </c>
      <c r="L6" s="7">
        <f t="shared" si="1"/>
        <v>0.13669999999999999</v>
      </c>
      <c r="M6" s="9">
        <v>2.3792519832922271E-2</v>
      </c>
    </row>
    <row r="7" spans="1:13">
      <c r="A7" s="5" t="s">
        <v>96</v>
      </c>
      <c r="B7" s="6">
        <v>1.4577594522373839E-3</v>
      </c>
      <c r="C7" s="7"/>
      <c r="D7" s="7">
        <v>10</v>
      </c>
      <c r="E7" s="7"/>
      <c r="F7" s="7">
        <v>1E-4</v>
      </c>
      <c r="G7" s="7">
        <v>1E-4</v>
      </c>
      <c r="H7" s="7">
        <v>1E-4</v>
      </c>
      <c r="I7" s="8">
        <v>12.62</v>
      </c>
      <c r="J7" s="7">
        <f t="shared" si="0"/>
        <v>1.262</v>
      </c>
      <c r="K7" s="7">
        <f t="shared" si="2"/>
        <v>0.63100000000000001</v>
      </c>
      <c r="L7" s="7">
        <f t="shared" si="1"/>
        <v>0.12619999999999998</v>
      </c>
      <c r="M7" s="9">
        <v>8.8353834099036098E-3</v>
      </c>
    </row>
    <row r="8" spans="1:13">
      <c r="A8" s="5" t="s">
        <v>97</v>
      </c>
      <c r="B8" s="6">
        <v>0.62742251196345922</v>
      </c>
      <c r="C8" s="7"/>
      <c r="D8" s="7">
        <v>40</v>
      </c>
      <c r="E8" s="7"/>
      <c r="F8" s="12">
        <v>5615</v>
      </c>
      <c r="G8" s="7">
        <f>F8/10</f>
        <v>561.5</v>
      </c>
      <c r="H8" s="7">
        <f>F8/100</f>
        <v>56.15</v>
      </c>
      <c r="I8" s="8">
        <v>29430</v>
      </c>
      <c r="J8" s="7">
        <f t="shared" si="0"/>
        <v>2943</v>
      </c>
      <c r="K8" s="7">
        <f t="shared" si="2"/>
        <v>1471.5</v>
      </c>
      <c r="L8" s="7">
        <f t="shared" si="1"/>
        <v>294.3</v>
      </c>
      <c r="M8" s="9">
        <v>2.1737574528911905</v>
      </c>
    </row>
    <row r="9" spans="1:13">
      <c r="A9" s="5" t="s">
        <v>98</v>
      </c>
      <c r="B9" s="6">
        <v>3.6193122618410883E-3</v>
      </c>
      <c r="C9" s="7"/>
      <c r="D9" s="7">
        <v>10</v>
      </c>
      <c r="E9" s="7"/>
      <c r="F9" s="7">
        <v>3.992</v>
      </c>
      <c r="G9" s="7">
        <f>F9/10</f>
        <v>0.3992</v>
      </c>
      <c r="H9" s="7">
        <f>F9/100</f>
        <v>3.9919999999999997E-2</v>
      </c>
      <c r="I9" s="8">
        <v>5.89</v>
      </c>
      <c r="J9" s="7">
        <f t="shared" si="0"/>
        <v>0.58899999999999997</v>
      </c>
      <c r="K9" s="7">
        <f t="shared" si="2"/>
        <v>0.29449999999999998</v>
      </c>
      <c r="L9" s="7">
        <f t="shared" si="1"/>
        <v>5.8899999999999994E-2</v>
      </c>
      <c r="M9" s="9">
        <v>1.4563104064724662E-2</v>
      </c>
    </row>
    <row r="10" spans="1:13">
      <c r="A10" s="5" t="s">
        <v>99</v>
      </c>
      <c r="B10" s="6">
        <v>1.305285591766714E-3</v>
      </c>
      <c r="C10" s="7"/>
      <c r="D10" s="7">
        <v>10</v>
      </c>
      <c r="E10" s="7"/>
      <c r="F10" s="7">
        <v>1E-4</v>
      </c>
      <c r="G10" s="7">
        <v>1E-4</v>
      </c>
      <c r="H10" s="7">
        <v>1E-4</v>
      </c>
      <c r="I10" s="8">
        <v>1E-4</v>
      </c>
      <c r="J10" s="7">
        <v>1E-4</v>
      </c>
      <c r="K10" s="7">
        <v>1E-4</v>
      </c>
      <c r="L10" s="7">
        <v>1E-4</v>
      </c>
      <c r="M10" s="9">
        <v>1.6382917933017913E-3</v>
      </c>
    </row>
    <row r="11" spans="1:13">
      <c r="A11" s="5" t="s">
        <v>100</v>
      </c>
      <c r="B11" s="6">
        <v>1.6068088021600102E-3</v>
      </c>
      <c r="C11" s="7"/>
      <c r="D11" s="7">
        <v>10</v>
      </c>
      <c r="E11" s="7"/>
      <c r="F11" s="7">
        <v>20.239999999999998</v>
      </c>
      <c r="G11" s="7">
        <f>F11/10</f>
        <v>2.024</v>
      </c>
      <c r="H11" s="7">
        <f>F11/100</f>
        <v>0.2024</v>
      </c>
      <c r="I11" s="8">
        <v>25.3</v>
      </c>
      <c r="J11" s="7">
        <f>I11/10</f>
        <v>2.5300000000000002</v>
      </c>
      <c r="K11" s="7">
        <f t="shared" ref="K11:K12" si="3">I11/20</f>
        <v>1.2650000000000001</v>
      </c>
      <c r="L11" s="7">
        <f t="shared" si="1"/>
        <v>0.253</v>
      </c>
      <c r="M11" s="9">
        <v>1.3351554216644594E-2</v>
      </c>
    </row>
    <row r="12" spans="1:13">
      <c r="A12" s="5" t="s">
        <v>101</v>
      </c>
      <c r="B12" s="6">
        <v>1.4291561433602815E-2</v>
      </c>
      <c r="C12" s="7"/>
      <c r="D12" s="7">
        <v>10</v>
      </c>
      <c r="E12" s="7"/>
      <c r="F12" s="7">
        <v>40.54</v>
      </c>
      <c r="G12" s="7">
        <f>F12/10</f>
        <v>4.0540000000000003</v>
      </c>
      <c r="H12" s="7">
        <f>F12/100</f>
        <v>0.40539999999999998</v>
      </c>
      <c r="I12" s="8">
        <v>18.5</v>
      </c>
      <c r="J12" s="7">
        <f>I12/10</f>
        <v>1.85</v>
      </c>
      <c r="K12" s="7">
        <f t="shared" si="3"/>
        <v>0.92500000000000004</v>
      </c>
      <c r="L12" s="7">
        <f t="shared" si="1"/>
        <v>0.185</v>
      </c>
      <c r="M12" s="9">
        <v>1.0298737786738722E-2</v>
      </c>
    </row>
    <row r="13" spans="1:13">
      <c r="A13" s="5" t="s">
        <v>102</v>
      </c>
      <c r="B13" s="6">
        <v>4.9739215034972969E-3</v>
      </c>
      <c r="C13" s="7"/>
      <c r="D13" s="7">
        <v>10</v>
      </c>
      <c r="E13" s="7"/>
      <c r="F13" s="7">
        <v>1E-4</v>
      </c>
      <c r="G13" s="7">
        <v>1E-4</v>
      </c>
      <c r="H13" s="7">
        <v>1E-4</v>
      </c>
      <c r="I13" s="8">
        <v>1E-4</v>
      </c>
      <c r="J13" s="7">
        <v>1E-4</v>
      </c>
      <c r="K13" s="7">
        <v>1E-4</v>
      </c>
      <c r="L13" s="7">
        <v>1E-4</v>
      </c>
      <c r="M13" s="9">
        <v>4.0827686684405725E-3</v>
      </c>
    </row>
    <row r="14" spans="1:13">
      <c r="A14" s="5" t="s">
        <v>103</v>
      </c>
      <c r="B14" s="6">
        <v>4.1421567173593285E-2</v>
      </c>
      <c r="C14" s="7"/>
      <c r="D14" s="7">
        <v>10</v>
      </c>
      <c r="E14" s="7"/>
      <c r="F14" s="7">
        <v>85.75</v>
      </c>
      <c r="G14" s="7">
        <f>F14/10</f>
        <v>8.5749999999999993</v>
      </c>
      <c r="H14" s="7">
        <f>F14/100</f>
        <v>0.85750000000000004</v>
      </c>
      <c r="I14" s="8">
        <v>21.66</v>
      </c>
      <c r="J14" s="7">
        <f>I14/10</f>
        <v>2.1659999999999999</v>
      </c>
      <c r="K14" s="7">
        <f>I14/20</f>
        <v>1.083</v>
      </c>
      <c r="L14" s="7">
        <f t="shared" si="1"/>
        <v>0.21660000000000001</v>
      </c>
      <c r="M14" s="9">
        <v>2.6074431920945086E-2</v>
      </c>
    </row>
    <row r="15" spans="1:13">
      <c r="A15" s="5" t="s">
        <v>104</v>
      </c>
      <c r="B15" s="6">
        <v>1.3438595195711602E-3</v>
      </c>
      <c r="C15" s="7"/>
      <c r="D15" s="7">
        <v>10</v>
      </c>
      <c r="E15" s="7"/>
      <c r="F15" s="7">
        <v>1E-4</v>
      </c>
      <c r="G15" s="7">
        <v>1E-4</v>
      </c>
      <c r="H15" s="7">
        <v>1E-4</v>
      </c>
      <c r="I15" s="8">
        <v>1E-4</v>
      </c>
      <c r="J15" s="7">
        <v>1E-4</v>
      </c>
      <c r="K15" s="7">
        <v>1E-4</v>
      </c>
      <c r="L15" s="7">
        <v>1E-4</v>
      </c>
      <c r="M15" s="9">
        <v>1.4505171491574998E-3</v>
      </c>
    </row>
    <row r="16" spans="1:13">
      <c r="A16" s="5" t="s">
        <v>105</v>
      </c>
      <c r="B16" s="6">
        <v>1.4589498134293624E-2</v>
      </c>
      <c r="C16" s="7"/>
      <c r="D16" s="7">
        <v>20</v>
      </c>
      <c r="E16" s="7"/>
      <c r="F16" s="7">
        <v>36.799999999999997</v>
      </c>
      <c r="G16" s="7">
        <f>F16/10</f>
        <v>3.6799999999999997</v>
      </c>
      <c r="H16" s="7">
        <f>F16/100</f>
        <v>0.36799999999999999</v>
      </c>
      <c r="I16" s="8">
        <v>93.44</v>
      </c>
      <c r="J16" s="7">
        <f>I16/10</f>
        <v>9.3439999999999994</v>
      </c>
      <c r="K16" s="7">
        <f t="shared" ref="K16:K17" si="4">I16/20</f>
        <v>4.6719999999999997</v>
      </c>
      <c r="L16" s="7">
        <f t="shared" ref="L16" si="5">I16/100</f>
        <v>0.93440000000000001</v>
      </c>
      <c r="M16" s="9">
        <v>9.8327661418341497E-2</v>
      </c>
    </row>
    <row r="17" spans="1:13">
      <c r="A17" s="5" t="s">
        <v>106</v>
      </c>
      <c r="B17" s="6">
        <v>2.7840473460238178E-2</v>
      </c>
      <c r="C17" s="7"/>
      <c r="D17" s="7">
        <v>20</v>
      </c>
      <c r="E17" s="7"/>
      <c r="F17" s="7">
        <v>36.799999999999997</v>
      </c>
      <c r="G17" s="7">
        <f>F17/10</f>
        <v>3.6799999999999997</v>
      </c>
      <c r="H17" s="7">
        <f>F17/100</f>
        <v>0.36799999999999999</v>
      </c>
      <c r="I17" s="8">
        <v>93.44</v>
      </c>
      <c r="J17" s="7">
        <f>I17/10</f>
        <v>9.3439999999999994</v>
      </c>
      <c r="K17" s="7">
        <f t="shared" si="4"/>
        <v>4.6719999999999997</v>
      </c>
      <c r="L17" s="7">
        <f t="shared" si="1"/>
        <v>0.93440000000000001</v>
      </c>
      <c r="M17" s="9">
        <v>9.8327661418341497E-2</v>
      </c>
    </row>
    <row r="18" spans="1:13">
      <c r="A18" s="5" t="s">
        <v>107</v>
      </c>
      <c r="B18" s="6">
        <v>1.1156858277396797E-3</v>
      </c>
      <c r="C18" s="7"/>
      <c r="D18" s="7">
        <v>10</v>
      </c>
      <c r="E18" s="7"/>
      <c r="F18" s="7">
        <v>1E-4</v>
      </c>
      <c r="G18" s="7">
        <v>1E-4</v>
      </c>
      <c r="H18" s="7">
        <v>1E-4</v>
      </c>
      <c r="I18" s="8">
        <v>1E-4</v>
      </c>
      <c r="J18" s="7">
        <v>1E-4</v>
      </c>
      <c r="K18" s="7">
        <v>1E-4</v>
      </c>
      <c r="L18" s="7">
        <v>1E-4</v>
      </c>
      <c r="M18" s="9">
        <v>1.33566462856512E-3</v>
      </c>
    </row>
    <row r="19" spans="1:13">
      <c r="A19" s="5" t="s">
        <v>108</v>
      </c>
      <c r="B19" s="6">
        <v>1.8531554033871186E-3</v>
      </c>
      <c r="C19" s="7"/>
      <c r="D19" s="7">
        <v>5</v>
      </c>
      <c r="E19" s="7"/>
      <c r="F19" s="7">
        <v>1E-4</v>
      </c>
      <c r="G19" s="7">
        <v>1E-4</v>
      </c>
      <c r="H19" s="7">
        <v>1E-4</v>
      </c>
      <c r="I19" s="8">
        <v>1E-4</v>
      </c>
      <c r="J19" s="7">
        <v>1E-4</v>
      </c>
      <c r="K19" s="7">
        <v>1E-4</v>
      </c>
      <c r="L19" s="7">
        <v>1E-4</v>
      </c>
      <c r="M19" s="9">
        <v>2.6562021760400699E-2</v>
      </c>
    </row>
    <row r="20" spans="1:13">
      <c r="A20" s="5" t="s">
        <v>109</v>
      </c>
      <c r="B20" s="13">
        <v>9.9999999999999995E-7</v>
      </c>
      <c r="C20" s="7"/>
      <c r="D20" s="7">
        <v>10</v>
      </c>
      <c r="E20" s="7"/>
      <c r="F20" s="7">
        <v>1E-4</v>
      </c>
      <c r="G20" s="7">
        <v>1E-4</v>
      </c>
      <c r="H20" s="7">
        <v>1E-4</v>
      </c>
      <c r="I20" s="8">
        <v>1E-4</v>
      </c>
      <c r="J20" s="7">
        <v>1E-4</v>
      </c>
      <c r="K20" s="7">
        <v>1E-4</v>
      </c>
      <c r="L20" s="7">
        <v>1E-4</v>
      </c>
      <c r="M20" s="14">
        <v>9.9999999999999995E-7</v>
      </c>
    </row>
    <row r="21" spans="1:13">
      <c r="A21" s="5" t="s">
        <v>110</v>
      </c>
      <c r="B21" s="14">
        <v>9.9999999999999995E-7</v>
      </c>
      <c r="C21" s="7"/>
      <c r="D21" s="7">
        <v>10</v>
      </c>
      <c r="E21" s="7"/>
      <c r="F21" s="7">
        <v>1E-4</v>
      </c>
      <c r="G21" s="7">
        <v>1E-4</v>
      </c>
      <c r="H21" s="7">
        <v>1E-4</v>
      </c>
      <c r="I21" s="8">
        <v>1E-4</v>
      </c>
      <c r="J21" s="7">
        <v>1E-4</v>
      </c>
      <c r="K21" s="7">
        <v>1E-4</v>
      </c>
      <c r="L21" s="7">
        <v>1E-4</v>
      </c>
      <c r="M21" s="14">
        <v>9.9999999999999995E-7</v>
      </c>
    </row>
    <row r="22" spans="1:13">
      <c r="A22" s="5" t="s">
        <v>111</v>
      </c>
      <c r="B22" s="6">
        <v>3.7471058234306479E-2</v>
      </c>
      <c r="C22" s="7"/>
      <c r="D22" s="7">
        <v>40</v>
      </c>
      <c r="E22" s="7"/>
      <c r="F22" s="12">
        <v>579.9</v>
      </c>
      <c r="G22" s="7">
        <f>F22/10</f>
        <v>57.989999999999995</v>
      </c>
      <c r="H22" s="7">
        <f>F22/100</f>
        <v>5.7989999999999995</v>
      </c>
      <c r="I22" s="8">
        <v>1932.6</v>
      </c>
      <c r="J22" s="7">
        <f>I22/10</f>
        <v>193.26</v>
      </c>
      <c r="K22" s="7">
        <f>I22/20</f>
        <v>96.63</v>
      </c>
      <c r="L22" s="7">
        <f t="shared" si="1"/>
        <v>19.326000000000001</v>
      </c>
      <c r="M22" s="9">
        <v>0.45010292929982776</v>
      </c>
    </row>
    <row r="23" spans="1:13">
      <c r="A23" s="5" t="s">
        <v>112</v>
      </c>
      <c r="B23" s="6">
        <v>1.3332921905698661E-3</v>
      </c>
      <c r="C23" s="7"/>
      <c r="D23" s="7">
        <v>10</v>
      </c>
      <c r="E23" s="7"/>
      <c r="F23" s="7">
        <v>1E-4</v>
      </c>
      <c r="G23" s="7">
        <v>1E-4</v>
      </c>
      <c r="H23" s="7">
        <v>1E-4</v>
      </c>
      <c r="I23" s="8">
        <v>1E-4</v>
      </c>
      <c r="J23" s="7">
        <v>1E-4</v>
      </c>
      <c r="K23" s="7">
        <v>1E-4</v>
      </c>
      <c r="L23" s="7">
        <v>1E-4</v>
      </c>
      <c r="M23" s="9">
        <v>1.9172897537930984E-3</v>
      </c>
    </row>
    <row r="24" spans="1:13">
      <c r="A24" s="5" t="s">
        <v>113</v>
      </c>
      <c r="B24" s="6">
        <v>3.9861865374444996E-3</v>
      </c>
      <c r="C24" s="7"/>
      <c r="D24" s="7">
        <v>10</v>
      </c>
      <c r="E24" s="7"/>
      <c r="F24" s="12">
        <v>0.40339999999999998</v>
      </c>
      <c r="G24" s="7">
        <f>F24/10</f>
        <v>4.0340000000000001E-2</v>
      </c>
      <c r="H24" s="7">
        <f>F24/100</f>
        <v>4.0339999999999994E-3</v>
      </c>
      <c r="I24" s="8">
        <v>16.59</v>
      </c>
      <c r="J24" s="7">
        <f>I24/10</f>
        <v>1.659</v>
      </c>
      <c r="K24" s="7">
        <f t="shared" ref="K24:K28" si="6">I24/20</f>
        <v>0.82950000000000002</v>
      </c>
      <c r="L24" s="7">
        <f t="shared" si="1"/>
        <v>0.16589999999999999</v>
      </c>
      <c r="M24" s="9">
        <v>2.0821359225564502E-2</v>
      </c>
    </row>
    <row r="25" spans="1:13">
      <c r="A25" s="5" t="s">
        <v>114</v>
      </c>
      <c r="B25" s="6">
        <v>0.17801201493371527</v>
      </c>
      <c r="C25" s="7"/>
      <c r="D25" s="7">
        <v>40</v>
      </c>
      <c r="E25" s="7"/>
      <c r="F25" s="12">
        <v>1058.5999999999999</v>
      </c>
      <c r="G25" s="7">
        <f>F25/10</f>
        <v>105.85999999999999</v>
      </c>
      <c r="H25" s="7">
        <f>F25/100</f>
        <v>10.585999999999999</v>
      </c>
      <c r="I25" s="8">
        <v>7454</v>
      </c>
      <c r="J25" s="7">
        <f>I25/10</f>
        <v>745.4</v>
      </c>
      <c r="K25" s="7">
        <f t="shared" si="6"/>
        <v>372.7</v>
      </c>
      <c r="L25" s="7">
        <f t="shared" si="1"/>
        <v>74.540000000000006</v>
      </c>
      <c r="M25" s="9">
        <v>0.31446608084179767</v>
      </c>
    </row>
    <row r="26" spans="1:13">
      <c r="A26" s="5" t="s">
        <v>115</v>
      </c>
      <c r="B26" s="6">
        <v>1.4235711018166877E-3</v>
      </c>
      <c r="C26" s="7"/>
      <c r="D26" s="7">
        <v>10</v>
      </c>
      <c r="E26" s="7"/>
      <c r="F26" s="7">
        <v>40.39</v>
      </c>
      <c r="G26" s="7">
        <f>F26/10</f>
        <v>4.0389999999999997</v>
      </c>
      <c r="H26" s="7">
        <f>F26/100</f>
        <v>0.40389999999999998</v>
      </c>
      <c r="I26" s="8">
        <v>37.14</v>
      </c>
      <c r="J26" s="7">
        <f>I26/10</f>
        <v>3.714</v>
      </c>
      <c r="K26" s="7">
        <f t="shared" si="6"/>
        <v>1.857</v>
      </c>
      <c r="L26" s="7">
        <f t="shared" si="1"/>
        <v>0.37140000000000001</v>
      </c>
      <c r="M26" s="9">
        <v>1.3466848183595151E-2</v>
      </c>
    </row>
    <row r="27" spans="1:13">
      <c r="A27" s="5" t="s">
        <v>116</v>
      </c>
      <c r="B27" s="6">
        <v>2.7873101445474984E-3</v>
      </c>
      <c r="C27" s="7"/>
      <c r="D27" s="7">
        <v>5</v>
      </c>
      <c r="E27" s="7"/>
      <c r="F27" s="11">
        <v>45.6</v>
      </c>
      <c r="G27" s="7">
        <f>F27/10</f>
        <v>4.5600000000000005</v>
      </c>
      <c r="H27" s="7">
        <f>F27/100</f>
        <v>0.45600000000000002</v>
      </c>
      <c r="I27" s="8">
        <v>115.3</v>
      </c>
      <c r="J27" s="7">
        <f>I27/10</f>
        <v>11.53</v>
      </c>
      <c r="K27" s="7">
        <f t="shared" si="6"/>
        <v>5.7649999999999997</v>
      </c>
      <c r="L27" s="7">
        <f t="shared" si="1"/>
        <v>1.153</v>
      </c>
      <c r="M27" s="9">
        <v>4.397271881519272E-2</v>
      </c>
    </row>
    <row r="28" spans="1:13">
      <c r="A28" s="5" t="s">
        <v>117</v>
      </c>
      <c r="B28" s="6">
        <v>0.36634524220880532</v>
      </c>
      <c r="C28" s="7"/>
      <c r="D28" s="7">
        <v>40</v>
      </c>
      <c r="E28" s="7"/>
      <c r="F28" s="12">
        <v>3137</v>
      </c>
      <c r="G28" s="7">
        <f>F28/10</f>
        <v>313.7</v>
      </c>
      <c r="H28" s="7">
        <f>F28/100</f>
        <v>31.37</v>
      </c>
      <c r="I28" s="8">
        <v>18830</v>
      </c>
      <c r="J28" s="7">
        <f>I28/10</f>
        <v>1883</v>
      </c>
      <c r="K28" s="7">
        <f t="shared" si="6"/>
        <v>941.5</v>
      </c>
      <c r="L28" s="7">
        <f t="shared" si="1"/>
        <v>188.3</v>
      </c>
      <c r="M28" s="9">
        <v>1.0777113732349672</v>
      </c>
    </row>
    <row r="29" spans="1:13">
      <c r="A29" s="5" t="s">
        <v>118</v>
      </c>
      <c r="B29" s="6">
        <v>1.3882864927983415E-3</v>
      </c>
      <c r="C29" s="7"/>
      <c r="D29" s="7">
        <v>10</v>
      </c>
      <c r="E29" s="7"/>
      <c r="F29" s="7">
        <v>1E-4</v>
      </c>
      <c r="G29" s="7">
        <v>1E-4</v>
      </c>
      <c r="H29" s="7">
        <v>1E-4</v>
      </c>
      <c r="I29" s="8">
        <v>1E-4</v>
      </c>
      <c r="J29" s="7">
        <v>1E-4</v>
      </c>
      <c r="K29" s="7">
        <v>1E-4</v>
      </c>
      <c r="L29" s="7">
        <v>1E-4</v>
      </c>
      <c r="M29" s="9">
        <v>2.1773837512023466E-3</v>
      </c>
    </row>
    <row r="30" spans="1:13">
      <c r="A30" s="5" t="s">
        <v>119</v>
      </c>
      <c r="B30" s="6">
        <v>6.1492605462472993E-3</v>
      </c>
      <c r="C30" s="7"/>
      <c r="D30" s="7">
        <v>10</v>
      </c>
      <c r="E30" s="7"/>
      <c r="F30" s="7">
        <v>25.32</v>
      </c>
      <c r="G30" s="7">
        <f>F30/10</f>
        <v>2.532</v>
      </c>
      <c r="H30" s="7">
        <f>F30/100</f>
        <v>0.25319999999999998</v>
      </c>
      <c r="I30" s="8">
        <v>59.8</v>
      </c>
      <c r="J30" s="7">
        <f>I30/10</f>
        <v>5.9799999999999995</v>
      </c>
      <c r="K30" s="7">
        <f>I30/20</f>
        <v>2.9899999999999998</v>
      </c>
      <c r="L30" s="7">
        <f t="shared" si="1"/>
        <v>0.59799999999999998</v>
      </c>
      <c r="M30" s="9">
        <v>3.5647286011700814E-2</v>
      </c>
    </row>
    <row r="31" spans="1:13">
      <c r="A31" s="5" t="s">
        <v>120</v>
      </c>
      <c r="B31" s="6">
        <v>7.0325400721042014E-2</v>
      </c>
      <c r="C31" s="7"/>
      <c r="D31" s="7">
        <v>10</v>
      </c>
      <c r="E31" s="7"/>
      <c r="F31" s="7">
        <v>1E-4</v>
      </c>
      <c r="G31" s="7">
        <v>1E-4</v>
      </c>
      <c r="H31" s="7">
        <v>1E-4</v>
      </c>
      <c r="I31" s="8">
        <v>1E-4</v>
      </c>
      <c r="J31" s="7">
        <v>1E-4</v>
      </c>
      <c r="K31" s="7">
        <v>1E-4</v>
      </c>
      <c r="L31" s="7">
        <v>1E-4</v>
      </c>
      <c r="M31" s="9">
        <v>0.13784550772513413</v>
      </c>
    </row>
    <row r="32" spans="1:13">
      <c r="A32" s="5" t="s">
        <v>121</v>
      </c>
      <c r="B32" s="6">
        <v>3.4490980470383301E-3</v>
      </c>
      <c r="C32" s="7"/>
      <c r="D32" s="7">
        <v>10</v>
      </c>
      <c r="E32" s="7"/>
      <c r="F32" s="7">
        <v>12.101000000000001</v>
      </c>
      <c r="G32" s="7">
        <f>F32/10</f>
        <v>1.2101000000000002</v>
      </c>
      <c r="H32" s="7">
        <f>F32/100</f>
        <v>0.12101000000000001</v>
      </c>
      <c r="I32" s="8">
        <v>18.488</v>
      </c>
      <c r="J32" s="7">
        <f>I32/10</f>
        <v>1.8488</v>
      </c>
      <c r="K32" s="7">
        <f t="shared" ref="K32:K34" si="7">I32/20</f>
        <v>0.9244</v>
      </c>
      <c r="L32" s="7">
        <f t="shared" si="1"/>
        <v>0.18487999999999999</v>
      </c>
      <c r="M32" s="9">
        <v>9.8266983264980734E-3</v>
      </c>
    </row>
    <row r="33" spans="1:13">
      <c r="A33" s="5" t="s">
        <v>122</v>
      </c>
      <c r="B33" s="6">
        <v>1.9751168181786644E-3</v>
      </c>
      <c r="C33" s="7"/>
      <c r="D33" s="7">
        <v>10</v>
      </c>
      <c r="E33" s="7"/>
      <c r="F33" s="7">
        <v>12.101000000000001</v>
      </c>
      <c r="G33" s="7">
        <f>F33/10</f>
        <v>1.2101000000000002</v>
      </c>
      <c r="H33" s="7">
        <f>F33/100</f>
        <v>0.12101000000000001</v>
      </c>
      <c r="I33" s="8">
        <v>18.488</v>
      </c>
      <c r="J33" s="7">
        <f>I33/10</f>
        <v>1.8488</v>
      </c>
      <c r="K33" s="7">
        <f t="shared" si="7"/>
        <v>0.9244</v>
      </c>
      <c r="L33" s="7">
        <f t="shared" si="1"/>
        <v>0.18487999999999999</v>
      </c>
      <c r="M33" s="9">
        <v>1.2806092300151518E-2</v>
      </c>
    </row>
    <row r="34" spans="1:13">
      <c r="A34" s="5" t="s">
        <v>123</v>
      </c>
      <c r="B34" s="6">
        <v>2.0092535285106236E-3</v>
      </c>
      <c r="C34" s="7"/>
      <c r="D34" s="7">
        <v>10</v>
      </c>
      <c r="E34" s="7"/>
      <c r="F34" s="7">
        <v>12.101000000000001</v>
      </c>
      <c r="G34" s="7">
        <f>F34/10</f>
        <v>1.2101000000000002</v>
      </c>
      <c r="H34" s="7">
        <f>F34/100</f>
        <v>0.12101000000000001</v>
      </c>
      <c r="I34" s="8">
        <v>18.488</v>
      </c>
      <c r="J34" s="7">
        <f>I34/10</f>
        <v>1.8488</v>
      </c>
      <c r="K34" s="7">
        <f t="shared" si="7"/>
        <v>0.9244</v>
      </c>
      <c r="L34" s="7">
        <f t="shared" si="1"/>
        <v>0.18487999999999999</v>
      </c>
      <c r="M34" s="9">
        <v>9.4108979380290829E-3</v>
      </c>
    </row>
    <row r="35" spans="1:13">
      <c r="A35" s="5" t="s">
        <v>124</v>
      </c>
      <c r="B35" s="6">
        <v>2.968846173029391E-3</v>
      </c>
      <c r="C35" s="7"/>
      <c r="D35" s="7">
        <v>10</v>
      </c>
      <c r="E35" s="7"/>
      <c r="F35" s="7">
        <v>1E-4</v>
      </c>
      <c r="G35" s="7">
        <v>1E-4</v>
      </c>
      <c r="H35" s="7">
        <v>1E-4</v>
      </c>
      <c r="I35" s="8">
        <v>1E-4</v>
      </c>
      <c r="J35" s="7">
        <v>1E-4</v>
      </c>
      <c r="K35" s="7">
        <v>1E-4</v>
      </c>
      <c r="L35" s="7">
        <v>1E-4</v>
      </c>
      <c r="M35" s="9">
        <v>6.4287634891944815E-3</v>
      </c>
    </row>
    <row r="36" spans="1:13">
      <c r="A36" s="5" t="s">
        <v>125</v>
      </c>
      <c r="B36" s="6">
        <v>1.2694344876839172E-2</v>
      </c>
      <c r="C36" s="7"/>
      <c r="D36" s="7">
        <v>10</v>
      </c>
      <c r="E36" s="7"/>
      <c r="F36" s="7">
        <v>1E-4</v>
      </c>
      <c r="G36" s="7">
        <v>1E-4</v>
      </c>
      <c r="H36" s="7">
        <v>1E-4</v>
      </c>
      <c r="I36" s="8">
        <v>1E-4</v>
      </c>
      <c r="J36" s="7">
        <v>1E-4</v>
      </c>
      <c r="K36" s="7">
        <v>1E-4</v>
      </c>
      <c r="L36" s="7">
        <v>1E-4</v>
      </c>
      <c r="M36" s="9">
        <v>8.5055276144399179E-3</v>
      </c>
    </row>
    <row r="37" spans="1:13">
      <c r="A37" s="5" t="s">
        <v>126</v>
      </c>
      <c r="B37" s="6">
        <v>3.79148771465707E-2</v>
      </c>
      <c r="C37" s="7"/>
      <c r="D37" s="7">
        <v>10</v>
      </c>
      <c r="E37" s="7"/>
      <c r="F37" s="12">
        <v>1.198</v>
      </c>
      <c r="G37" s="7">
        <f>F37/10</f>
        <v>0.11979999999999999</v>
      </c>
      <c r="H37" s="7">
        <f>F37/100</f>
        <v>1.1979999999999999E-2</v>
      </c>
      <c r="I37" s="8">
        <v>12.64</v>
      </c>
      <c r="J37" s="7">
        <f>I37/10</f>
        <v>1.264</v>
      </c>
      <c r="K37" s="7">
        <f>I37/20</f>
        <v>0.63200000000000001</v>
      </c>
      <c r="L37" s="7">
        <f t="shared" si="1"/>
        <v>0.12640000000000001</v>
      </c>
      <c r="M37" s="9">
        <v>5.5451780855081652E-3</v>
      </c>
    </row>
    <row r="38" spans="1:13">
      <c r="A38" s="5" t="s">
        <v>127</v>
      </c>
      <c r="B38" s="6">
        <v>1.0616277250063504E-3</v>
      </c>
      <c r="C38" s="7"/>
      <c r="D38" s="7">
        <v>10</v>
      </c>
      <c r="E38" s="7"/>
      <c r="F38" s="7">
        <v>1E-4</v>
      </c>
      <c r="G38" s="7">
        <v>1E-4</v>
      </c>
      <c r="H38" s="7">
        <v>1E-4</v>
      </c>
      <c r="I38" s="8">
        <v>1E-4</v>
      </c>
      <c r="J38" s="7">
        <v>1E-4</v>
      </c>
      <c r="K38" s="7">
        <v>1E-4</v>
      </c>
      <c r="L38" s="7">
        <v>1E-4</v>
      </c>
      <c r="M38" s="9">
        <v>6.1012293843126396E-3</v>
      </c>
    </row>
    <row r="39" spans="1:13">
      <c r="A39" s="5" t="s">
        <v>128</v>
      </c>
      <c r="B39" s="6">
        <v>6.6539734700012509</v>
      </c>
      <c r="C39" s="7"/>
      <c r="D39" s="7">
        <v>10</v>
      </c>
      <c r="E39" s="7"/>
      <c r="F39" s="7">
        <v>1E-4</v>
      </c>
      <c r="G39" s="7">
        <v>1E-4</v>
      </c>
      <c r="H39" s="7">
        <v>1E-4</v>
      </c>
      <c r="I39" s="8">
        <v>1E-4</v>
      </c>
      <c r="J39" s="7">
        <v>1E-4</v>
      </c>
      <c r="K39" s="7">
        <v>1E-4</v>
      </c>
      <c r="L39" s="7">
        <v>1E-4</v>
      </c>
      <c r="M39" s="9">
        <v>2.6739786919495074</v>
      </c>
    </row>
    <row r="40" spans="1:13">
      <c r="A40" s="5" t="s">
        <v>129</v>
      </c>
      <c r="B40" s="6">
        <v>7.3487768242690718E-3</v>
      </c>
      <c r="C40" s="7"/>
      <c r="D40" s="7">
        <v>5</v>
      </c>
      <c r="E40" s="7"/>
      <c r="F40" s="7">
        <v>5.1050000000000004</v>
      </c>
      <c r="G40" s="7">
        <f>F40/10</f>
        <v>0.51050000000000006</v>
      </c>
      <c r="H40" s="7">
        <f>F40/100</f>
        <v>5.1050000000000005E-2</v>
      </c>
      <c r="I40" s="8">
        <v>55.45</v>
      </c>
      <c r="J40" s="7">
        <f>I40/10</f>
        <v>5.5449999999999999</v>
      </c>
      <c r="K40" s="7">
        <f>I40/20</f>
        <v>2.7725</v>
      </c>
      <c r="L40" s="7">
        <f t="shared" si="1"/>
        <v>0.55449999999999999</v>
      </c>
      <c r="M40" s="9">
        <v>1.5816320684659883E-2</v>
      </c>
    </row>
    <row r="41" spans="1:13">
      <c r="A41" s="5" t="s">
        <v>130</v>
      </c>
      <c r="B41" s="13">
        <v>0.1</v>
      </c>
      <c r="C41" s="7"/>
      <c r="D41" s="7">
        <v>10</v>
      </c>
      <c r="E41" s="7"/>
      <c r="F41" s="7">
        <v>1E-4</v>
      </c>
      <c r="G41" s="7">
        <v>1E-4</v>
      </c>
      <c r="H41" s="7">
        <v>1E-4</v>
      </c>
      <c r="I41" s="8">
        <v>1E-4</v>
      </c>
      <c r="J41" s="7">
        <v>1E-4</v>
      </c>
      <c r="K41" s="7">
        <v>1E-4</v>
      </c>
      <c r="L41" s="7">
        <v>1E-4</v>
      </c>
      <c r="M41" s="13">
        <v>0.1</v>
      </c>
    </row>
    <row r="42" spans="1:13">
      <c r="A42" s="5" t="s">
        <v>131</v>
      </c>
      <c r="B42" s="6">
        <v>0.4468975191942729</v>
      </c>
      <c r="C42" s="7"/>
      <c r="D42" s="7">
        <v>10</v>
      </c>
      <c r="E42" s="7"/>
      <c r="F42" s="7">
        <v>20.13</v>
      </c>
      <c r="G42" s="7">
        <f>F42/10</f>
        <v>2.0129999999999999</v>
      </c>
      <c r="H42" s="7">
        <f>F42/100</f>
        <v>0.20129999999999998</v>
      </c>
      <c r="I42" s="8">
        <v>11.7</v>
      </c>
      <c r="J42" s="7">
        <f>I42/10</f>
        <v>1.17</v>
      </c>
      <c r="K42" s="7">
        <f t="shared" ref="K42:K43" si="8">I42/20</f>
        <v>0.58499999999999996</v>
      </c>
      <c r="L42" s="7">
        <f t="shared" si="1"/>
        <v>0.11699999999999999</v>
      </c>
      <c r="M42" s="9">
        <v>0.56824963044422649</v>
      </c>
    </row>
    <row r="43" spans="1:13">
      <c r="A43" s="5" t="s">
        <v>132</v>
      </c>
      <c r="B43" s="6">
        <v>0.59809073519689604</v>
      </c>
      <c r="C43" s="7"/>
      <c r="D43" s="7">
        <v>10</v>
      </c>
      <c r="E43" s="7"/>
      <c r="F43" s="7">
        <v>20.13</v>
      </c>
      <c r="G43" s="7">
        <f>F43/10</f>
        <v>2.0129999999999999</v>
      </c>
      <c r="H43" s="7">
        <f>F43/100</f>
        <v>0.20129999999999998</v>
      </c>
      <c r="I43" s="8">
        <v>11.7</v>
      </c>
      <c r="J43" s="7">
        <f>I43/10</f>
        <v>1.17</v>
      </c>
      <c r="K43" s="7">
        <f t="shared" si="8"/>
        <v>0.58499999999999996</v>
      </c>
      <c r="L43" s="7">
        <f t="shared" si="1"/>
        <v>0.11699999999999999</v>
      </c>
      <c r="M43" s="9">
        <v>9.9421954315935632E-2</v>
      </c>
    </row>
    <row r="44" spans="1:13">
      <c r="A44" s="5" t="s">
        <v>133</v>
      </c>
      <c r="B44" s="6">
        <v>3.0891152491603551</v>
      </c>
      <c r="C44" s="7"/>
      <c r="D44" s="7">
        <v>40</v>
      </c>
      <c r="E44" s="7"/>
      <c r="F44" s="12">
        <v>5210</v>
      </c>
      <c r="G44" s="7">
        <f>F44/10</f>
        <v>521</v>
      </c>
      <c r="H44" s="7">
        <f>F44/100</f>
        <v>52.1</v>
      </c>
      <c r="I44" s="8">
        <v>1E-4</v>
      </c>
      <c r="J44" s="7">
        <v>1E-4</v>
      </c>
      <c r="K44" s="7">
        <v>1E-4</v>
      </c>
      <c r="L44" s="7">
        <v>1E-4</v>
      </c>
      <c r="M44" s="9">
        <v>3.8508358786112913</v>
      </c>
    </row>
    <row r="45" spans="1:13">
      <c r="A45" s="5" t="s">
        <v>134</v>
      </c>
      <c r="B45" s="6">
        <v>1.5847125644196983E-3</v>
      </c>
      <c r="C45" s="7"/>
      <c r="D45" s="7">
        <v>10</v>
      </c>
      <c r="E45" s="7"/>
      <c r="F45" s="7">
        <v>1E-4</v>
      </c>
      <c r="G45" s="7">
        <v>1E-4</v>
      </c>
      <c r="H45" s="7">
        <v>1E-4</v>
      </c>
      <c r="I45" s="8">
        <v>1E-4</v>
      </c>
      <c r="J45" s="7">
        <v>1E-4</v>
      </c>
      <c r="K45" s="7">
        <v>1E-4</v>
      </c>
      <c r="L45" s="7">
        <v>1E-4</v>
      </c>
      <c r="M45" s="9">
        <v>1.5811388300841899E-3</v>
      </c>
    </row>
    <row r="46" spans="1:13">
      <c r="A46" s="5" t="s">
        <v>135</v>
      </c>
      <c r="B46" s="6">
        <v>2.5936767968027883E-3</v>
      </c>
      <c r="C46" s="7"/>
      <c r="D46" s="7">
        <v>5</v>
      </c>
      <c r="E46" s="7"/>
      <c r="F46" s="7">
        <v>1E-4</v>
      </c>
      <c r="G46" s="7">
        <v>1E-4</v>
      </c>
      <c r="H46" s="7">
        <v>1E-4</v>
      </c>
      <c r="I46" s="8">
        <v>1E-4</v>
      </c>
      <c r="J46" s="7">
        <v>1E-4</v>
      </c>
      <c r="K46" s="7">
        <v>1E-4</v>
      </c>
      <c r="L46" s="7">
        <v>1E-4</v>
      </c>
      <c r="M46" s="9">
        <v>3.1990951845795403E-2</v>
      </c>
    </row>
    <row r="47" spans="1:13">
      <c r="A47" s="5" t="s">
        <v>136</v>
      </c>
      <c r="B47" s="6">
        <v>1.8325240676348063E-3</v>
      </c>
      <c r="C47" s="7"/>
      <c r="D47" s="7">
        <v>10</v>
      </c>
      <c r="E47" s="7"/>
      <c r="F47" s="7">
        <v>1E-4</v>
      </c>
      <c r="G47" s="7">
        <v>1E-4</v>
      </c>
      <c r="H47" s="7">
        <v>1E-4</v>
      </c>
      <c r="I47" s="8">
        <v>1E-4</v>
      </c>
      <c r="J47" s="7">
        <v>1E-4</v>
      </c>
      <c r="K47" s="7">
        <v>1E-4</v>
      </c>
      <c r="L47" s="7">
        <v>1E-4</v>
      </c>
      <c r="M47" s="9">
        <v>9.111750655060747E-3</v>
      </c>
    </row>
    <row r="48" spans="1:13">
      <c r="A48" s="5" t="s">
        <v>137</v>
      </c>
      <c r="B48" s="6">
        <v>2.7640925429477346E-3</v>
      </c>
      <c r="C48" s="7"/>
      <c r="D48" s="7">
        <v>10</v>
      </c>
      <c r="E48" s="7"/>
      <c r="F48" s="7">
        <v>1E-4</v>
      </c>
      <c r="G48" s="7">
        <v>1E-4</v>
      </c>
      <c r="H48" s="7">
        <v>1E-4</v>
      </c>
      <c r="I48" s="8">
        <v>1E-4</v>
      </c>
      <c r="J48" s="7">
        <v>1E-4</v>
      </c>
      <c r="K48" s="7">
        <v>1E-4</v>
      </c>
      <c r="L48" s="7">
        <v>1E-4</v>
      </c>
      <c r="M48" s="9">
        <v>2.9105394688957582E-2</v>
      </c>
    </row>
    <row r="49" spans="1:13">
      <c r="A49" s="5" t="s">
        <v>138</v>
      </c>
      <c r="B49" s="6">
        <v>5.557784274540279E-3</v>
      </c>
      <c r="C49" s="7"/>
      <c r="D49" s="7">
        <v>10</v>
      </c>
      <c r="E49" s="7"/>
      <c r="F49" s="7">
        <v>126.03</v>
      </c>
      <c r="G49" s="7">
        <f>F49/10</f>
        <v>12.603</v>
      </c>
      <c r="H49" s="7">
        <f>F49/100</f>
        <v>1.2603</v>
      </c>
      <c r="I49" s="8">
        <v>314</v>
      </c>
      <c r="J49" s="7">
        <f>I49/10</f>
        <v>31.4</v>
      </c>
      <c r="K49" s="7">
        <f t="shared" ref="K49" si="9">I49/20</f>
        <v>15.7</v>
      </c>
      <c r="L49" s="7">
        <f t="shared" si="1"/>
        <v>3.14</v>
      </c>
      <c r="M49" s="9">
        <v>2.1660770992741715E-2</v>
      </c>
    </row>
    <row r="50" spans="1:13">
      <c r="A50" s="5" t="s">
        <v>139</v>
      </c>
      <c r="B50" s="6">
        <v>1.3448346996627234E-3</v>
      </c>
      <c r="C50" s="7"/>
      <c r="D50" s="7">
        <v>10</v>
      </c>
      <c r="E50" s="7"/>
      <c r="F50" s="7">
        <v>1E-4</v>
      </c>
      <c r="G50" s="7">
        <v>1E-4</v>
      </c>
      <c r="H50" s="7">
        <v>1E-4</v>
      </c>
      <c r="I50" s="8">
        <v>1E-4</v>
      </c>
      <c r="J50" s="7">
        <v>1E-4</v>
      </c>
      <c r="K50" s="7">
        <v>1E-4</v>
      </c>
      <c r="L50" s="7">
        <v>1E-4</v>
      </c>
      <c r="M50" s="9">
        <v>1.5046594299043224E-3</v>
      </c>
    </row>
    <row r="51" spans="1:13">
      <c r="A51" s="5" t="s">
        <v>140</v>
      </c>
      <c r="B51" s="13">
        <v>0.35</v>
      </c>
      <c r="C51" s="7"/>
      <c r="D51" s="7">
        <v>10</v>
      </c>
      <c r="E51" s="7"/>
      <c r="F51" s="7">
        <v>1E-4</v>
      </c>
      <c r="G51" s="7">
        <v>1E-4</v>
      </c>
      <c r="H51" s="7">
        <v>1E-4</v>
      </c>
      <c r="I51" s="8">
        <v>1E-4</v>
      </c>
      <c r="J51" s="7">
        <v>1E-4</v>
      </c>
      <c r="K51" s="7">
        <v>1E-4</v>
      </c>
      <c r="L51" s="7">
        <v>1E-4</v>
      </c>
      <c r="M51" s="13">
        <v>0.35</v>
      </c>
    </row>
    <row r="52" spans="1:13">
      <c r="A52" s="5" t="s">
        <v>141</v>
      </c>
      <c r="B52" s="6">
        <v>4.7587029836562295E-3</v>
      </c>
      <c r="C52" s="7"/>
      <c r="D52" s="7">
        <v>5</v>
      </c>
      <c r="E52" s="7"/>
      <c r="F52" s="7">
        <v>1E-4</v>
      </c>
      <c r="G52" s="7">
        <v>1E-4</v>
      </c>
      <c r="H52" s="7">
        <v>1E-4</v>
      </c>
      <c r="I52" s="8">
        <v>1E-4</v>
      </c>
      <c r="J52" s="7">
        <v>1E-4</v>
      </c>
      <c r="K52" s="7">
        <v>1E-4</v>
      </c>
      <c r="L52" s="7">
        <v>1E-4</v>
      </c>
      <c r="M52" s="9">
        <v>4.4846415687321096E-2</v>
      </c>
    </row>
    <row r="53" spans="1:13">
      <c r="A53" s="5" t="s">
        <v>142</v>
      </c>
      <c r="B53" s="6">
        <v>6.3644832915962105E-3</v>
      </c>
      <c r="C53" s="7"/>
      <c r="D53" s="7">
        <v>10</v>
      </c>
      <c r="E53" s="7"/>
      <c r="F53" s="7">
        <v>1.619</v>
      </c>
      <c r="G53" s="7">
        <f>F53/10</f>
        <v>0.16189999999999999</v>
      </c>
      <c r="H53" s="7">
        <f>F53/100</f>
        <v>1.619E-2</v>
      </c>
      <c r="I53" s="8">
        <v>6.8920000000000003</v>
      </c>
      <c r="J53" s="7">
        <f>I53/10</f>
        <v>0.68920000000000003</v>
      </c>
      <c r="K53" s="7">
        <f t="shared" ref="K53" si="10">I53/20</f>
        <v>0.34460000000000002</v>
      </c>
      <c r="L53" s="7">
        <f t="shared" si="1"/>
        <v>6.8920000000000009E-2</v>
      </c>
      <c r="M53" s="9">
        <v>6.0119622420637335E-2</v>
      </c>
    </row>
    <row r="54" spans="1:13">
      <c r="A54" s="5" t="s">
        <v>143</v>
      </c>
      <c r="B54" s="15">
        <v>1.2058192235986271E-2</v>
      </c>
      <c r="C54" s="7"/>
      <c r="D54" s="7">
        <v>10</v>
      </c>
      <c r="E54" s="7"/>
      <c r="F54" s="7">
        <v>25.35</v>
      </c>
      <c r="G54" s="7">
        <f>F54/10</f>
        <v>2.5350000000000001</v>
      </c>
      <c r="H54" s="7">
        <f>F54/100</f>
        <v>0.2535</v>
      </c>
      <c r="I54" s="8">
        <v>1E-4</v>
      </c>
      <c r="J54" s="7">
        <v>1E-4</v>
      </c>
      <c r="K54" s="7">
        <v>1E-4</v>
      </c>
      <c r="L54" s="7">
        <v>1E-4</v>
      </c>
      <c r="M54" s="9">
        <v>1.2058192235986271E-2</v>
      </c>
    </row>
    <row r="55" spans="1:13">
      <c r="A55" s="5" t="s">
        <v>144</v>
      </c>
      <c r="B55" s="6">
        <v>1.2653869819729147E-2</v>
      </c>
      <c r="C55" s="7"/>
      <c r="D55" s="7">
        <v>10</v>
      </c>
      <c r="E55" s="7"/>
      <c r="F55" s="7">
        <v>15.05</v>
      </c>
      <c r="G55" s="7">
        <f>F55/10</f>
        <v>1.5050000000000001</v>
      </c>
      <c r="H55" s="7">
        <f>F55/100</f>
        <v>0.15049999999999999</v>
      </c>
      <c r="I55" s="8">
        <v>36.07</v>
      </c>
      <c r="J55" s="7">
        <f>I55/10</f>
        <v>3.6070000000000002</v>
      </c>
      <c r="K55" s="7">
        <f t="shared" ref="K55" si="11">I55/20</f>
        <v>1.8035000000000001</v>
      </c>
      <c r="L55" s="7">
        <f t="shared" si="1"/>
        <v>0.36070000000000002</v>
      </c>
      <c r="M55" s="9">
        <v>1.8496513184922181E-2</v>
      </c>
    </row>
    <row r="56" spans="1:13">
      <c r="A56" s="5" t="s">
        <v>145</v>
      </c>
      <c r="B56" s="6">
        <v>3.5047107632871824E-3</v>
      </c>
      <c r="C56" s="7"/>
      <c r="D56" s="7">
        <v>5</v>
      </c>
      <c r="E56" s="7"/>
      <c r="F56" s="7">
        <v>1E-4</v>
      </c>
      <c r="G56" s="7">
        <v>1E-4</v>
      </c>
      <c r="H56" s="7">
        <v>1E-4</v>
      </c>
      <c r="I56" s="8">
        <v>1E-4</v>
      </c>
      <c r="J56" s="7">
        <v>1E-4</v>
      </c>
      <c r="K56" s="7">
        <v>1E-4</v>
      </c>
      <c r="L56" s="7">
        <v>1E-4</v>
      </c>
      <c r="M56" s="9">
        <v>3.3898023541203692E-2</v>
      </c>
    </row>
    <row r="57" spans="1:13">
      <c r="A57" s="5" t="s">
        <v>146</v>
      </c>
      <c r="B57" s="6">
        <v>1.4316214141093121E-3</v>
      </c>
      <c r="C57" s="7"/>
      <c r="D57" s="7">
        <v>10</v>
      </c>
      <c r="E57" s="7"/>
      <c r="F57" s="7">
        <v>1E-4</v>
      </c>
      <c r="G57" s="7">
        <v>1E-4</v>
      </c>
      <c r="H57" s="7">
        <v>1E-4</v>
      </c>
      <c r="I57" s="8">
        <v>1E-4</v>
      </c>
      <c r="J57" s="7">
        <v>1E-4</v>
      </c>
      <c r="K57" s="7">
        <v>1E-4</v>
      </c>
      <c r="L57" s="7">
        <v>1E-4</v>
      </c>
      <c r="M57" s="9">
        <v>4.6140004334633521E-3</v>
      </c>
    </row>
    <row r="58" spans="1:13">
      <c r="A58" s="5" t="s">
        <v>147</v>
      </c>
      <c r="B58" s="6">
        <v>2.1143027567223797E-2</v>
      </c>
      <c r="C58" s="7"/>
      <c r="D58" s="7">
        <v>20</v>
      </c>
      <c r="E58" s="7"/>
      <c r="F58" s="7">
        <v>55.64</v>
      </c>
      <c r="G58" s="7">
        <f>F58/10</f>
        <v>5.5640000000000001</v>
      </c>
      <c r="H58" s="7">
        <f>F58/100</f>
        <v>0.55640000000000001</v>
      </c>
      <c r="I58" s="8">
        <v>74.400000000000006</v>
      </c>
      <c r="J58" s="7">
        <f>I58/10</f>
        <v>7.44</v>
      </c>
      <c r="K58" s="7">
        <f t="shared" ref="K58" si="12">I58/20</f>
        <v>3.72</v>
      </c>
      <c r="L58" s="7">
        <f t="shared" si="1"/>
        <v>0.74400000000000011</v>
      </c>
      <c r="M58" s="9">
        <v>0.14119436603490945</v>
      </c>
    </row>
    <row r="59" spans="1:13">
      <c r="A59" s="16"/>
      <c r="B59" s="17"/>
      <c r="C59" s="18"/>
      <c r="D59" s="18"/>
      <c r="E59" s="18"/>
      <c r="F59" s="18"/>
      <c r="G59" s="18"/>
      <c r="H59" s="18"/>
      <c r="I59" s="8"/>
      <c r="J59" s="18"/>
      <c r="K59" s="18"/>
      <c r="L59" s="18"/>
      <c r="M59" s="16"/>
    </row>
    <row r="60" spans="1:13">
      <c r="A60" s="16"/>
      <c r="B60" s="17"/>
      <c r="C60" s="18"/>
      <c r="D60" s="18"/>
      <c r="E60" s="18"/>
      <c r="F60" s="18"/>
      <c r="G60" s="18"/>
      <c r="H60" s="18"/>
      <c r="I60" s="8"/>
      <c r="J60" s="18"/>
      <c r="K60" s="18"/>
      <c r="L60" s="18"/>
      <c r="M60" s="16"/>
    </row>
    <row r="61" spans="1:13">
      <c r="A61" s="16"/>
      <c r="B61" s="17"/>
      <c r="C61" s="18"/>
      <c r="D61" s="18"/>
      <c r="E61" s="18"/>
      <c r="F61" s="18"/>
      <c r="G61" s="18"/>
      <c r="H61" s="18"/>
      <c r="I61" s="8"/>
      <c r="J61" s="18"/>
      <c r="K61" s="18"/>
      <c r="L61" s="18"/>
      <c r="M61" s="16"/>
    </row>
    <row r="62" spans="1:13">
      <c r="A62" s="16"/>
      <c r="B62" s="17"/>
      <c r="C62" s="18"/>
      <c r="D62" s="18"/>
      <c r="E62" s="18"/>
      <c r="F62" s="18"/>
      <c r="G62" s="18"/>
      <c r="H62" s="18"/>
      <c r="I62" s="8"/>
      <c r="J62" s="18"/>
      <c r="K62" s="18"/>
      <c r="L62" s="18"/>
      <c r="M62" s="16"/>
    </row>
    <row r="63" spans="1:13">
      <c r="A63" s="19"/>
      <c r="B63" s="17"/>
      <c r="C63" s="18"/>
      <c r="D63" s="18"/>
      <c r="E63" s="18"/>
      <c r="F63" s="18"/>
      <c r="G63" s="18"/>
      <c r="H63" s="18"/>
      <c r="I63" s="8"/>
      <c r="J63" s="18"/>
      <c r="K63" s="18"/>
      <c r="L63" s="18"/>
      <c r="M63" s="16"/>
    </row>
    <row r="64" spans="1:13">
      <c r="A64" s="19"/>
      <c r="B64" s="17"/>
      <c r="C64" s="18"/>
      <c r="D64" s="18"/>
      <c r="E64" s="18"/>
      <c r="F64" s="18"/>
      <c r="G64" s="18"/>
      <c r="H64" s="18"/>
      <c r="I64" s="8"/>
      <c r="J64" s="18"/>
      <c r="K64" s="18"/>
      <c r="L64" s="18"/>
      <c r="M64" s="16"/>
    </row>
    <row r="65" spans="1:13">
      <c r="A65" s="20"/>
      <c r="B65" s="17"/>
      <c r="C65" s="18"/>
      <c r="D65" s="18"/>
      <c r="E65" s="18"/>
      <c r="F65" s="18"/>
      <c r="G65" s="18"/>
      <c r="H65" s="18"/>
      <c r="I65" s="8"/>
      <c r="J65" s="18"/>
      <c r="K65" s="18"/>
      <c r="L65" s="18"/>
      <c r="M65" s="16"/>
    </row>
    <row r="66" spans="1:13">
      <c r="A66" s="16"/>
      <c r="B66" s="17"/>
      <c r="C66" s="18"/>
      <c r="D66" s="18"/>
      <c r="E66" s="18"/>
      <c r="F66" s="18"/>
      <c r="G66" s="18"/>
      <c r="H66" s="18"/>
      <c r="I66" s="8"/>
      <c r="J66" s="18"/>
      <c r="K66" s="18"/>
      <c r="L66" s="18"/>
      <c r="M66" s="16"/>
    </row>
    <row r="67" spans="1:13">
      <c r="A67" s="21"/>
      <c r="B67" s="17"/>
      <c r="C67" s="18"/>
      <c r="D67" s="18"/>
      <c r="E67" s="18"/>
      <c r="F67" s="18"/>
      <c r="G67" s="18"/>
      <c r="H67" s="18"/>
      <c r="I67" s="8"/>
      <c r="J67" s="18"/>
      <c r="K67" s="18"/>
      <c r="L67" s="18"/>
      <c r="M67" s="16"/>
    </row>
    <row r="68" spans="1:13">
      <c r="A68" s="22"/>
      <c r="B68" s="17"/>
      <c r="C68" s="18"/>
      <c r="D68" s="18"/>
      <c r="E68" s="18"/>
      <c r="F68" s="18"/>
      <c r="G68" s="18"/>
      <c r="H68" s="18"/>
      <c r="I68" s="8"/>
      <c r="J68" s="18"/>
      <c r="K68" s="18"/>
      <c r="L68" s="18"/>
      <c r="M68" s="16"/>
    </row>
    <row r="69" spans="1:13">
      <c r="A69" s="16"/>
      <c r="B69" s="17"/>
      <c r="C69" s="18"/>
      <c r="D69" s="18"/>
      <c r="E69" s="18"/>
      <c r="F69" s="18"/>
      <c r="G69" s="18"/>
      <c r="H69" s="18"/>
      <c r="I69" s="8"/>
      <c r="J69" s="18"/>
      <c r="K69" s="18"/>
      <c r="L69" s="18"/>
      <c r="M69" s="16"/>
    </row>
    <row r="70" spans="1:13">
      <c r="A70" s="16"/>
      <c r="B70" s="17"/>
      <c r="C70" s="18"/>
      <c r="D70" s="18"/>
      <c r="E70" s="18"/>
      <c r="F70" s="18"/>
      <c r="G70" s="18"/>
      <c r="H70" s="18"/>
      <c r="I70" s="8"/>
      <c r="J70" s="18"/>
      <c r="K70" s="18"/>
      <c r="L70" s="18"/>
      <c r="M70" s="16"/>
    </row>
    <row r="71" spans="1:13">
      <c r="A71" s="16"/>
      <c r="B71" s="17"/>
      <c r="C71" s="18"/>
      <c r="D71" s="18"/>
      <c r="E71" s="18"/>
      <c r="F71" s="18"/>
      <c r="G71" s="18"/>
      <c r="H71" s="18"/>
      <c r="I71" s="8"/>
      <c r="J71" s="18"/>
      <c r="K71" s="18"/>
      <c r="L71" s="18"/>
      <c r="M71" s="16"/>
    </row>
    <row r="72" spans="1:13">
      <c r="A72" s="16"/>
      <c r="B72" s="17"/>
      <c r="C72" s="18"/>
      <c r="D72" s="18"/>
      <c r="E72" s="18"/>
      <c r="F72" s="18"/>
      <c r="G72" s="18"/>
      <c r="H72" s="18"/>
      <c r="I72" s="8"/>
      <c r="J72" s="18"/>
      <c r="K72" s="18"/>
      <c r="L72" s="18"/>
      <c r="M72" s="16"/>
    </row>
    <row r="73" spans="1:13">
      <c r="A73" s="16"/>
      <c r="B73" s="17"/>
      <c r="C73" s="18"/>
      <c r="D73" s="18"/>
      <c r="E73" s="18"/>
      <c r="F73" s="18"/>
      <c r="G73" s="18"/>
      <c r="H73" s="18"/>
      <c r="I73" s="8"/>
      <c r="J73" s="18"/>
      <c r="K73" s="18"/>
      <c r="L73" s="18"/>
      <c r="M73" s="16"/>
    </row>
    <row r="74" spans="1:13">
      <c r="A74" s="16"/>
      <c r="B74" s="17"/>
      <c r="C74" s="18"/>
      <c r="D74" s="18"/>
      <c r="E74" s="18"/>
      <c r="F74" s="18"/>
      <c r="G74" s="18"/>
      <c r="H74" s="18"/>
      <c r="I74" s="8"/>
      <c r="J74" s="18"/>
      <c r="K74" s="18"/>
      <c r="L74" s="18"/>
      <c r="M74" s="16"/>
    </row>
    <row r="75" spans="1:13">
      <c r="A75" s="16"/>
      <c r="B75" s="17"/>
      <c r="C75" s="18"/>
      <c r="D75" s="18"/>
      <c r="E75" s="18"/>
      <c r="F75" s="18"/>
      <c r="G75" s="18"/>
      <c r="H75" s="18"/>
      <c r="I75" s="8"/>
      <c r="J75" s="18"/>
      <c r="K75" s="18"/>
      <c r="L75" s="18"/>
      <c r="M75" s="16"/>
    </row>
    <row r="76" spans="1:13">
      <c r="A76" s="16"/>
      <c r="B76" s="17"/>
      <c r="C76" s="18"/>
      <c r="D76" s="18"/>
      <c r="E76" s="18"/>
      <c r="F76" s="18"/>
      <c r="G76" s="18"/>
      <c r="H76" s="18"/>
      <c r="I76" s="8"/>
      <c r="J76" s="18"/>
      <c r="K76" s="18"/>
      <c r="L76" s="18"/>
      <c r="M76" s="16"/>
    </row>
    <row r="77" spans="1:13">
      <c r="A77" s="16"/>
      <c r="B77" s="17"/>
      <c r="C77" s="18"/>
      <c r="D77" s="18"/>
      <c r="E77" s="18"/>
      <c r="F77" s="18"/>
      <c r="G77" s="18"/>
      <c r="H77" s="18"/>
      <c r="I77" s="8"/>
      <c r="J77" s="18"/>
      <c r="K77" s="18"/>
      <c r="L77" s="18"/>
      <c r="M77" s="16"/>
    </row>
    <row r="78" spans="1:13">
      <c r="A78" s="16"/>
      <c r="B78" s="17"/>
      <c r="C78" s="18"/>
      <c r="D78" s="18"/>
      <c r="E78" s="18"/>
      <c r="F78" s="18"/>
      <c r="G78" s="18"/>
      <c r="H78" s="18"/>
      <c r="I78" s="8"/>
      <c r="J78" s="18"/>
      <c r="K78" s="18"/>
      <c r="L78" s="18"/>
      <c r="M78" s="16"/>
    </row>
    <row r="79" spans="1:13">
      <c r="A79" s="16"/>
      <c r="B79" s="17"/>
      <c r="C79" s="18"/>
      <c r="D79" s="18"/>
      <c r="E79" s="18"/>
      <c r="F79" s="18"/>
      <c r="G79" s="18"/>
      <c r="H79" s="18"/>
      <c r="I79" s="8"/>
      <c r="J79" s="18"/>
      <c r="K79" s="18"/>
      <c r="L79" s="18"/>
      <c r="M79" s="16"/>
    </row>
    <row r="80" spans="1:13">
      <c r="A80" s="16"/>
      <c r="B80" s="17"/>
      <c r="C80" s="18"/>
      <c r="D80" s="18"/>
      <c r="E80" s="18"/>
      <c r="F80" s="18"/>
      <c r="G80" s="18"/>
      <c r="H80" s="18"/>
      <c r="I80" s="8"/>
      <c r="J80" s="18"/>
      <c r="K80" s="18"/>
      <c r="L80" s="18"/>
      <c r="M80" s="16"/>
    </row>
    <row r="81" spans="1:13">
      <c r="A81" s="16"/>
      <c r="B81" s="17"/>
      <c r="C81" s="18"/>
      <c r="D81" s="18"/>
      <c r="E81" s="18"/>
      <c r="F81" s="18"/>
      <c r="G81" s="18"/>
      <c r="H81" s="18"/>
      <c r="I81" s="8"/>
      <c r="J81" s="18"/>
      <c r="K81" s="18"/>
      <c r="L81" s="18"/>
      <c r="M81" s="16"/>
    </row>
    <row r="82" spans="1:13">
      <c r="A82" s="16"/>
      <c r="B82" s="17"/>
      <c r="C82" s="18"/>
      <c r="D82" s="18"/>
      <c r="E82" s="18"/>
      <c r="F82" s="18"/>
      <c r="G82" s="18"/>
      <c r="H82" s="18"/>
      <c r="I82" s="8"/>
      <c r="J82" s="18"/>
      <c r="K82" s="18"/>
      <c r="L82" s="18"/>
      <c r="M82" s="16"/>
    </row>
    <row r="83" spans="1:13">
      <c r="A83" s="16"/>
      <c r="B83" s="17"/>
      <c r="C83" s="18"/>
      <c r="D83" s="18"/>
      <c r="E83" s="18"/>
      <c r="F83" s="18"/>
      <c r="G83" s="18"/>
      <c r="H83" s="18"/>
      <c r="I83" s="8"/>
      <c r="J83" s="18"/>
      <c r="K83" s="18"/>
      <c r="L83" s="18"/>
      <c r="M83" s="16"/>
    </row>
    <row r="84" spans="1:13">
      <c r="A84" s="16"/>
      <c r="B84" s="17"/>
      <c r="C84" s="18"/>
      <c r="D84" s="18"/>
      <c r="E84" s="18"/>
      <c r="F84" s="18"/>
      <c r="G84" s="18"/>
      <c r="H84" s="18"/>
      <c r="I84" s="8"/>
      <c r="J84" s="18"/>
      <c r="K84" s="18"/>
      <c r="L84" s="18"/>
      <c r="M84" s="16"/>
    </row>
    <row r="85" spans="1:13">
      <c r="A85" s="16"/>
      <c r="B85" s="17"/>
      <c r="C85" s="18"/>
      <c r="D85" s="18"/>
      <c r="E85" s="18"/>
      <c r="F85" s="18"/>
      <c r="G85" s="18"/>
      <c r="H85" s="18"/>
      <c r="I85" s="8"/>
      <c r="J85" s="18"/>
      <c r="K85" s="18"/>
      <c r="L85" s="18"/>
      <c r="M85" s="16"/>
    </row>
    <row r="86" spans="1:13">
      <c r="A86" s="16"/>
      <c r="B86" s="17"/>
      <c r="C86" s="18"/>
      <c r="D86" s="18"/>
      <c r="E86" s="18"/>
      <c r="F86" s="18"/>
      <c r="G86" s="18"/>
      <c r="H86" s="18"/>
      <c r="I86" s="8"/>
      <c r="J86" s="18"/>
      <c r="K86" s="18"/>
      <c r="L86" s="18"/>
      <c r="M86" s="16"/>
    </row>
    <row r="87" spans="1:13">
      <c r="A87" s="16"/>
      <c r="B87" s="17"/>
      <c r="C87" s="18"/>
      <c r="D87" s="18"/>
      <c r="E87" s="18"/>
      <c r="F87" s="18"/>
      <c r="G87" s="18"/>
      <c r="H87" s="18"/>
      <c r="I87" s="8"/>
      <c r="J87" s="18"/>
      <c r="K87" s="18"/>
      <c r="L87" s="18"/>
      <c r="M87" s="16"/>
    </row>
    <row r="88" spans="1:13">
      <c r="A88" s="16"/>
      <c r="B88" s="17"/>
      <c r="C88" s="18"/>
      <c r="D88" s="18"/>
      <c r="E88" s="18"/>
      <c r="F88" s="18"/>
      <c r="G88" s="18"/>
      <c r="H88" s="18"/>
      <c r="I88" s="8"/>
      <c r="J88" s="18"/>
      <c r="K88" s="18"/>
      <c r="L88" s="18"/>
      <c r="M88" s="16"/>
    </row>
    <row r="89" spans="1:13">
      <c r="A89" s="16"/>
      <c r="B89" s="17"/>
      <c r="C89" s="18"/>
      <c r="D89" s="18"/>
      <c r="E89" s="18"/>
      <c r="F89" s="18"/>
      <c r="G89" s="18"/>
      <c r="H89" s="18"/>
      <c r="I89" s="8"/>
      <c r="J89" s="18"/>
      <c r="K89" s="18"/>
      <c r="L89" s="18"/>
      <c r="M89" s="16"/>
    </row>
    <row r="90" spans="1:13">
      <c r="A90" s="16"/>
      <c r="B90" s="17"/>
      <c r="C90" s="18"/>
      <c r="D90" s="18"/>
      <c r="E90" s="18"/>
      <c r="F90" s="18"/>
      <c r="G90" s="18"/>
      <c r="H90" s="18"/>
      <c r="I90" s="8"/>
      <c r="J90" s="18"/>
      <c r="K90" s="18"/>
      <c r="L90" s="18"/>
      <c r="M90" s="16"/>
    </row>
    <row r="91" spans="1:13">
      <c r="A91" s="16"/>
      <c r="B91" s="17"/>
      <c r="C91" s="18"/>
      <c r="D91" s="18"/>
      <c r="E91" s="18"/>
      <c r="F91" s="18"/>
      <c r="G91" s="18"/>
      <c r="H91" s="18"/>
      <c r="I91" s="8"/>
      <c r="J91" s="18"/>
      <c r="K91" s="18"/>
      <c r="L91" s="18"/>
      <c r="M91" s="16"/>
    </row>
    <row r="92" spans="1:13">
      <c r="A92" s="16"/>
      <c r="B92" s="17"/>
      <c r="C92" s="18"/>
      <c r="D92" s="18"/>
      <c r="E92" s="18"/>
      <c r="F92" s="18"/>
      <c r="G92" s="18"/>
      <c r="H92" s="18"/>
      <c r="I92" s="8"/>
      <c r="J92" s="18"/>
      <c r="K92" s="18"/>
      <c r="L92" s="18"/>
      <c r="M92" s="16"/>
    </row>
    <row r="93" spans="1:13">
      <c r="A93" s="16"/>
      <c r="B93" s="17"/>
      <c r="C93" s="18"/>
      <c r="D93" s="18"/>
      <c r="E93" s="18"/>
      <c r="F93" s="18"/>
      <c r="G93" s="18"/>
      <c r="H93" s="18"/>
      <c r="I93" s="8"/>
      <c r="J93" s="18"/>
      <c r="K93" s="18"/>
      <c r="L93" s="18"/>
      <c r="M93" s="16"/>
    </row>
    <row r="94" spans="1:13">
      <c r="A94" s="16"/>
      <c r="B94" s="17"/>
      <c r="C94" s="18"/>
      <c r="D94" s="18"/>
      <c r="E94" s="18"/>
      <c r="F94" s="18"/>
      <c r="G94" s="18"/>
      <c r="H94" s="18"/>
      <c r="I94" s="8"/>
      <c r="J94" s="18"/>
      <c r="K94" s="18"/>
      <c r="L94" s="18"/>
      <c r="M94" s="16"/>
    </row>
    <row r="95" spans="1:13">
      <c r="A95" s="16"/>
      <c r="B95" s="17"/>
      <c r="C95" s="18"/>
      <c r="D95" s="18"/>
      <c r="E95" s="18"/>
      <c r="F95" s="18"/>
      <c r="G95" s="18"/>
      <c r="H95" s="18"/>
      <c r="I95" s="8"/>
      <c r="J95" s="18"/>
      <c r="K95" s="18"/>
      <c r="L95" s="18"/>
      <c r="M95" s="16"/>
    </row>
    <row r="96" spans="1:13">
      <c r="A96" s="16"/>
      <c r="B96" s="17"/>
      <c r="C96" s="18"/>
      <c r="D96" s="18"/>
      <c r="E96" s="18"/>
      <c r="F96" s="18"/>
      <c r="G96" s="18"/>
      <c r="H96" s="18"/>
      <c r="I96" s="8"/>
      <c r="J96" s="18"/>
      <c r="K96" s="18"/>
      <c r="L96" s="18"/>
      <c r="M96" s="16"/>
    </row>
    <row r="97" spans="1:13">
      <c r="A97" s="16"/>
      <c r="B97" s="17"/>
      <c r="C97" s="18"/>
      <c r="D97" s="18"/>
      <c r="E97" s="18"/>
      <c r="F97" s="18"/>
      <c r="G97" s="18"/>
      <c r="H97" s="18"/>
      <c r="I97" s="8"/>
      <c r="J97" s="18"/>
      <c r="K97" s="18"/>
      <c r="L97" s="18"/>
      <c r="M97" s="16"/>
    </row>
    <row r="98" spans="1:13">
      <c r="A98" s="16"/>
      <c r="B98" s="17"/>
      <c r="C98" s="18"/>
      <c r="D98" s="18"/>
      <c r="E98" s="18"/>
      <c r="F98" s="18"/>
      <c r="G98" s="18"/>
      <c r="H98" s="18"/>
      <c r="I98" s="8"/>
      <c r="J98" s="18"/>
      <c r="K98" s="18"/>
      <c r="L98" s="18"/>
      <c r="M98" s="16"/>
    </row>
    <row r="99" spans="1:13">
      <c r="A99" s="16"/>
      <c r="B99" s="17"/>
      <c r="C99" s="18"/>
      <c r="D99" s="18"/>
      <c r="E99" s="18"/>
      <c r="F99" s="18"/>
      <c r="G99" s="18"/>
      <c r="H99" s="18"/>
      <c r="I99" s="8"/>
      <c r="J99" s="18"/>
      <c r="K99" s="18"/>
      <c r="L99" s="18"/>
      <c r="M99" s="16"/>
    </row>
    <row r="100" spans="1:13">
      <c r="A100" s="16"/>
      <c r="B100" s="17"/>
      <c r="C100" s="18"/>
      <c r="D100" s="18"/>
      <c r="E100" s="18"/>
      <c r="F100" s="18"/>
      <c r="G100" s="18"/>
      <c r="H100" s="18"/>
      <c r="I100" s="8"/>
      <c r="J100" s="18"/>
      <c r="K100" s="18"/>
      <c r="L100" s="18"/>
      <c r="M100" s="16"/>
    </row>
    <row r="101" spans="1:13">
      <c r="A101" s="16"/>
      <c r="B101" s="17"/>
      <c r="C101" s="18"/>
      <c r="D101" s="18"/>
      <c r="E101" s="18"/>
      <c r="F101" s="18"/>
      <c r="G101" s="18"/>
      <c r="H101" s="18"/>
      <c r="I101" s="8"/>
      <c r="J101" s="18"/>
      <c r="K101" s="18"/>
      <c r="L101" s="18"/>
      <c r="M101" s="16"/>
    </row>
    <row r="102" spans="1:13">
      <c r="A102" s="16"/>
      <c r="B102" s="17"/>
      <c r="C102" s="18"/>
      <c r="D102" s="18"/>
      <c r="E102" s="18"/>
      <c r="F102" s="18"/>
      <c r="G102" s="18"/>
      <c r="H102" s="18"/>
      <c r="I102" s="8"/>
      <c r="J102" s="18"/>
      <c r="K102" s="18"/>
      <c r="L102" s="18"/>
      <c r="M102" s="16"/>
    </row>
    <row r="103" spans="1:13">
      <c r="A103" s="16"/>
      <c r="B103" s="17"/>
      <c r="C103" s="18"/>
      <c r="D103" s="18"/>
      <c r="E103" s="18"/>
      <c r="F103" s="18"/>
      <c r="G103" s="18"/>
      <c r="H103" s="18"/>
      <c r="I103" s="8"/>
      <c r="J103" s="18"/>
      <c r="K103" s="18"/>
      <c r="L103" s="18"/>
      <c r="M103" s="16"/>
    </row>
    <row r="104" spans="1:13">
      <c r="A104" s="16"/>
      <c r="B104" s="17"/>
      <c r="C104" s="18"/>
      <c r="D104" s="18"/>
      <c r="E104" s="18"/>
      <c r="F104" s="18"/>
      <c r="G104" s="18"/>
      <c r="H104" s="18"/>
      <c r="I104" s="8"/>
      <c r="J104" s="18"/>
      <c r="K104" s="18"/>
      <c r="L104" s="18"/>
      <c r="M104" s="16"/>
    </row>
    <row r="105" spans="1:13">
      <c r="A105" s="16"/>
      <c r="B105" s="17"/>
      <c r="C105" s="18"/>
      <c r="D105" s="18"/>
      <c r="E105" s="18"/>
      <c r="F105" s="18"/>
      <c r="G105" s="18"/>
      <c r="H105" s="18"/>
      <c r="I105" s="8"/>
      <c r="J105" s="18"/>
      <c r="K105" s="18"/>
      <c r="L105" s="18"/>
      <c r="M105" s="16"/>
    </row>
    <row r="106" spans="1:13">
      <c r="A106" s="16"/>
      <c r="B106" s="17"/>
      <c r="C106" s="18"/>
      <c r="D106" s="18"/>
      <c r="E106" s="18"/>
      <c r="F106" s="18"/>
      <c r="G106" s="18"/>
      <c r="H106" s="18"/>
      <c r="I106" s="8"/>
      <c r="J106" s="18"/>
      <c r="K106" s="18"/>
      <c r="L106" s="18"/>
      <c r="M106" s="16"/>
    </row>
    <row r="107" spans="1:13">
      <c r="A107" s="16"/>
      <c r="B107" s="17"/>
      <c r="C107" s="18"/>
      <c r="D107" s="18"/>
      <c r="E107" s="18"/>
      <c r="F107" s="18"/>
      <c r="G107" s="18"/>
      <c r="H107" s="18"/>
      <c r="I107" s="8"/>
      <c r="J107" s="18"/>
      <c r="K107" s="18"/>
      <c r="L107" s="18"/>
      <c r="M107" s="16"/>
    </row>
    <row r="108" spans="1:13">
      <c r="A108" s="16"/>
      <c r="B108" s="17"/>
      <c r="C108" s="18"/>
      <c r="D108" s="18"/>
      <c r="E108" s="18"/>
      <c r="F108" s="18"/>
      <c r="G108" s="18"/>
      <c r="H108" s="18"/>
      <c r="I108" s="8"/>
      <c r="J108" s="18"/>
      <c r="K108" s="18"/>
      <c r="L108" s="18"/>
      <c r="M108" s="16"/>
    </row>
    <row r="109" spans="1:13">
      <c r="A109" s="16"/>
      <c r="B109" s="17"/>
      <c r="C109" s="18"/>
      <c r="D109" s="18"/>
      <c r="E109" s="18"/>
      <c r="F109" s="18"/>
      <c r="G109" s="18"/>
      <c r="H109" s="18"/>
      <c r="I109" s="8"/>
      <c r="J109" s="18"/>
      <c r="K109" s="18"/>
      <c r="L109" s="18"/>
      <c r="M109" s="16"/>
    </row>
    <row r="110" spans="1:13">
      <c r="A110" s="16"/>
      <c r="B110" s="17"/>
      <c r="C110" s="18"/>
      <c r="D110" s="18"/>
      <c r="E110" s="18"/>
      <c r="F110" s="18"/>
      <c r="G110" s="18"/>
      <c r="H110" s="18"/>
      <c r="I110" s="8"/>
      <c r="J110" s="18"/>
      <c r="K110" s="18"/>
      <c r="L110" s="18"/>
      <c r="M110" s="16"/>
    </row>
    <row r="111" spans="1:13">
      <c r="A111" s="16"/>
      <c r="B111" s="17"/>
      <c r="C111" s="18"/>
      <c r="D111" s="18"/>
      <c r="E111" s="18"/>
      <c r="F111" s="18"/>
      <c r="G111" s="18"/>
      <c r="H111" s="18"/>
      <c r="I111" s="8"/>
      <c r="J111" s="18"/>
      <c r="K111" s="18"/>
      <c r="L111" s="18"/>
      <c r="M111" s="16"/>
    </row>
    <row r="112" spans="1:13">
      <c r="A112" s="16"/>
      <c r="B112" s="17"/>
      <c r="C112" s="18"/>
      <c r="D112" s="18"/>
      <c r="E112" s="18"/>
      <c r="F112" s="18"/>
      <c r="G112" s="18"/>
      <c r="H112" s="18"/>
      <c r="I112" s="8"/>
      <c r="J112" s="18"/>
      <c r="K112" s="18"/>
      <c r="L112" s="18"/>
      <c r="M112" s="16"/>
    </row>
    <row r="113" spans="1:13">
      <c r="A113" s="16"/>
      <c r="B113" s="17"/>
      <c r="C113" s="18"/>
      <c r="D113" s="18"/>
      <c r="E113" s="18"/>
      <c r="F113" s="18"/>
      <c r="G113" s="18"/>
      <c r="H113" s="18"/>
      <c r="I113" s="8"/>
      <c r="J113" s="18"/>
      <c r="K113" s="18"/>
      <c r="L113" s="18"/>
      <c r="M113" s="16"/>
    </row>
    <row r="114" spans="1:13">
      <c r="A114" s="16"/>
      <c r="B114" s="17"/>
      <c r="C114" s="18"/>
      <c r="D114" s="18"/>
      <c r="E114" s="18"/>
      <c r="F114" s="18"/>
      <c r="G114" s="18"/>
      <c r="H114" s="18"/>
      <c r="I114" s="8"/>
      <c r="J114" s="18"/>
      <c r="K114" s="18"/>
      <c r="L114" s="18"/>
      <c r="M114" s="16"/>
    </row>
    <row r="115" spans="1:13">
      <c r="A115" s="16"/>
      <c r="B115" s="17"/>
      <c r="C115" s="18"/>
      <c r="D115" s="18"/>
      <c r="E115" s="18"/>
      <c r="F115" s="18"/>
      <c r="G115" s="18"/>
      <c r="H115" s="18"/>
      <c r="I115" s="8"/>
      <c r="J115" s="18"/>
      <c r="K115" s="18"/>
      <c r="L115" s="18"/>
      <c r="M115" s="16"/>
    </row>
    <row r="116" spans="1:13">
      <c r="A116" s="16"/>
      <c r="B116" s="17"/>
      <c r="C116" s="18"/>
      <c r="D116" s="18"/>
      <c r="E116" s="18"/>
      <c r="F116" s="18"/>
      <c r="G116" s="18"/>
      <c r="H116" s="18"/>
      <c r="I116" s="8"/>
      <c r="J116" s="18"/>
      <c r="K116" s="18"/>
      <c r="L116" s="18"/>
      <c r="M116" s="16"/>
    </row>
    <row r="117" spans="1:13">
      <c r="A117" s="16"/>
      <c r="B117" s="17"/>
      <c r="C117" s="18"/>
      <c r="D117" s="18"/>
      <c r="E117" s="18"/>
      <c r="F117" s="18"/>
      <c r="G117" s="18"/>
      <c r="H117" s="18"/>
      <c r="I117" s="8"/>
      <c r="J117" s="18"/>
      <c r="K117" s="18"/>
      <c r="L117" s="18"/>
      <c r="M117" s="16"/>
    </row>
    <row r="118" spans="1:13">
      <c r="A118" s="16"/>
      <c r="B118" s="17"/>
      <c r="C118" s="18"/>
      <c r="D118" s="18"/>
      <c r="E118" s="18"/>
      <c r="F118" s="18"/>
      <c r="G118" s="18"/>
      <c r="H118" s="18"/>
      <c r="I118" s="8"/>
      <c r="J118" s="18"/>
      <c r="K118" s="18"/>
      <c r="L118" s="18"/>
      <c r="M118" s="16"/>
    </row>
    <row r="119" spans="1:13">
      <c r="A119" s="16"/>
      <c r="B119" s="17"/>
      <c r="C119" s="18"/>
      <c r="D119" s="18"/>
      <c r="E119" s="18"/>
      <c r="F119" s="18"/>
      <c r="G119" s="18"/>
      <c r="H119" s="18"/>
      <c r="I119" s="8"/>
      <c r="J119" s="18"/>
      <c r="K119" s="18"/>
      <c r="L119" s="18"/>
      <c r="M119" s="16"/>
    </row>
    <row r="120" spans="1:13">
      <c r="A120" s="16"/>
      <c r="B120" s="17"/>
      <c r="C120" s="18"/>
      <c r="D120" s="18"/>
      <c r="E120" s="18"/>
      <c r="F120" s="18"/>
      <c r="G120" s="18"/>
      <c r="H120" s="18"/>
      <c r="I120" s="8"/>
      <c r="J120" s="18"/>
      <c r="K120" s="18"/>
      <c r="L120" s="18"/>
      <c r="M120" s="16"/>
    </row>
    <row r="121" spans="1:13">
      <c r="A121" s="16"/>
      <c r="B121" s="17"/>
      <c r="C121" s="18"/>
      <c r="D121" s="18"/>
      <c r="E121" s="18"/>
      <c r="F121" s="18"/>
      <c r="G121" s="18"/>
      <c r="H121" s="18"/>
      <c r="I121" s="8"/>
      <c r="J121" s="18"/>
      <c r="K121" s="18"/>
      <c r="L121" s="18"/>
      <c r="M121" s="16"/>
    </row>
    <row r="122" spans="1:13">
      <c r="A122" s="16"/>
      <c r="B122" s="17"/>
      <c r="C122" s="18"/>
      <c r="D122" s="18"/>
      <c r="E122" s="18"/>
      <c r="F122" s="18"/>
      <c r="G122" s="18"/>
      <c r="H122" s="18"/>
      <c r="I122" s="8"/>
      <c r="J122" s="18"/>
      <c r="K122" s="18"/>
      <c r="L122" s="18"/>
      <c r="M122" s="16"/>
    </row>
    <row r="123" spans="1:13">
      <c r="A123" s="16"/>
      <c r="B123" s="17"/>
      <c r="C123" s="18"/>
      <c r="D123" s="18"/>
      <c r="E123" s="18"/>
      <c r="F123" s="18"/>
      <c r="G123" s="18"/>
      <c r="H123" s="18"/>
      <c r="I123" s="8"/>
      <c r="J123" s="18"/>
      <c r="K123" s="18"/>
      <c r="L123" s="18"/>
      <c r="M123" s="16"/>
    </row>
    <row r="124" spans="1:13">
      <c r="A124" s="16"/>
      <c r="B124" s="17"/>
      <c r="C124" s="18"/>
      <c r="D124" s="18"/>
      <c r="E124" s="18"/>
      <c r="F124" s="18"/>
      <c r="G124" s="18"/>
      <c r="H124" s="18"/>
      <c r="I124" s="8"/>
      <c r="J124" s="18"/>
      <c r="K124" s="18"/>
      <c r="L124" s="18"/>
      <c r="M124" s="16"/>
    </row>
    <row r="125" spans="1:13">
      <c r="A125" s="16"/>
      <c r="B125" s="17"/>
      <c r="C125" s="18"/>
      <c r="D125" s="18"/>
      <c r="E125" s="18"/>
      <c r="F125" s="18"/>
      <c r="G125" s="18"/>
      <c r="H125" s="18"/>
      <c r="I125" s="8"/>
      <c r="J125" s="18"/>
      <c r="K125" s="18"/>
      <c r="L125" s="18"/>
      <c r="M125" s="16"/>
    </row>
    <row r="126" spans="1:13">
      <c r="A126" s="16"/>
      <c r="B126" s="17"/>
      <c r="C126" s="18"/>
      <c r="D126" s="18"/>
      <c r="E126" s="18"/>
      <c r="F126" s="18"/>
      <c r="G126" s="18"/>
      <c r="H126" s="18"/>
      <c r="I126" s="8"/>
      <c r="J126" s="18"/>
      <c r="K126" s="18"/>
      <c r="L126" s="18"/>
      <c r="M126" s="16"/>
    </row>
    <row r="127" spans="1:13">
      <c r="A127" s="16"/>
      <c r="B127" s="17"/>
      <c r="C127" s="18"/>
      <c r="D127" s="18"/>
      <c r="E127" s="18"/>
      <c r="F127" s="18"/>
      <c r="G127" s="18"/>
      <c r="H127" s="18"/>
      <c r="I127" s="8"/>
      <c r="J127" s="18"/>
      <c r="K127" s="18"/>
      <c r="L127" s="18"/>
      <c r="M127" s="16"/>
    </row>
    <row r="128" spans="1:13">
      <c r="A128" s="16"/>
      <c r="B128" s="17"/>
      <c r="C128" s="18"/>
      <c r="D128" s="18"/>
      <c r="E128" s="18"/>
      <c r="F128" s="18"/>
      <c r="G128" s="18"/>
      <c r="H128" s="18"/>
      <c r="I128" s="8"/>
      <c r="J128" s="18"/>
      <c r="K128" s="18"/>
      <c r="L128" s="18"/>
      <c r="M128" s="16"/>
    </row>
    <row r="129" spans="1:13">
      <c r="A129" s="16"/>
      <c r="B129" s="17"/>
      <c r="C129" s="18"/>
      <c r="D129" s="18"/>
      <c r="E129" s="18"/>
      <c r="F129" s="18"/>
      <c r="G129" s="18"/>
      <c r="H129" s="18"/>
      <c r="I129" s="8"/>
      <c r="J129" s="18"/>
      <c r="K129" s="18"/>
      <c r="L129" s="18"/>
      <c r="M129" s="16"/>
    </row>
    <row r="130" spans="1:13">
      <c r="A130" s="16"/>
      <c r="B130" s="17"/>
      <c r="C130" s="18"/>
      <c r="D130" s="18"/>
      <c r="E130" s="18"/>
      <c r="F130" s="18"/>
      <c r="G130" s="18"/>
      <c r="H130" s="18"/>
      <c r="I130" s="8"/>
      <c r="J130" s="18"/>
      <c r="K130" s="18"/>
      <c r="L130" s="18"/>
      <c r="M130" s="16"/>
    </row>
    <row r="131" spans="1:13">
      <c r="A131" s="16"/>
      <c r="B131" s="17"/>
      <c r="C131" s="18"/>
      <c r="D131" s="18"/>
      <c r="E131" s="18"/>
      <c r="F131" s="18"/>
      <c r="G131" s="18"/>
      <c r="H131" s="18"/>
      <c r="I131" s="8"/>
      <c r="J131" s="18"/>
      <c r="K131" s="18"/>
      <c r="L131" s="18"/>
      <c r="M131" s="16"/>
    </row>
    <row r="132" spans="1:13">
      <c r="A132" s="16"/>
      <c r="B132" s="17"/>
      <c r="C132" s="18"/>
      <c r="D132" s="18"/>
      <c r="E132" s="18"/>
      <c r="F132" s="18"/>
      <c r="G132" s="18"/>
      <c r="H132" s="18"/>
      <c r="I132" s="8"/>
      <c r="J132" s="18"/>
      <c r="K132" s="18"/>
      <c r="L132" s="18"/>
      <c r="M132" s="16"/>
    </row>
    <row r="133" spans="1:13">
      <c r="A133" s="16"/>
      <c r="B133" s="17"/>
      <c r="C133" s="18"/>
      <c r="D133" s="18"/>
      <c r="E133" s="18"/>
      <c r="F133" s="18"/>
      <c r="G133" s="18"/>
      <c r="H133" s="18"/>
      <c r="I133" s="8"/>
      <c r="J133" s="18"/>
      <c r="K133" s="18"/>
      <c r="L133" s="18"/>
      <c r="M133" s="16"/>
    </row>
    <row r="134" spans="1:13">
      <c r="A134" s="16"/>
      <c r="B134" s="17"/>
      <c r="C134" s="18"/>
      <c r="D134" s="18"/>
      <c r="E134" s="18"/>
      <c r="F134" s="18"/>
      <c r="G134" s="18"/>
      <c r="H134" s="18"/>
      <c r="I134" s="8"/>
      <c r="J134" s="18"/>
      <c r="K134" s="18"/>
      <c r="L134" s="18"/>
      <c r="M134" s="16"/>
    </row>
    <row r="135" spans="1:13">
      <c r="A135" s="16"/>
      <c r="B135" s="17"/>
      <c r="C135" s="18"/>
      <c r="D135" s="18"/>
      <c r="E135" s="18"/>
      <c r="F135" s="18"/>
      <c r="G135" s="18"/>
      <c r="H135" s="18"/>
      <c r="I135" s="8"/>
      <c r="J135" s="18"/>
      <c r="K135" s="18"/>
      <c r="L135" s="18"/>
      <c r="M135" s="16"/>
    </row>
    <row r="136" spans="1:13">
      <c r="A136" s="16"/>
      <c r="B136" s="17"/>
      <c r="C136" s="18"/>
      <c r="D136" s="18"/>
      <c r="E136" s="18"/>
      <c r="F136" s="18"/>
      <c r="G136" s="18"/>
      <c r="H136" s="18"/>
      <c r="I136" s="8"/>
      <c r="J136" s="18"/>
      <c r="K136" s="18"/>
      <c r="L136" s="18"/>
      <c r="M136" s="16"/>
    </row>
    <row r="137" spans="1:13">
      <c r="A137" s="16"/>
      <c r="B137" s="17"/>
      <c r="C137" s="18"/>
      <c r="D137" s="18"/>
      <c r="E137" s="18"/>
      <c r="F137" s="18"/>
      <c r="G137" s="18"/>
      <c r="H137" s="18"/>
      <c r="I137" s="8"/>
      <c r="J137" s="18"/>
      <c r="K137" s="18"/>
      <c r="L137" s="18"/>
      <c r="M137" s="16"/>
    </row>
    <row r="138" spans="1:13">
      <c r="A138" s="16"/>
      <c r="B138" s="17"/>
      <c r="C138" s="18"/>
      <c r="D138" s="18"/>
      <c r="E138" s="18"/>
      <c r="F138" s="18"/>
      <c r="G138" s="18"/>
      <c r="H138" s="18"/>
      <c r="I138" s="8"/>
      <c r="J138" s="18"/>
      <c r="K138" s="18"/>
      <c r="L138" s="18"/>
      <c r="M138" s="16"/>
    </row>
    <row r="139" spans="1:13">
      <c r="A139" s="16"/>
      <c r="B139" s="17"/>
      <c r="C139" s="18"/>
      <c r="D139" s="18"/>
      <c r="E139" s="18"/>
      <c r="F139" s="18"/>
      <c r="G139" s="18"/>
      <c r="H139" s="18"/>
      <c r="I139" s="8"/>
      <c r="J139" s="18"/>
      <c r="K139" s="18"/>
      <c r="L139" s="18"/>
      <c r="M139" s="16"/>
    </row>
    <row r="140" spans="1:13">
      <c r="A140" s="16"/>
      <c r="B140" s="17"/>
      <c r="C140" s="18"/>
      <c r="D140" s="18"/>
      <c r="E140" s="18"/>
      <c r="F140" s="18"/>
      <c r="G140" s="18"/>
      <c r="H140" s="18"/>
      <c r="I140" s="8"/>
      <c r="J140" s="18"/>
      <c r="K140" s="18"/>
      <c r="L140" s="18"/>
      <c r="M140" s="16"/>
    </row>
    <row r="141" spans="1:13">
      <c r="A141" s="16"/>
      <c r="B141" s="17"/>
      <c r="C141" s="18"/>
      <c r="D141" s="18"/>
      <c r="E141" s="18"/>
      <c r="F141" s="18"/>
      <c r="G141" s="18"/>
      <c r="H141" s="18"/>
      <c r="I141" s="8"/>
      <c r="J141" s="18"/>
      <c r="K141" s="18"/>
      <c r="L141" s="18"/>
      <c r="M141" s="16"/>
    </row>
    <row r="142" spans="1:13">
      <c r="A142" s="16"/>
      <c r="B142" s="17"/>
      <c r="C142" s="18"/>
      <c r="D142" s="18"/>
      <c r="E142" s="18"/>
      <c r="F142" s="18"/>
      <c r="G142" s="18"/>
      <c r="H142" s="18"/>
      <c r="I142" s="8"/>
      <c r="J142" s="18"/>
      <c r="K142" s="18"/>
      <c r="L142" s="18"/>
      <c r="M142" s="16"/>
    </row>
    <row r="143" spans="1:13">
      <c r="A143" s="16"/>
      <c r="B143" s="17"/>
      <c r="C143" s="18"/>
      <c r="D143" s="18"/>
      <c r="E143" s="18"/>
      <c r="F143" s="18"/>
      <c r="G143" s="18"/>
      <c r="H143" s="18"/>
      <c r="I143" s="8"/>
      <c r="J143" s="18"/>
      <c r="K143" s="18"/>
      <c r="L143" s="18"/>
      <c r="M143" s="16"/>
    </row>
    <row r="144" spans="1:13">
      <c r="A144" s="16"/>
      <c r="B144" s="17"/>
      <c r="C144" s="18"/>
      <c r="D144" s="18"/>
      <c r="E144" s="18"/>
      <c r="F144" s="18"/>
      <c r="G144" s="18"/>
      <c r="H144" s="18"/>
      <c r="I144" s="8"/>
      <c r="J144" s="18"/>
      <c r="K144" s="18"/>
      <c r="L144" s="18"/>
      <c r="M144" s="16"/>
    </row>
    <row r="145" spans="1:13">
      <c r="A145" s="16"/>
      <c r="B145" s="17"/>
      <c r="C145" s="18"/>
      <c r="D145" s="18"/>
      <c r="E145" s="18"/>
      <c r="F145" s="18"/>
      <c r="G145" s="18"/>
      <c r="H145" s="18"/>
      <c r="I145" s="8"/>
      <c r="J145" s="18"/>
      <c r="K145" s="18"/>
      <c r="L145" s="18"/>
      <c r="M145" s="16"/>
    </row>
    <row r="146" spans="1:13">
      <c r="A146" s="16"/>
      <c r="B146" s="17"/>
      <c r="C146" s="18"/>
      <c r="D146" s="18"/>
      <c r="E146" s="18"/>
      <c r="F146" s="18"/>
      <c r="G146" s="18"/>
      <c r="H146" s="18"/>
      <c r="I146" s="8"/>
      <c r="J146" s="18"/>
      <c r="K146" s="18"/>
      <c r="L146" s="18"/>
      <c r="M146" s="16"/>
    </row>
    <row r="147" spans="1:13">
      <c r="A147" s="16"/>
      <c r="B147" s="17"/>
      <c r="C147" s="18"/>
      <c r="D147" s="18"/>
      <c r="E147" s="18"/>
      <c r="F147" s="18"/>
      <c r="G147" s="18"/>
      <c r="H147" s="18"/>
      <c r="I147" s="8"/>
      <c r="J147" s="18"/>
      <c r="K147" s="18"/>
      <c r="L147" s="18"/>
      <c r="M147" s="16"/>
    </row>
    <row r="148" spans="1:13">
      <c r="A148" s="16"/>
      <c r="B148" s="17"/>
      <c r="C148" s="18"/>
      <c r="D148" s="18"/>
      <c r="E148" s="18"/>
      <c r="F148" s="18"/>
      <c r="G148" s="18"/>
      <c r="H148" s="18"/>
      <c r="I148" s="8"/>
      <c r="J148" s="18"/>
      <c r="K148" s="18"/>
      <c r="L148" s="18"/>
      <c r="M148" s="16"/>
    </row>
    <row r="149" spans="1:13">
      <c r="A149" s="16"/>
      <c r="B149" s="17"/>
      <c r="C149" s="18"/>
      <c r="D149" s="18"/>
      <c r="E149" s="18"/>
      <c r="F149" s="18"/>
      <c r="G149" s="18"/>
      <c r="H149" s="18"/>
      <c r="I149" s="8"/>
      <c r="J149" s="18"/>
      <c r="K149" s="18"/>
      <c r="L149" s="18"/>
      <c r="M149" s="16"/>
    </row>
    <row r="150" spans="1:13">
      <c r="A150" s="16"/>
      <c r="B150" s="17"/>
      <c r="C150" s="18"/>
      <c r="D150" s="18"/>
      <c r="E150" s="18"/>
      <c r="F150" s="18"/>
      <c r="G150" s="18"/>
      <c r="H150" s="18"/>
      <c r="I150" s="8"/>
      <c r="J150" s="18"/>
      <c r="K150" s="18"/>
      <c r="L150" s="18"/>
      <c r="M150" s="16"/>
    </row>
    <row r="151" spans="1:13">
      <c r="A151" s="16"/>
      <c r="B151" s="17"/>
      <c r="C151" s="18"/>
      <c r="D151" s="18"/>
      <c r="E151" s="18"/>
      <c r="F151" s="18"/>
      <c r="G151" s="18"/>
      <c r="H151" s="18"/>
      <c r="I151" s="8"/>
      <c r="J151" s="18"/>
      <c r="K151" s="18"/>
      <c r="L151" s="18"/>
      <c r="M151" s="16"/>
    </row>
    <row r="152" spans="1:13">
      <c r="A152" s="16"/>
      <c r="B152" s="17"/>
      <c r="C152" s="18"/>
      <c r="D152" s="18"/>
      <c r="E152" s="18"/>
      <c r="F152" s="18"/>
      <c r="G152" s="18"/>
      <c r="H152" s="18"/>
      <c r="I152" s="8"/>
      <c r="J152" s="18"/>
      <c r="K152" s="18"/>
      <c r="L152" s="18"/>
      <c r="M152" s="16"/>
    </row>
    <row r="153" spans="1:13">
      <c r="A153" s="16"/>
      <c r="B153" s="17"/>
      <c r="C153" s="18"/>
      <c r="D153" s="18"/>
      <c r="E153" s="18"/>
      <c r="F153" s="18"/>
      <c r="G153" s="18"/>
      <c r="H153" s="18"/>
      <c r="I153" s="8"/>
      <c r="J153" s="18"/>
      <c r="K153" s="18"/>
      <c r="L153" s="18"/>
      <c r="M153" s="16"/>
    </row>
    <row r="154" spans="1:13">
      <c r="A154" s="16"/>
      <c r="B154" s="17"/>
      <c r="C154" s="18"/>
      <c r="D154" s="18"/>
      <c r="E154" s="18"/>
      <c r="F154" s="18"/>
      <c r="G154" s="18"/>
      <c r="H154" s="18"/>
      <c r="I154" s="8"/>
      <c r="J154" s="18"/>
      <c r="K154" s="18"/>
      <c r="L154" s="18"/>
      <c r="M154" s="16"/>
    </row>
    <row r="155" spans="1:13">
      <c r="A155" s="16"/>
      <c r="B155" s="17"/>
      <c r="C155" s="18"/>
      <c r="D155" s="18"/>
      <c r="E155" s="18"/>
      <c r="F155" s="18"/>
      <c r="G155" s="18"/>
      <c r="H155" s="18"/>
      <c r="I155" s="8"/>
      <c r="J155" s="18"/>
      <c r="K155" s="18"/>
      <c r="L155" s="18"/>
      <c r="M155" s="16"/>
    </row>
    <row r="156" spans="1:13">
      <c r="A156" s="16"/>
      <c r="B156" s="17"/>
      <c r="C156" s="18"/>
      <c r="D156" s="18"/>
      <c r="E156" s="18"/>
      <c r="F156" s="18"/>
      <c r="G156" s="18"/>
      <c r="H156" s="18"/>
      <c r="I156" s="8"/>
      <c r="J156" s="18"/>
      <c r="K156" s="18"/>
      <c r="L156" s="18"/>
      <c r="M156" s="16"/>
    </row>
    <row r="157" spans="1:13">
      <c r="A157" s="16"/>
      <c r="B157" s="17"/>
      <c r="C157" s="18"/>
      <c r="D157" s="18"/>
      <c r="E157" s="18"/>
      <c r="F157" s="18"/>
      <c r="G157" s="18"/>
      <c r="H157" s="18"/>
      <c r="I157" s="8"/>
      <c r="J157" s="18"/>
      <c r="K157" s="18"/>
      <c r="L157" s="18"/>
      <c r="M157" s="16"/>
    </row>
    <row r="158" spans="1:13">
      <c r="A158" s="16"/>
      <c r="B158" s="17"/>
      <c r="C158" s="18"/>
      <c r="D158" s="18"/>
      <c r="E158" s="18"/>
      <c r="F158" s="18"/>
      <c r="G158" s="18"/>
      <c r="H158" s="18"/>
      <c r="I158" s="8"/>
      <c r="J158" s="18"/>
      <c r="K158" s="18"/>
      <c r="L158" s="18"/>
      <c r="M158" s="16"/>
    </row>
    <row r="159" spans="1:13">
      <c r="A159" s="16"/>
      <c r="B159" s="17"/>
      <c r="C159" s="18"/>
      <c r="D159" s="18"/>
      <c r="E159" s="18"/>
      <c r="F159" s="18"/>
      <c r="G159" s="18"/>
      <c r="H159" s="18"/>
      <c r="I159" s="8"/>
      <c r="J159" s="18"/>
      <c r="K159" s="18"/>
      <c r="L159" s="18"/>
      <c r="M159" s="16"/>
    </row>
    <row r="160" spans="1:13">
      <c r="A160" s="16"/>
      <c r="B160" s="17"/>
      <c r="C160" s="18"/>
      <c r="D160" s="18"/>
      <c r="E160" s="18"/>
      <c r="F160" s="18"/>
      <c r="G160" s="18"/>
      <c r="H160" s="18"/>
      <c r="I160" s="8"/>
      <c r="J160" s="18"/>
      <c r="K160" s="18"/>
      <c r="L160" s="18"/>
      <c r="M160" s="16"/>
    </row>
    <row r="161" spans="1:13">
      <c r="A161" s="16"/>
      <c r="B161" s="17"/>
      <c r="C161" s="18"/>
      <c r="D161" s="18"/>
      <c r="E161" s="18"/>
      <c r="F161" s="18"/>
      <c r="G161" s="18"/>
      <c r="H161" s="18"/>
      <c r="I161" s="8"/>
      <c r="J161" s="18"/>
      <c r="K161" s="18"/>
      <c r="L161" s="18"/>
      <c r="M161" s="16"/>
    </row>
    <row r="162" spans="1:13">
      <c r="A162" s="16"/>
      <c r="B162" s="17"/>
      <c r="C162" s="18"/>
      <c r="D162" s="18"/>
      <c r="E162" s="18"/>
      <c r="F162" s="18"/>
      <c r="G162" s="18"/>
      <c r="H162" s="18"/>
      <c r="I162" s="8"/>
      <c r="J162" s="18"/>
      <c r="K162" s="18"/>
      <c r="L162" s="18"/>
      <c r="M162" s="16"/>
    </row>
    <row r="163" spans="1:13">
      <c r="A163" s="16"/>
      <c r="B163" s="17"/>
      <c r="C163" s="18"/>
      <c r="D163" s="18"/>
      <c r="E163" s="18"/>
      <c r="F163" s="18"/>
      <c r="G163" s="18"/>
      <c r="H163" s="18"/>
      <c r="I163" s="8"/>
      <c r="J163" s="18"/>
      <c r="K163" s="18"/>
      <c r="L163" s="18"/>
      <c r="M163" s="16"/>
    </row>
    <row r="164" spans="1:13">
      <c r="A164" s="16"/>
      <c r="B164" s="17"/>
      <c r="C164" s="18"/>
      <c r="D164" s="18"/>
      <c r="E164" s="18"/>
      <c r="F164" s="18"/>
      <c r="G164" s="18"/>
      <c r="H164" s="18"/>
      <c r="I164" s="8"/>
      <c r="J164" s="18"/>
      <c r="K164" s="18"/>
      <c r="L164" s="18"/>
      <c r="M164" s="16"/>
    </row>
    <row r="165" spans="1:13">
      <c r="A165" s="16"/>
      <c r="B165" s="17"/>
      <c r="C165" s="18"/>
      <c r="D165" s="18"/>
      <c r="E165" s="18"/>
      <c r="F165" s="18"/>
      <c r="G165" s="18"/>
      <c r="H165" s="18"/>
      <c r="I165" s="8"/>
      <c r="J165" s="18"/>
      <c r="K165" s="18"/>
      <c r="L165" s="18"/>
      <c r="M165" s="16"/>
    </row>
    <row r="166" spans="1:13">
      <c r="A166" s="16"/>
      <c r="B166" s="17"/>
      <c r="C166" s="18"/>
      <c r="D166" s="18"/>
      <c r="E166" s="18"/>
      <c r="F166" s="18"/>
      <c r="G166" s="18"/>
      <c r="H166" s="18"/>
      <c r="I166" s="8"/>
      <c r="J166" s="18"/>
      <c r="K166" s="18"/>
      <c r="L166" s="18"/>
      <c r="M166" s="16"/>
    </row>
    <row r="167" spans="1:13">
      <c r="A167" s="16"/>
      <c r="B167" s="17"/>
      <c r="C167" s="18"/>
      <c r="D167" s="18"/>
      <c r="E167" s="18"/>
      <c r="F167" s="18"/>
      <c r="G167" s="18"/>
      <c r="H167" s="18"/>
      <c r="I167" s="8"/>
      <c r="J167" s="18"/>
      <c r="K167" s="18"/>
      <c r="L167" s="18"/>
      <c r="M167" s="16"/>
    </row>
    <row r="168" spans="1:13">
      <c r="A168" s="16"/>
      <c r="B168" s="17"/>
      <c r="C168" s="18"/>
      <c r="D168" s="18"/>
      <c r="E168" s="18"/>
      <c r="F168" s="18"/>
      <c r="G168" s="18"/>
      <c r="H168" s="18"/>
      <c r="I168" s="8"/>
      <c r="J168" s="18"/>
      <c r="K168" s="18"/>
      <c r="L168" s="18"/>
      <c r="M168" s="16"/>
    </row>
    <row r="169" spans="1:13">
      <c r="A169" s="16"/>
      <c r="B169" s="17"/>
      <c r="C169" s="18"/>
      <c r="D169" s="18"/>
      <c r="E169" s="18"/>
      <c r="F169" s="18"/>
      <c r="G169" s="18"/>
      <c r="H169" s="18"/>
      <c r="I169" s="8"/>
      <c r="J169" s="18"/>
      <c r="K169" s="18"/>
      <c r="L169" s="18"/>
      <c r="M169" s="16"/>
    </row>
    <row r="170" spans="1:13">
      <c r="A170" s="16"/>
      <c r="B170" s="17"/>
      <c r="C170" s="18"/>
      <c r="D170" s="18"/>
      <c r="E170" s="18"/>
      <c r="F170" s="18"/>
      <c r="G170" s="18"/>
      <c r="H170" s="18"/>
      <c r="I170" s="8"/>
      <c r="J170" s="18"/>
      <c r="K170" s="18"/>
      <c r="L170" s="18"/>
      <c r="M170" s="16"/>
    </row>
    <row r="171" spans="1:13">
      <c r="A171" s="16"/>
      <c r="B171" s="17"/>
      <c r="C171" s="18"/>
      <c r="D171" s="18"/>
      <c r="E171" s="18"/>
      <c r="F171" s="18"/>
      <c r="G171" s="18"/>
      <c r="H171" s="18"/>
      <c r="I171" s="8"/>
      <c r="J171" s="18"/>
      <c r="K171" s="18"/>
      <c r="L171" s="18"/>
      <c r="M171" s="16"/>
    </row>
    <row r="172" spans="1:13">
      <c r="A172" s="16"/>
      <c r="B172" s="17"/>
      <c r="C172" s="18"/>
      <c r="D172" s="18"/>
      <c r="E172" s="18"/>
      <c r="F172" s="18"/>
      <c r="G172" s="18"/>
      <c r="H172" s="18"/>
      <c r="I172" s="8"/>
      <c r="J172" s="18"/>
      <c r="K172" s="18"/>
      <c r="L172" s="18"/>
      <c r="M172" s="16"/>
    </row>
    <row r="173" spans="1:13">
      <c r="A173" s="16"/>
      <c r="B173" s="17"/>
      <c r="C173" s="18"/>
      <c r="D173" s="18"/>
      <c r="E173" s="18"/>
      <c r="F173" s="18"/>
      <c r="G173" s="18"/>
      <c r="H173" s="18"/>
      <c r="I173" s="8"/>
      <c r="J173" s="18"/>
      <c r="K173" s="18"/>
      <c r="L173" s="18"/>
      <c r="M173" s="16"/>
    </row>
    <row r="174" spans="1:13">
      <c r="A174" s="16"/>
      <c r="B174" s="17"/>
      <c r="C174" s="18"/>
      <c r="D174" s="18"/>
      <c r="E174" s="18"/>
      <c r="F174" s="18"/>
      <c r="G174" s="18"/>
      <c r="H174" s="18"/>
      <c r="I174" s="8"/>
      <c r="J174" s="18"/>
      <c r="K174" s="18"/>
      <c r="L174" s="18"/>
      <c r="M174" s="16"/>
    </row>
    <row r="175" spans="1:13">
      <c r="A175" s="16"/>
      <c r="B175" s="17"/>
      <c r="C175" s="18"/>
      <c r="D175" s="18"/>
      <c r="E175" s="18"/>
      <c r="F175" s="18"/>
      <c r="G175" s="18"/>
      <c r="H175" s="18"/>
      <c r="I175" s="8"/>
      <c r="J175" s="18"/>
      <c r="K175" s="18"/>
      <c r="L175" s="18"/>
      <c r="M175" s="16"/>
    </row>
    <row r="176" spans="1:13">
      <c r="A176" s="16"/>
      <c r="B176" s="17"/>
      <c r="C176" s="18"/>
      <c r="D176" s="18"/>
      <c r="E176" s="18"/>
      <c r="F176" s="18"/>
      <c r="G176" s="18"/>
      <c r="H176" s="18"/>
      <c r="I176" s="8"/>
      <c r="J176" s="18"/>
      <c r="K176" s="18"/>
      <c r="L176" s="18"/>
      <c r="M176" s="16"/>
    </row>
    <row r="177" spans="1:13">
      <c r="A177" s="16"/>
      <c r="B177" s="17"/>
      <c r="C177" s="18"/>
      <c r="D177" s="18"/>
      <c r="E177" s="18"/>
      <c r="F177" s="18"/>
      <c r="G177" s="18"/>
      <c r="H177" s="18"/>
      <c r="I177" s="8"/>
      <c r="J177" s="18"/>
      <c r="K177" s="18"/>
      <c r="L177" s="18"/>
      <c r="M177" s="16"/>
    </row>
    <row r="178" spans="1:13">
      <c r="A178" s="16"/>
      <c r="B178" s="17"/>
      <c r="C178" s="18"/>
      <c r="D178" s="18"/>
      <c r="E178" s="18"/>
      <c r="F178" s="18"/>
      <c r="G178" s="18"/>
      <c r="H178" s="18"/>
      <c r="I178" s="8"/>
      <c r="J178" s="18"/>
      <c r="K178" s="18"/>
      <c r="L178" s="18"/>
      <c r="M178" s="16"/>
    </row>
    <row r="179" spans="1:13">
      <c r="A179" s="16"/>
      <c r="B179" s="17"/>
      <c r="C179" s="18"/>
      <c r="D179" s="18"/>
      <c r="E179" s="18"/>
      <c r="F179" s="18"/>
      <c r="G179" s="18"/>
      <c r="H179" s="18"/>
      <c r="I179" s="8"/>
      <c r="J179" s="18"/>
      <c r="K179" s="18"/>
      <c r="L179" s="18"/>
      <c r="M179" s="16"/>
    </row>
    <row r="180" spans="1:13">
      <c r="A180" s="16"/>
      <c r="B180" s="17"/>
      <c r="C180" s="18"/>
      <c r="D180" s="18"/>
      <c r="E180" s="18"/>
      <c r="F180" s="18"/>
      <c r="G180" s="18"/>
      <c r="H180" s="18"/>
      <c r="I180" s="8"/>
      <c r="J180" s="18"/>
      <c r="K180" s="18"/>
      <c r="L180" s="18"/>
      <c r="M180" s="16"/>
    </row>
    <row r="181" spans="1:13">
      <c r="A181" s="16"/>
      <c r="B181" s="17"/>
      <c r="C181" s="18"/>
      <c r="D181" s="18"/>
      <c r="E181" s="18"/>
      <c r="F181" s="18"/>
      <c r="G181" s="18"/>
      <c r="H181" s="18"/>
      <c r="I181" s="8"/>
      <c r="J181" s="18"/>
      <c r="K181" s="18"/>
      <c r="L181" s="18"/>
      <c r="M181" s="16"/>
    </row>
    <row r="182" spans="1:13">
      <c r="A182" s="16"/>
      <c r="B182" s="17"/>
      <c r="C182" s="18"/>
      <c r="D182" s="18"/>
      <c r="E182" s="18"/>
      <c r="F182" s="18"/>
      <c r="G182" s="18"/>
      <c r="H182" s="18"/>
      <c r="I182" s="8"/>
      <c r="J182" s="18"/>
      <c r="K182" s="18"/>
      <c r="L182" s="18"/>
      <c r="M182" s="16"/>
    </row>
    <row r="183" spans="1:13">
      <c r="A183" s="16"/>
      <c r="B183" s="17"/>
      <c r="C183" s="18"/>
      <c r="D183" s="18"/>
      <c r="E183" s="18"/>
      <c r="F183" s="18"/>
      <c r="G183" s="18"/>
      <c r="H183" s="18"/>
      <c r="I183" s="8"/>
      <c r="J183" s="18"/>
      <c r="K183" s="18"/>
      <c r="L183" s="18"/>
      <c r="M183" s="16"/>
    </row>
    <row r="184" spans="1:13">
      <c r="A184" s="16"/>
      <c r="B184" s="17"/>
      <c r="C184" s="18"/>
      <c r="D184" s="18"/>
      <c r="E184" s="18"/>
      <c r="F184" s="18"/>
      <c r="G184" s="18"/>
      <c r="H184" s="18"/>
      <c r="I184" s="8"/>
      <c r="J184" s="18"/>
      <c r="K184" s="18"/>
      <c r="L184" s="18"/>
      <c r="M184" s="16"/>
    </row>
    <row r="185" spans="1:13">
      <c r="A185" s="16"/>
      <c r="B185" s="17"/>
      <c r="C185" s="18"/>
      <c r="D185" s="18"/>
      <c r="E185" s="18"/>
      <c r="F185" s="18"/>
      <c r="G185" s="18"/>
      <c r="H185" s="18"/>
      <c r="I185" s="8"/>
      <c r="J185" s="18"/>
      <c r="K185" s="18"/>
      <c r="L185" s="18"/>
      <c r="M185" s="16"/>
    </row>
    <row r="186" spans="1:13">
      <c r="A186" s="16"/>
      <c r="B186" s="17"/>
      <c r="C186" s="18"/>
      <c r="D186" s="18"/>
      <c r="E186" s="18"/>
      <c r="F186" s="18"/>
      <c r="G186" s="18"/>
      <c r="H186" s="18"/>
      <c r="I186" s="8"/>
      <c r="J186" s="18"/>
      <c r="K186" s="18"/>
      <c r="L186" s="18"/>
      <c r="M186" s="16"/>
    </row>
    <row r="187" spans="1:13">
      <c r="A187" s="16"/>
      <c r="B187" s="17"/>
      <c r="C187" s="18"/>
      <c r="D187" s="18"/>
      <c r="E187" s="18"/>
      <c r="F187" s="18"/>
      <c r="G187" s="18"/>
      <c r="H187" s="18"/>
      <c r="I187" s="8"/>
      <c r="J187" s="18"/>
      <c r="K187" s="18"/>
      <c r="L187" s="18"/>
      <c r="M187" s="16"/>
    </row>
    <row r="188" spans="1:13">
      <c r="A188" s="16"/>
      <c r="B188" s="17"/>
      <c r="C188" s="18"/>
      <c r="D188" s="18"/>
      <c r="E188" s="18"/>
      <c r="F188" s="18"/>
      <c r="G188" s="18"/>
      <c r="H188" s="18"/>
      <c r="I188" s="8"/>
      <c r="J188" s="18"/>
      <c r="K188" s="18"/>
      <c r="L188" s="18"/>
      <c r="M188" s="16"/>
    </row>
    <row r="189" spans="1:13">
      <c r="A189" s="16"/>
      <c r="B189" s="17"/>
      <c r="C189" s="18"/>
      <c r="D189" s="18"/>
      <c r="E189" s="18"/>
      <c r="F189" s="18"/>
      <c r="G189" s="18"/>
      <c r="H189" s="18"/>
      <c r="I189" s="8"/>
      <c r="J189" s="18"/>
      <c r="K189" s="18"/>
      <c r="L189" s="18"/>
      <c r="M189" s="16"/>
    </row>
    <row r="190" spans="1:13">
      <c r="A190" s="16"/>
      <c r="B190" s="17"/>
      <c r="C190" s="18"/>
      <c r="D190" s="18"/>
      <c r="E190" s="18"/>
      <c r="F190" s="18"/>
      <c r="G190" s="18"/>
      <c r="H190" s="18"/>
      <c r="I190" s="8"/>
      <c r="J190" s="18"/>
      <c r="K190" s="18"/>
      <c r="L190" s="18"/>
      <c r="M190" s="16"/>
    </row>
    <row r="191" spans="1:13">
      <c r="A191" s="16"/>
      <c r="B191" s="17"/>
      <c r="C191" s="18"/>
      <c r="D191" s="18"/>
      <c r="E191" s="18"/>
      <c r="F191" s="18"/>
      <c r="G191" s="18"/>
      <c r="H191" s="18"/>
      <c r="I191" s="8"/>
      <c r="J191" s="18"/>
      <c r="K191" s="18"/>
      <c r="L191" s="18"/>
      <c r="M191" s="16"/>
    </row>
    <row r="192" spans="1:13">
      <c r="A192" s="16"/>
      <c r="B192" s="17"/>
      <c r="C192" s="18"/>
      <c r="D192" s="18"/>
      <c r="E192" s="18"/>
      <c r="F192" s="18"/>
      <c r="G192" s="18"/>
      <c r="H192" s="18"/>
      <c r="I192" s="8"/>
      <c r="J192" s="18"/>
      <c r="K192" s="18"/>
      <c r="L192" s="18"/>
      <c r="M192" s="16"/>
    </row>
    <row r="193" spans="1:13">
      <c r="A193" s="16"/>
      <c r="B193" s="17"/>
      <c r="C193" s="18"/>
      <c r="D193" s="18"/>
      <c r="E193" s="18"/>
      <c r="F193" s="18"/>
      <c r="G193" s="18"/>
      <c r="H193" s="18"/>
      <c r="I193" s="8"/>
      <c r="J193" s="18"/>
      <c r="K193" s="18"/>
      <c r="L193" s="18"/>
      <c r="M193" s="16"/>
    </row>
    <row r="194" spans="1:13">
      <c r="A194" s="16"/>
      <c r="B194" s="17"/>
      <c r="C194" s="18"/>
      <c r="D194" s="18"/>
      <c r="E194" s="18"/>
      <c r="F194" s="18"/>
      <c r="G194" s="18"/>
      <c r="H194" s="18"/>
      <c r="I194" s="8"/>
      <c r="J194" s="18"/>
      <c r="K194" s="18"/>
      <c r="L194" s="18"/>
      <c r="M194" s="16"/>
    </row>
    <row r="195" spans="1:13">
      <c r="A195" s="16"/>
      <c r="B195" s="17"/>
      <c r="C195" s="18"/>
      <c r="D195" s="18"/>
      <c r="E195" s="18"/>
      <c r="F195" s="18"/>
      <c r="G195" s="18"/>
      <c r="H195" s="18"/>
      <c r="I195" s="8"/>
      <c r="J195" s="18"/>
      <c r="K195" s="18"/>
      <c r="L195" s="18"/>
      <c r="M195" s="16"/>
    </row>
    <row r="196" spans="1:13">
      <c r="A196" s="16"/>
      <c r="B196" s="17"/>
      <c r="C196" s="18"/>
      <c r="D196" s="18"/>
      <c r="E196" s="18"/>
      <c r="F196" s="18"/>
      <c r="G196" s="18"/>
      <c r="H196" s="18"/>
      <c r="I196" s="8"/>
      <c r="J196" s="18"/>
      <c r="K196" s="18"/>
      <c r="L196" s="18"/>
      <c r="M196" s="16"/>
    </row>
    <row r="197" spans="1:13">
      <c r="A197" s="16"/>
      <c r="B197" s="17"/>
      <c r="C197" s="18"/>
      <c r="D197" s="18"/>
      <c r="E197" s="18"/>
      <c r="F197" s="18"/>
      <c r="G197" s="18"/>
      <c r="H197" s="18"/>
      <c r="I197" s="8"/>
      <c r="J197" s="18"/>
      <c r="K197" s="18"/>
      <c r="L197" s="18"/>
      <c r="M197" s="16"/>
    </row>
    <row r="198" spans="1:13">
      <c r="A198" s="16"/>
      <c r="B198" s="17"/>
      <c r="C198" s="18"/>
      <c r="D198" s="18"/>
      <c r="E198" s="18"/>
      <c r="F198" s="18"/>
      <c r="G198" s="18"/>
      <c r="H198" s="18"/>
      <c r="I198" s="8"/>
      <c r="J198" s="18"/>
      <c r="K198" s="18"/>
      <c r="L198" s="18"/>
      <c r="M198" s="16"/>
    </row>
    <row r="199" spans="1:13">
      <c r="A199" s="16"/>
      <c r="B199" s="17"/>
      <c r="C199" s="18"/>
      <c r="D199" s="18"/>
      <c r="E199" s="18"/>
      <c r="F199" s="18"/>
      <c r="G199" s="18"/>
      <c r="H199" s="18"/>
      <c r="I199" s="8"/>
      <c r="J199" s="18"/>
      <c r="K199" s="18"/>
      <c r="L199" s="18"/>
      <c r="M199" s="16"/>
    </row>
    <row r="200" spans="1:13">
      <c r="A200" s="16"/>
      <c r="B200" s="17"/>
      <c r="C200" s="18"/>
      <c r="D200" s="18"/>
      <c r="E200" s="18"/>
      <c r="F200" s="18"/>
      <c r="G200" s="18"/>
      <c r="H200" s="18"/>
      <c r="I200" s="8"/>
      <c r="J200" s="18"/>
      <c r="K200" s="18"/>
      <c r="L200" s="18"/>
      <c r="M200" s="16"/>
    </row>
    <row r="201" spans="1:13">
      <c r="A201" s="16"/>
      <c r="B201" s="17"/>
      <c r="C201" s="18"/>
      <c r="D201" s="18"/>
      <c r="E201" s="18"/>
      <c r="F201" s="18"/>
      <c r="G201" s="18"/>
      <c r="H201" s="18"/>
      <c r="I201" s="8"/>
      <c r="J201" s="18"/>
      <c r="K201" s="18"/>
      <c r="L201" s="18"/>
      <c r="M201" s="16"/>
    </row>
    <row r="202" spans="1:13">
      <c r="A202" s="16"/>
      <c r="B202" s="17"/>
      <c r="C202" s="18"/>
      <c r="D202" s="18"/>
      <c r="E202" s="18"/>
      <c r="F202" s="18"/>
      <c r="G202" s="18"/>
      <c r="H202" s="18"/>
      <c r="I202" s="8"/>
      <c r="J202" s="18"/>
      <c r="K202" s="18"/>
      <c r="L202" s="18"/>
      <c r="M202" s="16"/>
    </row>
    <row r="203" spans="1:13">
      <c r="A203" s="16"/>
      <c r="B203" s="17"/>
      <c r="C203" s="18"/>
      <c r="D203" s="18"/>
      <c r="E203" s="18"/>
      <c r="F203" s="18"/>
      <c r="G203" s="18"/>
      <c r="H203" s="18"/>
      <c r="I203" s="8"/>
      <c r="J203" s="18"/>
      <c r="K203" s="18"/>
      <c r="L203" s="18"/>
      <c r="M203" s="16"/>
    </row>
    <row r="204" spans="1:13">
      <c r="A204" s="16"/>
      <c r="B204" s="17"/>
      <c r="C204" s="18"/>
      <c r="D204" s="18"/>
      <c r="E204" s="18"/>
      <c r="F204" s="18"/>
      <c r="G204" s="18"/>
      <c r="H204" s="18"/>
      <c r="I204" s="8"/>
      <c r="J204" s="18"/>
      <c r="K204" s="18"/>
      <c r="L204" s="18"/>
      <c r="M204" s="16"/>
    </row>
    <row r="205" spans="1:13">
      <c r="A205" s="16"/>
      <c r="B205" s="17"/>
      <c r="C205" s="18"/>
      <c r="D205" s="18"/>
      <c r="E205" s="18"/>
      <c r="F205" s="18"/>
      <c r="G205" s="18"/>
      <c r="H205" s="18"/>
      <c r="I205" s="8"/>
      <c r="J205" s="18"/>
      <c r="K205" s="18"/>
      <c r="L205" s="18"/>
      <c r="M205" s="16"/>
    </row>
    <row r="206" spans="1:13">
      <c r="A206" s="16"/>
      <c r="B206" s="17"/>
      <c r="C206" s="18"/>
      <c r="D206" s="18"/>
      <c r="E206" s="18"/>
      <c r="F206" s="18"/>
      <c r="G206" s="18"/>
      <c r="H206" s="18"/>
      <c r="I206" s="8"/>
      <c r="J206" s="18"/>
      <c r="K206" s="18"/>
      <c r="L206" s="18"/>
      <c r="M206" s="16"/>
    </row>
    <row r="207" spans="1:13">
      <c r="A207" s="16"/>
      <c r="B207" s="17"/>
      <c r="C207" s="18"/>
      <c r="D207" s="18"/>
      <c r="E207" s="18"/>
      <c r="F207" s="18"/>
      <c r="G207" s="18"/>
      <c r="H207" s="18"/>
      <c r="I207" s="8"/>
      <c r="J207" s="18"/>
      <c r="K207" s="18"/>
      <c r="L207" s="18"/>
      <c r="M207" s="16"/>
    </row>
    <row r="208" spans="1:13">
      <c r="A208" s="16"/>
      <c r="B208" s="17"/>
      <c r="C208" s="18"/>
      <c r="D208" s="18"/>
      <c r="E208" s="18"/>
      <c r="F208" s="18"/>
      <c r="G208" s="18"/>
      <c r="H208" s="18"/>
      <c r="I208" s="8"/>
      <c r="J208" s="18"/>
      <c r="K208" s="18"/>
      <c r="L208" s="18"/>
      <c r="M208" s="16"/>
    </row>
    <row r="209" spans="1:13">
      <c r="A209" s="16"/>
      <c r="B209" s="17"/>
      <c r="C209" s="18"/>
      <c r="D209" s="18"/>
      <c r="E209" s="18"/>
      <c r="F209" s="18"/>
      <c r="G209" s="18"/>
      <c r="H209" s="18"/>
      <c r="I209" s="8"/>
      <c r="J209" s="18"/>
      <c r="K209" s="18"/>
      <c r="L209" s="18"/>
      <c r="M209" s="16"/>
    </row>
    <row r="210" spans="1:13">
      <c r="A210" s="16"/>
      <c r="B210" s="17"/>
      <c r="C210" s="18"/>
      <c r="D210" s="18"/>
      <c r="E210" s="18"/>
      <c r="F210" s="18"/>
      <c r="G210" s="18"/>
      <c r="H210" s="18"/>
      <c r="I210" s="8"/>
      <c r="J210" s="18"/>
      <c r="K210" s="18"/>
      <c r="L210" s="18"/>
      <c r="M210" s="16"/>
    </row>
    <row r="211" spans="1:13">
      <c r="A211" s="16"/>
      <c r="B211" s="17"/>
      <c r="C211" s="18"/>
      <c r="D211" s="18"/>
      <c r="E211" s="18"/>
      <c r="F211" s="18"/>
      <c r="G211" s="18"/>
      <c r="H211" s="18"/>
      <c r="I211" s="8"/>
      <c r="J211" s="18"/>
      <c r="K211" s="18"/>
      <c r="L211" s="18"/>
      <c r="M211" s="16"/>
    </row>
    <row r="212" spans="1:13">
      <c r="A212" s="16"/>
      <c r="B212" s="17"/>
      <c r="C212" s="18"/>
      <c r="D212" s="18"/>
      <c r="E212" s="18"/>
      <c r="F212" s="18"/>
      <c r="G212" s="18"/>
      <c r="H212" s="18"/>
      <c r="I212" s="8"/>
      <c r="J212" s="18"/>
      <c r="K212" s="18"/>
      <c r="L212" s="18"/>
      <c r="M212" s="16"/>
    </row>
    <row r="213" spans="1:13">
      <c r="A213" s="16"/>
      <c r="B213" s="17"/>
      <c r="C213" s="18"/>
      <c r="D213" s="18"/>
      <c r="E213" s="18"/>
      <c r="F213" s="18"/>
      <c r="G213" s="18"/>
      <c r="H213" s="18"/>
      <c r="I213" s="8"/>
      <c r="J213" s="18"/>
      <c r="K213" s="18"/>
      <c r="L213" s="18"/>
      <c r="M213" s="16"/>
    </row>
    <row r="214" spans="1:13">
      <c r="A214" s="16"/>
      <c r="B214" s="17"/>
      <c r="C214" s="18"/>
      <c r="D214" s="18"/>
      <c r="E214" s="18"/>
      <c r="F214" s="18"/>
      <c r="G214" s="18"/>
      <c r="H214" s="18"/>
      <c r="I214" s="8"/>
      <c r="J214" s="18"/>
      <c r="K214" s="18"/>
      <c r="L214" s="18"/>
      <c r="M214" s="16"/>
    </row>
    <row r="215" spans="1:13">
      <c r="A215" s="16"/>
      <c r="B215" s="17"/>
      <c r="C215" s="18"/>
      <c r="D215" s="18"/>
      <c r="E215" s="18"/>
      <c r="F215" s="18"/>
      <c r="G215" s="18"/>
      <c r="H215" s="18"/>
      <c r="I215" s="8"/>
      <c r="J215" s="18"/>
      <c r="K215" s="18"/>
      <c r="L215" s="18"/>
      <c r="M215" s="16"/>
    </row>
    <row r="216" spans="1:13">
      <c r="A216" s="16"/>
      <c r="B216" s="17"/>
      <c r="C216" s="18"/>
      <c r="D216" s="18"/>
      <c r="E216" s="18"/>
      <c r="F216" s="18"/>
      <c r="G216" s="18"/>
      <c r="H216" s="18"/>
      <c r="I216" s="8"/>
      <c r="J216" s="18"/>
      <c r="K216" s="18"/>
      <c r="L216" s="18"/>
      <c r="M216" s="16"/>
    </row>
    <row r="217" spans="1:13">
      <c r="A217" s="16"/>
      <c r="B217" s="17"/>
      <c r="C217" s="18"/>
      <c r="D217" s="18"/>
      <c r="E217" s="18"/>
      <c r="F217" s="18"/>
      <c r="G217" s="18"/>
      <c r="H217" s="18"/>
      <c r="I217" s="8"/>
      <c r="J217" s="18"/>
      <c r="K217" s="18"/>
      <c r="L217" s="18"/>
      <c r="M217" s="16"/>
    </row>
    <row r="218" spans="1:13">
      <c r="A218" s="16"/>
      <c r="B218" s="17"/>
      <c r="C218" s="18"/>
      <c r="D218" s="18"/>
      <c r="E218" s="18"/>
      <c r="F218" s="18"/>
      <c r="G218" s="18"/>
      <c r="H218" s="18"/>
      <c r="I218" s="8"/>
      <c r="J218" s="18"/>
      <c r="K218" s="18"/>
      <c r="L218" s="18"/>
      <c r="M218" s="16"/>
    </row>
    <row r="219" spans="1:13">
      <c r="A219" s="16"/>
      <c r="B219" s="17"/>
      <c r="C219" s="18"/>
      <c r="D219" s="18"/>
      <c r="E219" s="18"/>
      <c r="F219" s="18"/>
      <c r="G219" s="18"/>
      <c r="H219" s="18"/>
      <c r="I219" s="8"/>
      <c r="J219" s="18"/>
      <c r="K219" s="18"/>
      <c r="L219" s="18"/>
      <c r="M219" s="16"/>
    </row>
    <row r="220" spans="1:13">
      <c r="A220" s="16"/>
      <c r="B220" s="17"/>
      <c r="C220" s="18"/>
      <c r="D220" s="18"/>
      <c r="E220" s="18"/>
      <c r="F220" s="18"/>
      <c r="G220" s="18"/>
      <c r="H220" s="18"/>
      <c r="I220" s="8"/>
      <c r="J220" s="18"/>
      <c r="K220" s="18"/>
      <c r="L220" s="18"/>
      <c r="M220" s="16"/>
    </row>
    <row r="221" spans="1:13">
      <c r="A221" s="16"/>
      <c r="B221" s="17"/>
      <c r="C221" s="18"/>
      <c r="D221" s="18"/>
      <c r="E221" s="18"/>
      <c r="F221" s="18"/>
      <c r="G221" s="18"/>
      <c r="H221" s="18"/>
      <c r="I221" s="8"/>
      <c r="J221" s="18"/>
      <c r="K221" s="18"/>
      <c r="L221" s="18"/>
      <c r="M221" s="16"/>
    </row>
    <row r="222" spans="1:13">
      <c r="A222" s="16"/>
      <c r="B222" s="17"/>
      <c r="C222" s="18"/>
      <c r="D222" s="18"/>
      <c r="E222" s="18"/>
      <c r="F222" s="18"/>
      <c r="G222" s="18"/>
      <c r="H222" s="18"/>
      <c r="I222" s="8"/>
      <c r="J222" s="18"/>
      <c r="K222" s="18"/>
      <c r="L222" s="18"/>
      <c r="M222" s="16"/>
    </row>
    <row r="223" spans="1:13">
      <c r="A223" s="16"/>
      <c r="B223" s="17"/>
      <c r="C223" s="18"/>
      <c r="D223" s="18"/>
      <c r="E223" s="18"/>
      <c r="F223" s="18"/>
      <c r="G223" s="18"/>
      <c r="H223" s="18"/>
      <c r="I223" s="8"/>
      <c r="J223" s="18"/>
      <c r="K223" s="18"/>
      <c r="L223" s="18"/>
      <c r="M223" s="16"/>
    </row>
    <row r="224" spans="1:13">
      <c r="A224" s="16"/>
      <c r="B224" s="17"/>
      <c r="C224" s="18"/>
      <c r="D224" s="18"/>
      <c r="E224" s="18"/>
      <c r="F224" s="18"/>
      <c r="G224" s="18"/>
      <c r="H224" s="18"/>
      <c r="I224" s="8"/>
      <c r="J224" s="18"/>
      <c r="K224" s="18"/>
      <c r="L224" s="18"/>
      <c r="M224" s="16"/>
    </row>
    <row r="225" spans="1:13">
      <c r="A225" s="16"/>
      <c r="B225" s="17"/>
      <c r="C225" s="18"/>
      <c r="D225" s="18"/>
      <c r="E225" s="18"/>
      <c r="F225" s="18"/>
      <c r="G225" s="18"/>
      <c r="H225" s="18"/>
      <c r="I225" s="8"/>
      <c r="J225" s="18"/>
      <c r="K225" s="18"/>
      <c r="L225" s="18"/>
      <c r="M225" s="16"/>
    </row>
    <row r="226" spans="1:13">
      <c r="A226" s="16"/>
      <c r="B226" s="17"/>
      <c r="C226" s="18"/>
      <c r="D226" s="18"/>
      <c r="E226" s="18"/>
      <c r="F226" s="18"/>
      <c r="G226" s="18"/>
      <c r="H226" s="18"/>
      <c r="I226" s="8"/>
      <c r="J226" s="18"/>
      <c r="K226" s="18"/>
      <c r="L226" s="18"/>
      <c r="M226" s="16"/>
    </row>
    <row r="227" spans="1:13">
      <c r="A227" s="16"/>
      <c r="B227" s="17"/>
      <c r="C227" s="18"/>
      <c r="D227" s="18"/>
      <c r="E227" s="18"/>
      <c r="F227" s="18"/>
      <c r="G227" s="18"/>
      <c r="H227" s="18"/>
      <c r="I227" s="8"/>
      <c r="J227" s="18"/>
      <c r="K227" s="18"/>
      <c r="L227" s="18"/>
      <c r="M227" s="16"/>
    </row>
    <row r="228" spans="1:13">
      <c r="A228" s="16"/>
      <c r="B228" s="17"/>
      <c r="C228" s="18"/>
      <c r="D228" s="18"/>
      <c r="E228" s="18"/>
      <c r="F228" s="18"/>
      <c r="G228" s="18"/>
      <c r="H228" s="18"/>
      <c r="I228" s="8"/>
      <c r="J228" s="18"/>
      <c r="K228" s="18"/>
      <c r="L228" s="18"/>
      <c r="M228" s="16"/>
    </row>
    <row r="229" spans="1:13">
      <c r="A229" s="16"/>
      <c r="B229" s="17"/>
      <c r="C229" s="18"/>
      <c r="D229" s="18"/>
      <c r="E229" s="18"/>
      <c r="F229" s="18"/>
      <c r="G229" s="18"/>
      <c r="H229" s="18"/>
      <c r="I229" s="8"/>
      <c r="J229" s="18"/>
      <c r="K229" s="18"/>
      <c r="L229" s="18"/>
      <c r="M229" s="16"/>
    </row>
    <row r="230" spans="1:13">
      <c r="A230" s="16"/>
      <c r="B230" s="17"/>
      <c r="C230" s="18"/>
      <c r="D230" s="18"/>
      <c r="E230" s="18"/>
      <c r="F230" s="18"/>
      <c r="G230" s="18"/>
      <c r="H230" s="18"/>
      <c r="I230" s="8"/>
      <c r="J230" s="18"/>
      <c r="K230" s="18"/>
      <c r="L230" s="18"/>
      <c r="M230" s="16"/>
    </row>
    <row r="231" spans="1:13">
      <c r="A231" s="16"/>
      <c r="B231" s="17"/>
      <c r="C231" s="18"/>
      <c r="D231" s="18"/>
      <c r="E231" s="18"/>
      <c r="F231" s="18"/>
      <c r="G231" s="18"/>
      <c r="H231" s="18"/>
      <c r="I231" s="8"/>
      <c r="J231" s="18"/>
      <c r="K231" s="18"/>
      <c r="L231" s="18"/>
      <c r="M231" s="16"/>
    </row>
    <row r="232" spans="1:13">
      <c r="A232" s="16"/>
      <c r="B232" s="17"/>
      <c r="C232" s="18"/>
      <c r="D232" s="18"/>
      <c r="E232" s="18"/>
      <c r="F232" s="18"/>
      <c r="G232" s="18"/>
      <c r="H232" s="18"/>
      <c r="I232" s="8"/>
      <c r="J232" s="18"/>
      <c r="K232" s="18"/>
      <c r="L232" s="18"/>
      <c r="M232" s="16"/>
    </row>
    <row r="233" spans="1:13">
      <c r="A233" s="16"/>
      <c r="B233" s="17"/>
      <c r="C233" s="18"/>
      <c r="D233" s="18"/>
      <c r="E233" s="18"/>
      <c r="F233" s="18"/>
      <c r="G233" s="18"/>
      <c r="H233" s="18"/>
      <c r="I233" s="8"/>
      <c r="J233" s="18"/>
      <c r="K233" s="18"/>
      <c r="L233" s="18"/>
      <c r="M233" s="16"/>
    </row>
    <row r="234" spans="1:13">
      <c r="A234" s="16"/>
      <c r="B234" s="17"/>
      <c r="C234" s="18"/>
      <c r="D234" s="18"/>
      <c r="E234" s="18"/>
      <c r="F234" s="18"/>
      <c r="G234" s="18"/>
      <c r="H234" s="18"/>
      <c r="I234" s="8"/>
      <c r="J234" s="18"/>
      <c r="K234" s="18"/>
      <c r="L234" s="18"/>
      <c r="M234" s="16"/>
    </row>
    <row r="235" spans="1:13">
      <c r="A235" s="16"/>
      <c r="B235" s="17"/>
      <c r="C235" s="18"/>
      <c r="D235" s="18"/>
      <c r="E235" s="18"/>
      <c r="F235" s="18"/>
      <c r="G235" s="18"/>
      <c r="H235" s="18"/>
      <c r="I235" s="8"/>
      <c r="J235" s="18"/>
      <c r="K235" s="18"/>
      <c r="L235" s="18"/>
      <c r="M235" s="16"/>
    </row>
    <row r="236" spans="1:13">
      <c r="A236" s="16"/>
      <c r="B236" s="17"/>
      <c r="C236" s="18"/>
      <c r="D236" s="18"/>
      <c r="E236" s="18"/>
      <c r="F236" s="18"/>
      <c r="G236" s="18"/>
      <c r="H236" s="18"/>
      <c r="I236" s="8"/>
      <c r="J236" s="18"/>
      <c r="K236" s="18"/>
      <c r="L236" s="18"/>
      <c r="M236" s="16"/>
    </row>
    <row r="237" spans="1:13">
      <c r="A237" s="16"/>
      <c r="B237" s="17"/>
      <c r="C237" s="18"/>
      <c r="D237" s="18"/>
      <c r="E237" s="18"/>
      <c r="F237" s="18"/>
      <c r="G237" s="18"/>
      <c r="H237" s="18"/>
      <c r="I237" s="8"/>
      <c r="J237" s="18"/>
      <c r="K237" s="18"/>
      <c r="L237" s="18"/>
      <c r="M237" s="16"/>
    </row>
    <row r="238" spans="1:13">
      <c r="A238" s="16"/>
      <c r="B238" s="17"/>
      <c r="C238" s="18"/>
      <c r="D238" s="18"/>
      <c r="E238" s="18"/>
      <c r="F238" s="18"/>
      <c r="G238" s="18"/>
      <c r="H238" s="18"/>
      <c r="I238" s="8"/>
      <c r="J238" s="18"/>
      <c r="K238" s="18"/>
      <c r="L238" s="18"/>
      <c r="M238" s="16"/>
    </row>
    <row r="239" spans="1:13">
      <c r="A239" s="16"/>
      <c r="B239" s="17"/>
      <c r="C239" s="18"/>
      <c r="D239" s="18"/>
      <c r="E239" s="18"/>
      <c r="F239" s="18"/>
      <c r="G239" s="18"/>
      <c r="H239" s="18"/>
      <c r="I239" s="8"/>
      <c r="J239" s="18"/>
      <c r="K239" s="18"/>
      <c r="L239" s="18"/>
      <c r="M239" s="16"/>
    </row>
    <row r="240" spans="1:13">
      <c r="A240" s="16"/>
      <c r="B240" s="17"/>
      <c r="C240" s="18"/>
      <c r="D240" s="18"/>
      <c r="E240" s="18"/>
      <c r="F240" s="18"/>
      <c r="G240" s="18"/>
      <c r="H240" s="18"/>
      <c r="I240" s="8"/>
      <c r="J240" s="18"/>
      <c r="K240" s="18"/>
      <c r="L240" s="18"/>
      <c r="M240" s="16"/>
    </row>
    <row r="241" spans="1:13">
      <c r="A241" s="16"/>
      <c r="B241" s="17"/>
      <c r="C241" s="18"/>
      <c r="D241" s="18"/>
      <c r="E241" s="18"/>
      <c r="F241" s="18"/>
      <c r="G241" s="18"/>
      <c r="H241" s="18"/>
      <c r="I241" s="8"/>
      <c r="J241" s="18"/>
      <c r="K241" s="18"/>
      <c r="L241" s="18"/>
      <c r="M241" s="16"/>
    </row>
    <row r="242" spans="1:13">
      <c r="A242" s="16"/>
      <c r="B242" s="17"/>
      <c r="C242" s="18"/>
      <c r="D242" s="18"/>
      <c r="E242" s="18"/>
      <c r="F242" s="18"/>
      <c r="G242" s="18"/>
      <c r="H242" s="18"/>
      <c r="I242" s="8"/>
      <c r="J242" s="18"/>
      <c r="K242" s="18"/>
      <c r="L242" s="18"/>
      <c r="M242" s="16"/>
    </row>
    <row r="243" spans="1:13">
      <c r="A243" s="16"/>
      <c r="B243" s="17"/>
      <c r="C243" s="18"/>
      <c r="D243" s="18"/>
      <c r="E243" s="18"/>
      <c r="F243" s="18"/>
      <c r="G243" s="18"/>
      <c r="H243" s="18"/>
      <c r="I243" s="8"/>
      <c r="J243" s="18"/>
      <c r="K243" s="18"/>
      <c r="L243" s="18"/>
      <c r="M243" s="16"/>
    </row>
    <row r="244" spans="1:13">
      <c r="A244" s="16"/>
      <c r="B244" s="17"/>
      <c r="C244" s="18"/>
      <c r="D244" s="18"/>
      <c r="E244" s="18"/>
      <c r="F244" s="18"/>
      <c r="G244" s="18"/>
      <c r="H244" s="18"/>
      <c r="I244" s="8"/>
      <c r="J244" s="18"/>
      <c r="K244" s="18"/>
      <c r="L244" s="18"/>
      <c r="M244" s="16"/>
    </row>
    <row r="245" spans="1:13">
      <c r="A245" s="16"/>
      <c r="B245" s="17"/>
      <c r="C245" s="18"/>
      <c r="D245" s="18"/>
      <c r="E245" s="18"/>
      <c r="F245" s="18"/>
      <c r="G245" s="18"/>
      <c r="H245" s="18"/>
      <c r="I245" s="8"/>
      <c r="J245" s="18"/>
      <c r="K245" s="18"/>
      <c r="L245" s="18"/>
      <c r="M245" s="16"/>
    </row>
    <row r="246" spans="1:13">
      <c r="A246" s="16"/>
      <c r="B246" s="17"/>
      <c r="C246" s="18"/>
      <c r="D246" s="18"/>
      <c r="E246" s="18"/>
      <c r="F246" s="18"/>
      <c r="G246" s="18"/>
      <c r="H246" s="18"/>
      <c r="I246" s="8"/>
      <c r="J246" s="18"/>
      <c r="K246" s="18"/>
      <c r="L246" s="18"/>
      <c r="M246" s="16"/>
    </row>
    <row r="247" spans="1:13">
      <c r="A247" s="16"/>
      <c r="B247" s="17"/>
      <c r="C247" s="18"/>
      <c r="D247" s="18"/>
      <c r="E247" s="18"/>
      <c r="F247" s="18"/>
      <c r="G247" s="18"/>
      <c r="H247" s="18"/>
      <c r="I247" s="8"/>
      <c r="J247" s="18"/>
      <c r="K247" s="18"/>
      <c r="L247" s="18"/>
      <c r="M247" s="16"/>
    </row>
    <row r="248" spans="1:13">
      <c r="A248" s="16"/>
      <c r="B248" s="17"/>
      <c r="C248" s="18"/>
      <c r="D248" s="18"/>
      <c r="E248" s="18"/>
      <c r="F248" s="18"/>
      <c r="G248" s="18"/>
      <c r="H248" s="18"/>
      <c r="I248" s="8"/>
      <c r="J248" s="18"/>
      <c r="K248" s="18"/>
      <c r="L248" s="18"/>
      <c r="M248" s="16"/>
    </row>
    <row r="249" spans="1:13">
      <c r="A249" s="16"/>
      <c r="B249" s="17"/>
      <c r="C249" s="18"/>
      <c r="D249" s="18"/>
      <c r="E249" s="18"/>
      <c r="F249" s="18"/>
      <c r="G249" s="18"/>
      <c r="H249" s="18"/>
      <c r="I249" s="8"/>
      <c r="J249" s="18"/>
      <c r="K249" s="18"/>
      <c r="L249" s="18"/>
      <c r="M249" s="16"/>
    </row>
    <row r="250" spans="1:13">
      <c r="A250" s="16"/>
      <c r="B250" s="17"/>
      <c r="C250" s="18"/>
      <c r="D250" s="18"/>
      <c r="E250" s="18"/>
      <c r="F250" s="18"/>
      <c r="G250" s="18"/>
      <c r="H250" s="18"/>
      <c r="I250" s="8"/>
      <c r="J250" s="18"/>
      <c r="K250" s="18"/>
      <c r="L250" s="18"/>
      <c r="M250" s="16"/>
    </row>
    <row r="251" spans="1:13">
      <c r="A251" s="16"/>
      <c r="B251" s="17"/>
      <c r="C251" s="18"/>
      <c r="D251" s="18"/>
      <c r="E251" s="18"/>
      <c r="F251" s="18"/>
      <c r="G251" s="18"/>
      <c r="H251" s="18"/>
      <c r="I251" s="8"/>
      <c r="J251" s="18"/>
      <c r="K251" s="18"/>
      <c r="L251" s="18"/>
      <c r="M251" s="16"/>
    </row>
    <row r="252" spans="1:13">
      <c r="A252" s="16"/>
      <c r="B252" s="17"/>
      <c r="C252" s="18"/>
      <c r="D252" s="18"/>
      <c r="E252" s="18"/>
      <c r="F252" s="18"/>
      <c r="G252" s="18"/>
      <c r="H252" s="18"/>
      <c r="I252" s="8"/>
      <c r="J252" s="18"/>
      <c r="K252" s="18"/>
      <c r="L252" s="18"/>
      <c r="M252" s="16"/>
    </row>
    <row r="253" spans="1:13">
      <c r="A253" s="16"/>
      <c r="B253" s="17"/>
      <c r="C253" s="18"/>
      <c r="D253" s="18"/>
      <c r="E253" s="18"/>
      <c r="F253" s="18"/>
      <c r="G253" s="18"/>
      <c r="H253" s="18"/>
      <c r="I253" s="8"/>
      <c r="J253" s="18"/>
      <c r="K253" s="18"/>
      <c r="L253" s="18"/>
      <c r="M253" s="16"/>
    </row>
    <row r="254" spans="1:13">
      <c r="A254" s="16"/>
      <c r="B254" s="17"/>
      <c r="C254" s="18"/>
      <c r="D254" s="18"/>
      <c r="E254" s="18"/>
      <c r="F254" s="18"/>
      <c r="G254" s="18"/>
      <c r="H254" s="18"/>
      <c r="I254" s="8"/>
      <c r="J254" s="18"/>
      <c r="K254" s="18"/>
      <c r="L254" s="18"/>
      <c r="M254" s="16"/>
    </row>
    <row r="255" spans="1:13">
      <c r="A255" s="16"/>
      <c r="B255" s="17"/>
      <c r="C255" s="18"/>
      <c r="D255" s="18"/>
      <c r="E255" s="18"/>
      <c r="F255" s="18"/>
      <c r="G255" s="18"/>
      <c r="H255" s="18"/>
      <c r="I255" s="8"/>
      <c r="J255" s="18"/>
      <c r="K255" s="18"/>
      <c r="L255" s="18"/>
      <c r="M255" s="16"/>
    </row>
    <row r="256" spans="1:13">
      <c r="A256" s="16"/>
      <c r="B256" s="17"/>
      <c r="C256" s="18"/>
      <c r="D256" s="18"/>
      <c r="E256" s="18"/>
      <c r="F256" s="18"/>
      <c r="G256" s="18"/>
      <c r="H256" s="18"/>
      <c r="I256" s="8"/>
      <c r="J256" s="18"/>
      <c r="K256" s="18"/>
      <c r="L256" s="18"/>
      <c r="M256" s="16"/>
    </row>
    <row r="257" spans="1:13">
      <c r="A257" s="16"/>
      <c r="B257" s="17"/>
      <c r="C257" s="18"/>
      <c r="D257" s="18"/>
      <c r="E257" s="18"/>
      <c r="F257" s="18"/>
      <c r="G257" s="18"/>
      <c r="H257" s="18"/>
      <c r="I257" s="8"/>
      <c r="J257" s="18"/>
      <c r="K257" s="18"/>
      <c r="L257" s="18"/>
      <c r="M257" s="16"/>
    </row>
    <row r="258" spans="1:13">
      <c r="A258" s="16"/>
      <c r="B258" s="17"/>
      <c r="C258" s="18"/>
      <c r="D258" s="18"/>
      <c r="E258" s="18"/>
      <c r="F258" s="18"/>
      <c r="G258" s="18"/>
      <c r="H258" s="18"/>
      <c r="I258" s="8"/>
      <c r="J258" s="18"/>
      <c r="K258" s="18"/>
      <c r="L258" s="18"/>
      <c r="M258" s="16"/>
    </row>
    <row r="259" spans="1:13">
      <c r="A259" s="16"/>
      <c r="B259" s="17"/>
      <c r="C259" s="18"/>
      <c r="D259" s="18"/>
      <c r="E259" s="18"/>
      <c r="F259" s="18"/>
      <c r="G259" s="18"/>
      <c r="H259" s="18"/>
      <c r="I259" s="8"/>
      <c r="J259" s="18"/>
      <c r="K259" s="18"/>
      <c r="L259" s="18"/>
      <c r="M259" s="16"/>
    </row>
    <row r="260" spans="1:13">
      <c r="A260" s="16"/>
      <c r="B260" s="17"/>
      <c r="C260" s="18"/>
      <c r="D260" s="18"/>
      <c r="E260" s="18"/>
      <c r="F260" s="18"/>
      <c r="G260" s="18"/>
      <c r="H260" s="18"/>
      <c r="I260" s="8"/>
      <c r="J260" s="18"/>
      <c r="K260" s="18"/>
      <c r="L260" s="18"/>
      <c r="M260" s="16"/>
    </row>
    <row r="261" spans="1:13">
      <c r="A261" s="16"/>
      <c r="B261" s="17"/>
      <c r="C261" s="18"/>
      <c r="D261" s="18"/>
      <c r="E261" s="18"/>
      <c r="F261" s="18"/>
      <c r="G261" s="18"/>
      <c r="H261" s="18"/>
      <c r="I261" s="8"/>
      <c r="J261" s="18"/>
      <c r="K261" s="18"/>
      <c r="L261" s="18"/>
      <c r="M261" s="16"/>
    </row>
    <row r="262" spans="1:13">
      <c r="A262" s="16"/>
      <c r="B262" s="17"/>
      <c r="C262" s="18"/>
      <c r="D262" s="18"/>
      <c r="E262" s="18"/>
      <c r="F262" s="18"/>
      <c r="G262" s="18"/>
      <c r="H262" s="18"/>
      <c r="I262" s="8"/>
      <c r="J262" s="18"/>
      <c r="K262" s="18"/>
      <c r="L262" s="18"/>
      <c r="M262" s="16"/>
    </row>
    <row r="263" spans="1:13">
      <c r="A263" s="16"/>
      <c r="B263" s="17"/>
      <c r="C263" s="18"/>
      <c r="D263" s="18"/>
      <c r="E263" s="18"/>
      <c r="F263" s="18"/>
      <c r="G263" s="18"/>
      <c r="H263" s="18"/>
      <c r="I263" s="8"/>
      <c r="J263" s="18"/>
      <c r="K263" s="18"/>
      <c r="L263" s="18"/>
    </row>
    <row r="264" spans="1:13">
      <c r="A264" s="16"/>
      <c r="B264" s="17"/>
      <c r="C264" s="18"/>
      <c r="D264" s="18"/>
      <c r="E264" s="18"/>
      <c r="F264" s="18"/>
      <c r="G264" s="18"/>
      <c r="H264" s="18"/>
      <c r="I264" s="8"/>
      <c r="J264" s="18"/>
      <c r="K264" s="18"/>
      <c r="L264" s="18"/>
    </row>
    <row r="265" spans="1:13">
      <c r="B265" s="23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1:13">
      <c r="A266" s="16"/>
      <c r="B266" s="17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FW13"/>
  <sheetViews>
    <sheetView workbookViewId="0">
      <pane xSplit="1" ySplit="1" topLeftCell="T2" activePane="bottomRight" state="frozen"/>
      <selection activeCell="L25" sqref="L25"/>
      <selection pane="topRight" activeCell="L25" sqref="L25"/>
      <selection pane="bottomLeft" activeCell="L25" sqref="L25"/>
      <selection pane="bottomRight"/>
    </sheetView>
  </sheetViews>
  <sheetFormatPr defaultRowHeight="12.75"/>
  <sheetData>
    <row r="1" spans="1:179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204</v>
      </c>
      <c r="BF1" t="s">
        <v>205</v>
      </c>
      <c r="BG1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214</v>
      </c>
      <c r="BP1" t="s">
        <v>215</v>
      </c>
      <c r="BQ1" t="s">
        <v>216</v>
      </c>
      <c r="BR1" t="s">
        <v>217</v>
      </c>
      <c r="BS1" t="s">
        <v>218</v>
      </c>
      <c r="BT1" t="s">
        <v>219</v>
      </c>
      <c r="BU1" t="s">
        <v>220</v>
      </c>
      <c r="BV1" t="s">
        <v>221</v>
      </c>
      <c r="BW1" t="s">
        <v>222</v>
      </c>
      <c r="BX1" t="s">
        <v>223</v>
      </c>
      <c r="BY1" t="s">
        <v>224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231</v>
      </c>
      <c r="CG1" t="s">
        <v>232</v>
      </c>
      <c r="CH1" t="s">
        <v>233</v>
      </c>
      <c r="CI1" t="s">
        <v>234</v>
      </c>
      <c r="CJ1" t="s">
        <v>235</v>
      </c>
      <c r="CK1" t="s">
        <v>236</v>
      </c>
      <c r="CL1" t="s">
        <v>237</v>
      </c>
      <c r="CM1" t="s">
        <v>238</v>
      </c>
      <c r="CN1" t="s">
        <v>239</v>
      </c>
      <c r="CO1" t="s">
        <v>240</v>
      </c>
      <c r="CP1" t="s">
        <v>241</v>
      </c>
      <c r="CQ1" t="s">
        <v>242</v>
      </c>
      <c r="CR1" t="s">
        <v>243</v>
      </c>
      <c r="CS1" t="s">
        <v>244</v>
      </c>
      <c r="CT1" t="s">
        <v>245</v>
      </c>
      <c r="CU1" t="s">
        <v>246</v>
      </c>
      <c r="CV1" t="s">
        <v>247</v>
      </c>
      <c r="CW1" t="s">
        <v>248</v>
      </c>
      <c r="CX1" t="s">
        <v>249</v>
      </c>
      <c r="CY1" t="s">
        <v>250</v>
      </c>
      <c r="CZ1" t="s">
        <v>251</v>
      </c>
      <c r="DA1" t="s">
        <v>252</v>
      </c>
      <c r="DB1" t="s">
        <v>253</v>
      </c>
      <c r="DC1" t="s">
        <v>254</v>
      </c>
      <c r="DD1" t="s">
        <v>255</v>
      </c>
      <c r="DE1" t="s">
        <v>256</v>
      </c>
      <c r="DF1" t="s">
        <v>257</v>
      </c>
      <c r="DG1" t="s">
        <v>258</v>
      </c>
      <c r="DH1" t="s">
        <v>259</v>
      </c>
      <c r="DI1" t="s">
        <v>260</v>
      </c>
      <c r="DJ1" t="s">
        <v>261</v>
      </c>
      <c r="DK1" t="s">
        <v>262</v>
      </c>
      <c r="DL1" t="s">
        <v>263</v>
      </c>
      <c r="DM1" t="s">
        <v>264</v>
      </c>
      <c r="DN1" t="s">
        <v>265</v>
      </c>
      <c r="DO1" t="s">
        <v>266</v>
      </c>
      <c r="DP1" t="s">
        <v>267</v>
      </c>
      <c r="DQ1" t="s">
        <v>268</v>
      </c>
      <c r="DR1" t="s">
        <v>269</v>
      </c>
      <c r="DS1" t="s">
        <v>270</v>
      </c>
      <c r="DT1" t="s">
        <v>271</v>
      </c>
      <c r="DU1" t="s">
        <v>272</v>
      </c>
      <c r="DV1" t="s">
        <v>273</v>
      </c>
      <c r="DW1" t="s">
        <v>274</v>
      </c>
      <c r="DX1" t="s">
        <v>275</v>
      </c>
      <c r="DY1" t="s">
        <v>276</v>
      </c>
      <c r="DZ1" t="s">
        <v>277</v>
      </c>
      <c r="EA1" t="s">
        <v>278</v>
      </c>
      <c r="EB1" t="s">
        <v>279</v>
      </c>
      <c r="EC1" t="s">
        <v>280</v>
      </c>
      <c r="ED1" t="s">
        <v>281</v>
      </c>
      <c r="EE1" t="s">
        <v>282</v>
      </c>
      <c r="EF1" t="s">
        <v>283</v>
      </c>
      <c r="EG1" t="s">
        <v>284</v>
      </c>
      <c r="EH1" t="s">
        <v>285</v>
      </c>
      <c r="EI1" t="s">
        <v>286</v>
      </c>
      <c r="EJ1" t="s">
        <v>287</v>
      </c>
      <c r="EK1" t="s">
        <v>288</v>
      </c>
      <c r="EL1" t="s">
        <v>289</v>
      </c>
      <c r="EM1" t="s">
        <v>290</v>
      </c>
      <c r="EN1" t="s">
        <v>291</v>
      </c>
      <c r="EO1" t="s">
        <v>292</v>
      </c>
      <c r="EP1" t="s">
        <v>293</v>
      </c>
      <c r="EQ1" t="s">
        <v>294</v>
      </c>
      <c r="ER1" t="s">
        <v>295</v>
      </c>
      <c r="ES1" t="s">
        <v>296</v>
      </c>
      <c r="ET1" t="s">
        <v>297</v>
      </c>
      <c r="EU1" t="s">
        <v>298</v>
      </c>
      <c r="EV1" t="s">
        <v>299</v>
      </c>
      <c r="EW1" t="s">
        <v>300</v>
      </c>
      <c r="EX1" t="s">
        <v>301</v>
      </c>
      <c r="EY1" t="s">
        <v>302</v>
      </c>
      <c r="EZ1" t="s">
        <v>303</v>
      </c>
      <c r="FA1" t="s">
        <v>304</v>
      </c>
      <c r="FB1" t="s">
        <v>305</v>
      </c>
      <c r="FC1" t="s">
        <v>306</v>
      </c>
      <c r="FD1" t="s">
        <v>307</v>
      </c>
      <c r="FE1" t="s">
        <v>308</v>
      </c>
      <c r="FF1" t="s">
        <v>309</v>
      </c>
      <c r="FG1" t="s">
        <v>310</v>
      </c>
      <c r="FH1" t="s">
        <v>311</v>
      </c>
      <c r="FI1" t="s">
        <v>312</v>
      </c>
      <c r="FJ1" t="s">
        <v>313</v>
      </c>
      <c r="FK1" t="s">
        <v>314</v>
      </c>
      <c r="FL1" t="s">
        <v>315</v>
      </c>
      <c r="FM1" t="s">
        <v>316</v>
      </c>
      <c r="FN1" t="s">
        <v>317</v>
      </c>
      <c r="FO1" t="s">
        <v>318</v>
      </c>
      <c r="FP1" t="s">
        <v>319</v>
      </c>
      <c r="FQ1" t="s">
        <v>320</v>
      </c>
      <c r="FR1" t="s">
        <v>321</v>
      </c>
      <c r="FS1" t="s">
        <v>322</v>
      </c>
      <c r="FT1" t="s">
        <v>323</v>
      </c>
      <c r="FU1" t="s">
        <v>324</v>
      </c>
      <c r="FV1" t="s">
        <v>325</v>
      </c>
      <c r="FW1" t="s">
        <v>326</v>
      </c>
    </row>
    <row r="2" spans="1:179">
      <c r="A2" t="s">
        <v>59</v>
      </c>
      <c r="B2">
        <v>0</v>
      </c>
      <c r="C2">
        <v>0</v>
      </c>
      <c r="D2" t="s">
        <v>327</v>
      </c>
      <c r="E2">
        <v>0</v>
      </c>
      <c r="F2">
        <v>0</v>
      </c>
      <c r="G2" t="s">
        <v>327</v>
      </c>
      <c r="H2">
        <v>0</v>
      </c>
      <c r="I2">
        <v>0</v>
      </c>
      <c r="J2" t="s">
        <v>327</v>
      </c>
      <c r="K2">
        <v>0</v>
      </c>
      <c r="L2">
        <v>0</v>
      </c>
      <c r="M2" t="s">
        <v>327</v>
      </c>
      <c r="N2">
        <v>0</v>
      </c>
      <c r="O2">
        <v>0</v>
      </c>
      <c r="P2" t="s">
        <v>327</v>
      </c>
      <c r="Q2">
        <v>0</v>
      </c>
      <c r="R2">
        <v>0</v>
      </c>
      <c r="S2" t="s">
        <v>327</v>
      </c>
      <c r="T2">
        <v>0</v>
      </c>
      <c r="U2">
        <v>0</v>
      </c>
      <c r="V2" t="s">
        <v>327</v>
      </c>
      <c r="W2">
        <v>0</v>
      </c>
      <c r="X2">
        <v>0</v>
      </c>
      <c r="Y2" t="s">
        <v>327</v>
      </c>
      <c r="Z2">
        <v>0</v>
      </c>
      <c r="AA2">
        <v>0</v>
      </c>
      <c r="AB2" t="s">
        <v>327</v>
      </c>
      <c r="AC2">
        <v>0</v>
      </c>
      <c r="AD2">
        <v>0</v>
      </c>
      <c r="AE2" t="s">
        <v>327</v>
      </c>
      <c r="AH2" t="s">
        <v>328</v>
      </c>
      <c r="AI2">
        <v>0</v>
      </c>
      <c r="AJ2">
        <v>0</v>
      </c>
      <c r="AK2" t="s">
        <v>327</v>
      </c>
      <c r="AL2">
        <v>0</v>
      </c>
      <c r="AM2">
        <v>0</v>
      </c>
      <c r="AN2" t="s">
        <v>327</v>
      </c>
      <c r="AO2">
        <v>0</v>
      </c>
      <c r="AP2">
        <v>0</v>
      </c>
      <c r="AQ2" t="s">
        <v>327</v>
      </c>
      <c r="AR2">
        <v>0</v>
      </c>
      <c r="AS2">
        <v>0</v>
      </c>
      <c r="AT2" t="s">
        <v>327</v>
      </c>
      <c r="AU2">
        <v>0</v>
      </c>
      <c r="AV2">
        <v>0</v>
      </c>
      <c r="AW2" t="s">
        <v>327</v>
      </c>
      <c r="AX2">
        <v>0</v>
      </c>
      <c r="AY2">
        <v>0</v>
      </c>
      <c r="AZ2" t="s">
        <v>327</v>
      </c>
      <c r="BA2">
        <v>0</v>
      </c>
      <c r="BB2">
        <v>0</v>
      </c>
      <c r="BC2" t="s">
        <v>327</v>
      </c>
      <c r="BD2">
        <v>0</v>
      </c>
      <c r="BE2">
        <v>0</v>
      </c>
      <c r="BF2" t="s">
        <v>327</v>
      </c>
      <c r="BG2">
        <v>0</v>
      </c>
      <c r="BH2">
        <v>0</v>
      </c>
      <c r="BI2" t="s">
        <v>327</v>
      </c>
      <c r="BJ2">
        <v>0</v>
      </c>
      <c r="BK2">
        <v>0</v>
      </c>
      <c r="BL2" t="s">
        <v>327</v>
      </c>
      <c r="BM2">
        <v>0</v>
      </c>
      <c r="BN2">
        <v>0</v>
      </c>
      <c r="BO2" t="s">
        <v>327</v>
      </c>
      <c r="BP2">
        <v>0</v>
      </c>
      <c r="BQ2">
        <v>0</v>
      </c>
      <c r="BR2" t="s">
        <v>327</v>
      </c>
      <c r="BS2">
        <v>0</v>
      </c>
      <c r="BT2">
        <v>0</v>
      </c>
      <c r="BU2" t="s">
        <v>327</v>
      </c>
      <c r="BV2">
        <v>0</v>
      </c>
      <c r="BW2">
        <v>0</v>
      </c>
      <c r="BX2" t="s">
        <v>327</v>
      </c>
      <c r="BY2">
        <v>0</v>
      </c>
      <c r="BZ2">
        <v>0</v>
      </c>
      <c r="CA2" t="s">
        <v>327</v>
      </c>
      <c r="CB2">
        <v>0</v>
      </c>
      <c r="CC2">
        <v>0</v>
      </c>
      <c r="CD2" t="s">
        <v>327</v>
      </c>
      <c r="CE2">
        <v>0</v>
      </c>
      <c r="CF2">
        <v>0</v>
      </c>
      <c r="CG2" t="s">
        <v>327</v>
      </c>
      <c r="CH2">
        <v>0</v>
      </c>
      <c r="CI2">
        <v>0</v>
      </c>
      <c r="CJ2" t="s">
        <v>327</v>
      </c>
      <c r="CK2">
        <v>0</v>
      </c>
      <c r="CL2">
        <v>0</v>
      </c>
      <c r="CM2" t="s">
        <v>327</v>
      </c>
      <c r="CP2" t="s">
        <v>328</v>
      </c>
      <c r="CS2" t="s">
        <v>328</v>
      </c>
      <c r="CV2" t="s">
        <v>328</v>
      </c>
      <c r="CY2" t="s">
        <v>328</v>
      </c>
      <c r="DB2" t="s">
        <v>328</v>
      </c>
      <c r="DE2" t="s">
        <v>328</v>
      </c>
      <c r="DH2" t="s">
        <v>328</v>
      </c>
      <c r="DK2" t="s">
        <v>328</v>
      </c>
      <c r="DN2" t="s">
        <v>328</v>
      </c>
      <c r="DQ2" t="s">
        <v>328</v>
      </c>
      <c r="DT2" t="s">
        <v>328</v>
      </c>
      <c r="DW2" t="s">
        <v>328</v>
      </c>
      <c r="DZ2" t="s">
        <v>328</v>
      </c>
      <c r="EC2" t="s">
        <v>328</v>
      </c>
      <c r="EF2" t="s">
        <v>328</v>
      </c>
      <c r="EI2" t="s">
        <v>328</v>
      </c>
      <c r="EL2" t="s">
        <v>328</v>
      </c>
      <c r="EO2" t="s">
        <v>328</v>
      </c>
      <c r="EP2">
        <v>0</v>
      </c>
      <c r="EQ2">
        <v>0</v>
      </c>
      <c r="ER2" t="s">
        <v>327</v>
      </c>
      <c r="EU2" t="s">
        <v>328</v>
      </c>
      <c r="EX2" t="s">
        <v>328</v>
      </c>
      <c r="FA2" t="s">
        <v>328</v>
      </c>
      <c r="FD2" t="s">
        <v>328</v>
      </c>
      <c r="FG2" t="s">
        <v>328</v>
      </c>
      <c r="FJ2" t="s">
        <v>328</v>
      </c>
      <c r="FM2" t="s">
        <v>328</v>
      </c>
      <c r="FP2" t="s">
        <v>328</v>
      </c>
      <c r="FQ2">
        <v>0</v>
      </c>
      <c r="FR2">
        <v>0</v>
      </c>
      <c r="FS2" t="s">
        <v>327</v>
      </c>
      <c r="FW2">
        <v>1</v>
      </c>
    </row>
    <row r="3" spans="1:179">
      <c r="A3" t="s">
        <v>67</v>
      </c>
      <c r="D3" t="s">
        <v>328</v>
      </c>
      <c r="G3" t="s">
        <v>328</v>
      </c>
      <c r="J3" t="s">
        <v>328</v>
      </c>
      <c r="M3" t="s">
        <v>328</v>
      </c>
      <c r="P3" t="s">
        <v>328</v>
      </c>
      <c r="S3" t="s">
        <v>328</v>
      </c>
      <c r="V3" t="s">
        <v>328</v>
      </c>
      <c r="Y3" t="s">
        <v>328</v>
      </c>
      <c r="AB3" t="s">
        <v>328</v>
      </c>
      <c r="AE3" t="s">
        <v>328</v>
      </c>
      <c r="AH3" t="s">
        <v>328</v>
      </c>
      <c r="AK3" t="s">
        <v>328</v>
      </c>
      <c r="AN3" t="s">
        <v>328</v>
      </c>
      <c r="AQ3" t="s">
        <v>328</v>
      </c>
      <c r="AT3" t="s">
        <v>328</v>
      </c>
      <c r="AW3" t="s">
        <v>328</v>
      </c>
      <c r="AZ3" t="s">
        <v>328</v>
      </c>
      <c r="BC3" t="s">
        <v>328</v>
      </c>
      <c r="BF3" t="s">
        <v>328</v>
      </c>
      <c r="BI3" t="s">
        <v>328</v>
      </c>
      <c r="BL3" t="s">
        <v>328</v>
      </c>
      <c r="BO3" t="s">
        <v>328</v>
      </c>
      <c r="BR3" t="s">
        <v>328</v>
      </c>
      <c r="BU3" t="s">
        <v>328</v>
      </c>
      <c r="BX3" t="s">
        <v>328</v>
      </c>
      <c r="CA3" t="s">
        <v>328</v>
      </c>
      <c r="CD3" t="s">
        <v>328</v>
      </c>
      <c r="CG3" t="s">
        <v>328</v>
      </c>
      <c r="CJ3" t="s">
        <v>328</v>
      </c>
      <c r="CM3" t="s">
        <v>328</v>
      </c>
      <c r="CP3" t="s">
        <v>328</v>
      </c>
      <c r="CS3" t="s">
        <v>328</v>
      </c>
      <c r="CV3" t="s">
        <v>328</v>
      </c>
      <c r="CY3" t="s">
        <v>328</v>
      </c>
      <c r="DB3" t="s">
        <v>328</v>
      </c>
      <c r="DE3" t="s">
        <v>328</v>
      </c>
      <c r="DH3" t="s">
        <v>328</v>
      </c>
      <c r="DK3" t="s">
        <v>328</v>
      </c>
      <c r="DN3" t="s">
        <v>328</v>
      </c>
      <c r="DQ3" t="s">
        <v>328</v>
      </c>
      <c r="DT3" t="s">
        <v>328</v>
      </c>
      <c r="DW3" t="s">
        <v>328</v>
      </c>
      <c r="DZ3" t="s">
        <v>328</v>
      </c>
      <c r="EC3" t="s">
        <v>328</v>
      </c>
      <c r="EF3" t="s">
        <v>328</v>
      </c>
      <c r="EI3" t="s">
        <v>328</v>
      </c>
      <c r="EL3" t="s">
        <v>328</v>
      </c>
      <c r="EO3" t="s">
        <v>328</v>
      </c>
      <c r="ER3" t="s">
        <v>328</v>
      </c>
      <c r="EU3" t="s">
        <v>328</v>
      </c>
      <c r="EX3" t="s">
        <v>328</v>
      </c>
      <c r="FA3" t="s">
        <v>328</v>
      </c>
      <c r="FD3" t="s">
        <v>328</v>
      </c>
      <c r="FG3" t="s">
        <v>328</v>
      </c>
      <c r="FJ3" t="s">
        <v>328</v>
      </c>
      <c r="FM3" t="s">
        <v>328</v>
      </c>
      <c r="FP3" t="s">
        <v>328</v>
      </c>
      <c r="FS3" t="s">
        <v>328</v>
      </c>
      <c r="FW3">
        <v>2</v>
      </c>
    </row>
    <row r="4" spans="1:179">
      <c r="A4" t="s">
        <v>68</v>
      </c>
      <c r="D4" t="s">
        <v>328</v>
      </c>
      <c r="G4" t="s">
        <v>328</v>
      </c>
      <c r="J4" t="s">
        <v>328</v>
      </c>
      <c r="M4" t="s">
        <v>328</v>
      </c>
      <c r="P4" t="s">
        <v>328</v>
      </c>
      <c r="S4" t="s">
        <v>328</v>
      </c>
      <c r="V4" t="s">
        <v>328</v>
      </c>
      <c r="Y4" t="s">
        <v>328</v>
      </c>
      <c r="AB4" t="s">
        <v>328</v>
      </c>
      <c r="AE4" t="s">
        <v>328</v>
      </c>
      <c r="AH4" t="s">
        <v>328</v>
      </c>
      <c r="AK4" t="s">
        <v>328</v>
      </c>
      <c r="AN4" t="s">
        <v>328</v>
      </c>
      <c r="AQ4" t="s">
        <v>328</v>
      </c>
      <c r="AT4" t="s">
        <v>328</v>
      </c>
      <c r="AW4" t="s">
        <v>328</v>
      </c>
      <c r="AZ4" t="s">
        <v>328</v>
      </c>
      <c r="BC4" t="s">
        <v>328</v>
      </c>
      <c r="BF4" t="s">
        <v>328</v>
      </c>
      <c r="BI4" t="s">
        <v>328</v>
      </c>
      <c r="BL4" t="s">
        <v>328</v>
      </c>
      <c r="BO4" t="s">
        <v>328</v>
      </c>
      <c r="BR4" t="s">
        <v>328</v>
      </c>
      <c r="BU4" t="s">
        <v>328</v>
      </c>
      <c r="BX4" t="s">
        <v>328</v>
      </c>
      <c r="CA4" t="s">
        <v>328</v>
      </c>
      <c r="CD4" t="s">
        <v>328</v>
      </c>
      <c r="CG4" t="s">
        <v>328</v>
      </c>
      <c r="CJ4" t="s">
        <v>328</v>
      </c>
      <c r="CM4" t="s">
        <v>328</v>
      </c>
      <c r="CP4" t="s">
        <v>328</v>
      </c>
      <c r="CS4" t="s">
        <v>328</v>
      </c>
      <c r="CV4" t="s">
        <v>328</v>
      </c>
      <c r="CY4" t="s">
        <v>328</v>
      </c>
      <c r="DB4" t="s">
        <v>328</v>
      </c>
      <c r="DE4" t="s">
        <v>328</v>
      </c>
      <c r="DH4" t="s">
        <v>328</v>
      </c>
      <c r="DK4" t="s">
        <v>328</v>
      </c>
      <c r="DN4" t="s">
        <v>328</v>
      </c>
      <c r="DQ4" t="s">
        <v>328</v>
      </c>
      <c r="DT4" t="s">
        <v>328</v>
      </c>
      <c r="DW4" t="s">
        <v>328</v>
      </c>
      <c r="DZ4" t="s">
        <v>328</v>
      </c>
      <c r="EC4" t="s">
        <v>328</v>
      </c>
      <c r="EF4" t="s">
        <v>328</v>
      </c>
      <c r="EI4" t="s">
        <v>328</v>
      </c>
      <c r="EL4" t="s">
        <v>328</v>
      </c>
      <c r="EO4" t="s">
        <v>328</v>
      </c>
      <c r="ER4" t="s">
        <v>328</v>
      </c>
      <c r="EU4" t="s">
        <v>328</v>
      </c>
      <c r="EX4" t="s">
        <v>328</v>
      </c>
      <c r="FA4" t="s">
        <v>328</v>
      </c>
      <c r="FD4" t="s">
        <v>328</v>
      </c>
      <c r="FG4" t="s">
        <v>328</v>
      </c>
      <c r="FJ4" t="s">
        <v>328</v>
      </c>
      <c r="FM4" t="s">
        <v>328</v>
      </c>
      <c r="FP4" t="s">
        <v>328</v>
      </c>
      <c r="FS4" t="s">
        <v>328</v>
      </c>
      <c r="FW4">
        <v>3</v>
      </c>
    </row>
    <row r="5" spans="1:179">
      <c r="A5" t="s">
        <v>69</v>
      </c>
      <c r="D5" t="s">
        <v>328</v>
      </c>
      <c r="G5" t="s">
        <v>328</v>
      </c>
      <c r="J5" t="s">
        <v>328</v>
      </c>
      <c r="M5" t="s">
        <v>328</v>
      </c>
      <c r="P5" t="s">
        <v>328</v>
      </c>
      <c r="S5" t="s">
        <v>328</v>
      </c>
      <c r="V5" t="s">
        <v>328</v>
      </c>
      <c r="Y5" t="s">
        <v>328</v>
      </c>
      <c r="AB5" t="s">
        <v>328</v>
      </c>
      <c r="AE5" t="s">
        <v>328</v>
      </c>
      <c r="AH5" t="s">
        <v>328</v>
      </c>
      <c r="AK5" t="s">
        <v>328</v>
      </c>
      <c r="AN5" t="s">
        <v>328</v>
      </c>
      <c r="AQ5" t="s">
        <v>328</v>
      </c>
      <c r="AT5" t="s">
        <v>328</v>
      </c>
      <c r="AW5" t="s">
        <v>328</v>
      </c>
      <c r="AZ5" t="s">
        <v>328</v>
      </c>
      <c r="BC5" t="s">
        <v>328</v>
      </c>
      <c r="BF5" t="s">
        <v>328</v>
      </c>
      <c r="BI5" t="s">
        <v>328</v>
      </c>
      <c r="BL5" t="s">
        <v>328</v>
      </c>
      <c r="BO5" t="s">
        <v>328</v>
      </c>
      <c r="BR5" t="s">
        <v>328</v>
      </c>
      <c r="BU5" t="s">
        <v>328</v>
      </c>
      <c r="BX5" t="s">
        <v>328</v>
      </c>
      <c r="CA5" t="s">
        <v>328</v>
      </c>
      <c r="CD5" t="s">
        <v>328</v>
      </c>
      <c r="CG5" t="s">
        <v>328</v>
      </c>
      <c r="CJ5" t="s">
        <v>328</v>
      </c>
      <c r="CM5" t="s">
        <v>328</v>
      </c>
      <c r="CP5" t="s">
        <v>328</v>
      </c>
      <c r="CS5" t="s">
        <v>328</v>
      </c>
      <c r="CV5" t="s">
        <v>328</v>
      </c>
      <c r="CY5" t="s">
        <v>328</v>
      </c>
      <c r="DB5" t="s">
        <v>328</v>
      </c>
      <c r="DE5" t="s">
        <v>328</v>
      </c>
      <c r="DH5" t="s">
        <v>328</v>
      </c>
      <c r="DK5" t="s">
        <v>328</v>
      </c>
      <c r="DN5" t="s">
        <v>328</v>
      </c>
      <c r="DQ5" t="s">
        <v>328</v>
      </c>
      <c r="DT5" t="s">
        <v>328</v>
      </c>
      <c r="DW5" t="s">
        <v>328</v>
      </c>
      <c r="DZ5" t="s">
        <v>328</v>
      </c>
      <c r="EC5" t="s">
        <v>328</v>
      </c>
      <c r="EF5" t="s">
        <v>328</v>
      </c>
      <c r="EI5" t="s">
        <v>328</v>
      </c>
      <c r="EL5" t="s">
        <v>328</v>
      </c>
      <c r="EO5" t="s">
        <v>328</v>
      </c>
      <c r="ER5" t="s">
        <v>328</v>
      </c>
      <c r="EU5" t="s">
        <v>328</v>
      </c>
      <c r="EX5" t="s">
        <v>328</v>
      </c>
      <c r="FA5" t="s">
        <v>328</v>
      </c>
      <c r="FD5" t="s">
        <v>328</v>
      </c>
      <c r="FG5" t="s">
        <v>328</v>
      </c>
      <c r="FJ5" t="s">
        <v>328</v>
      </c>
      <c r="FM5" t="s">
        <v>328</v>
      </c>
      <c r="FP5" t="s">
        <v>328</v>
      </c>
      <c r="FS5" t="s">
        <v>328</v>
      </c>
      <c r="FW5">
        <v>4</v>
      </c>
    </row>
    <row r="6" spans="1:179">
      <c r="A6" t="s">
        <v>70</v>
      </c>
      <c r="D6" t="s">
        <v>328</v>
      </c>
      <c r="G6" t="s">
        <v>328</v>
      </c>
      <c r="J6" t="s">
        <v>328</v>
      </c>
      <c r="M6" t="s">
        <v>328</v>
      </c>
      <c r="P6" t="s">
        <v>328</v>
      </c>
      <c r="S6" t="s">
        <v>328</v>
      </c>
      <c r="V6" t="s">
        <v>328</v>
      </c>
      <c r="Y6" t="s">
        <v>328</v>
      </c>
      <c r="AB6" t="s">
        <v>328</v>
      </c>
      <c r="AE6" t="s">
        <v>328</v>
      </c>
      <c r="AH6" t="s">
        <v>328</v>
      </c>
      <c r="AK6" t="s">
        <v>328</v>
      </c>
      <c r="AN6" t="s">
        <v>328</v>
      </c>
      <c r="AQ6" t="s">
        <v>328</v>
      </c>
      <c r="AT6" t="s">
        <v>328</v>
      </c>
      <c r="AW6" t="s">
        <v>328</v>
      </c>
      <c r="AZ6" t="s">
        <v>328</v>
      </c>
      <c r="BC6" t="s">
        <v>328</v>
      </c>
      <c r="BF6" t="s">
        <v>328</v>
      </c>
      <c r="BI6" t="s">
        <v>328</v>
      </c>
      <c r="BL6" t="s">
        <v>328</v>
      </c>
      <c r="BO6" t="s">
        <v>328</v>
      </c>
      <c r="BR6" t="s">
        <v>328</v>
      </c>
      <c r="BU6" t="s">
        <v>328</v>
      </c>
      <c r="BX6" t="s">
        <v>328</v>
      </c>
      <c r="CA6" t="s">
        <v>328</v>
      </c>
      <c r="CD6" t="s">
        <v>328</v>
      </c>
      <c r="CG6" t="s">
        <v>328</v>
      </c>
      <c r="CJ6" t="s">
        <v>328</v>
      </c>
      <c r="CM6" t="s">
        <v>328</v>
      </c>
      <c r="CP6" t="s">
        <v>328</v>
      </c>
      <c r="CS6" t="s">
        <v>328</v>
      </c>
      <c r="CV6" t="s">
        <v>328</v>
      </c>
      <c r="CY6" t="s">
        <v>328</v>
      </c>
      <c r="DB6" t="s">
        <v>328</v>
      </c>
      <c r="DE6" t="s">
        <v>328</v>
      </c>
      <c r="DH6" t="s">
        <v>328</v>
      </c>
      <c r="DK6" t="s">
        <v>328</v>
      </c>
      <c r="DN6" t="s">
        <v>328</v>
      </c>
      <c r="DQ6" t="s">
        <v>328</v>
      </c>
      <c r="DT6" t="s">
        <v>328</v>
      </c>
      <c r="DW6" t="s">
        <v>328</v>
      </c>
      <c r="DZ6" t="s">
        <v>328</v>
      </c>
      <c r="EC6" t="s">
        <v>328</v>
      </c>
      <c r="EF6" t="s">
        <v>328</v>
      </c>
      <c r="EI6" t="s">
        <v>328</v>
      </c>
      <c r="EL6" t="s">
        <v>328</v>
      </c>
      <c r="EO6" t="s">
        <v>328</v>
      </c>
      <c r="ER6" t="s">
        <v>328</v>
      </c>
      <c r="EU6" t="s">
        <v>328</v>
      </c>
      <c r="EX6" t="s">
        <v>328</v>
      </c>
      <c r="FA6" t="s">
        <v>328</v>
      </c>
      <c r="FD6" t="s">
        <v>328</v>
      </c>
      <c r="FG6" t="s">
        <v>328</v>
      </c>
      <c r="FJ6" t="s">
        <v>328</v>
      </c>
      <c r="FM6" t="s">
        <v>328</v>
      </c>
      <c r="FP6" t="s">
        <v>328</v>
      </c>
      <c r="FS6" t="s">
        <v>328</v>
      </c>
      <c r="FW6">
        <v>5</v>
      </c>
    </row>
    <row r="7" spans="1:179">
      <c r="A7" t="s">
        <v>71</v>
      </c>
      <c r="D7" t="s">
        <v>328</v>
      </c>
      <c r="G7" t="s">
        <v>328</v>
      </c>
      <c r="J7" t="s">
        <v>328</v>
      </c>
      <c r="M7" t="s">
        <v>328</v>
      </c>
      <c r="P7" t="s">
        <v>328</v>
      </c>
      <c r="S7" t="s">
        <v>328</v>
      </c>
      <c r="V7" t="s">
        <v>328</v>
      </c>
      <c r="Y7" t="s">
        <v>328</v>
      </c>
      <c r="AB7" t="s">
        <v>328</v>
      </c>
      <c r="AE7" t="s">
        <v>328</v>
      </c>
      <c r="AH7" t="s">
        <v>328</v>
      </c>
      <c r="AK7" t="s">
        <v>328</v>
      </c>
      <c r="AN7" t="s">
        <v>328</v>
      </c>
      <c r="AQ7" t="s">
        <v>328</v>
      </c>
      <c r="AT7" t="s">
        <v>328</v>
      </c>
      <c r="AW7" t="s">
        <v>328</v>
      </c>
      <c r="AZ7" t="s">
        <v>328</v>
      </c>
      <c r="BC7" t="s">
        <v>328</v>
      </c>
      <c r="BF7" t="s">
        <v>328</v>
      </c>
      <c r="BI7" t="s">
        <v>328</v>
      </c>
      <c r="BL7" t="s">
        <v>328</v>
      </c>
      <c r="BO7" t="s">
        <v>328</v>
      </c>
      <c r="BR7" t="s">
        <v>328</v>
      </c>
      <c r="BU7" t="s">
        <v>328</v>
      </c>
      <c r="BX7" t="s">
        <v>328</v>
      </c>
      <c r="CA7" t="s">
        <v>328</v>
      </c>
      <c r="CD7" t="s">
        <v>328</v>
      </c>
      <c r="CG7" t="s">
        <v>328</v>
      </c>
      <c r="CJ7" t="s">
        <v>328</v>
      </c>
      <c r="CM7" t="s">
        <v>328</v>
      </c>
      <c r="CP7" t="s">
        <v>328</v>
      </c>
      <c r="CS7" t="s">
        <v>328</v>
      </c>
      <c r="CV7" t="s">
        <v>328</v>
      </c>
      <c r="CY7" t="s">
        <v>328</v>
      </c>
      <c r="DB7" t="s">
        <v>328</v>
      </c>
      <c r="DE7" t="s">
        <v>328</v>
      </c>
      <c r="DH7" t="s">
        <v>328</v>
      </c>
      <c r="DK7" t="s">
        <v>328</v>
      </c>
      <c r="DN7" t="s">
        <v>328</v>
      </c>
      <c r="DQ7" t="s">
        <v>328</v>
      </c>
      <c r="DT7" t="s">
        <v>328</v>
      </c>
      <c r="DW7" t="s">
        <v>328</v>
      </c>
      <c r="DZ7" t="s">
        <v>328</v>
      </c>
      <c r="EC7" t="s">
        <v>328</v>
      </c>
      <c r="EF7" t="s">
        <v>328</v>
      </c>
      <c r="EI7" t="s">
        <v>328</v>
      </c>
      <c r="EL7" t="s">
        <v>328</v>
      </c>
      <c r="EO7" t="s">
        <v>328</v>
      </c>
      <c r="ER7" t="s">
        <v>328</v>
      </c>
      <c r="EU7" t="s">
        <v>328</v>
      </c>
      <c r="EX7" t="s">
        <v>328</v>
      </c>
      <c r="FA7" t="s">
        <v>328</v>
      </c>
      <c r="FD7" t="s">
        <v>328</v>
      </c>
      <c r="FG7" t="s">
        <v>328</v>
      </c>
      <c r="FJ7" t="s">
        <v>328</v>
      </c>
      <c r="FM7" t="s">
        <v>328</v>
      </c>
      <c r="FP7" t="s">
        <v>328</v>
      </c>
      <c r="FS7" t="s">
        <v>328</v>
      </c>
      <c r="FW7">
        <v>6</v>
      </c>
    </row>
    <row r="8" spans="1:179">
      <c r="A8" t="s">
        <v>72</v>
      </c>
      <c r="D8" t="s">
        <v>328</v>
      </c>
      <c r="G8" t="s">
        <v>328</v>
      </c>
      <c r="J8" t="s">
        <v>328</v>
      </c>
      <c r="M8" t="s">
        <v>328</v>
      </c>
      <c r="P8" t="s">
        <v>328</v>
      </c>
      <c r="S8" t="s">
        <v>328</v>
      </c>
      <c r="V8" t="s">
        <v>328</v>
      </c>
      <c r="Y8" t="s">
        <v>328</v>
      </c>
      <c r="AB8" t="s">
        <v>328</v>
      </c>
      <c r="AE8" t="s">
        <v>328</v>
      </c>
      <c r="AH8" t="s">
        <v>328</v>
      </c>
      <c r="AK8" t="s">
        <v>328</v>
      </c>
      <c r="AN8" t="s">
        <v>328</v>
      </c>
      <c r="AQ8" t="s">
        <v>328</v>
      </c>
      <c r="AT8" t="s">
        <v>328</v>
      </c>
      <c r="AW8" t="s">
        <v>328</v>
      </c>
      <c r="AZ8" t="s">
        <v>328</v>
      </c>
      <c r="BC8" t="s">
        <v>328</v>
      </c>
      <c r="BF8" t="s">
        <v>328</v>
      </c>
      <c r="BI8" t="s">
        <v>328</v>
      </c>
      <c r="BL8" t="s">
        <v>328</v>
      </c>
      <c r="BO8" t="s">
        <v>328</v>
      </c>
      <c r="BR8" t="s">
        <v>328</v>
      </c>
      <c r="BU8" t="s">
        <v>328</v>
      </c>
      <c r="BX8" t="s">
        <v>328</v>
      </c>
      <c r="CA8" t="s">
        <v>328</v>
      </c>
      <c r="CD8" t="s">
        <v>328</v>
      </c>
      <c r="CG8" t="s">
        <v>328</v>
      </c>
      <c r="CJ8" t="s">
        <v>328</v>
      </c>
      <c r="CM8" t="s">
        <v>328</v>
      </c>
      <c r="CP8" t="s">
        <v>328</v>
      </c>
      <c r="CS8" t="s">
        <v>328</v>
      </c>
      <c r="CV8" t="s">
        <v>328</v>
      </c>
      <c r="CY8" t="s">
        <v>328</v>
      </c>
      <c r="DB8" t="s">
        <v>328</v>
      </c>
      <c r="DE8" t="s">
        <v>328</v>
      </c>
      <c r="DH8" t="s">
        <v>328</v>
      </c>
      <c r="DK8" t="s">
        <v>328</v>
      </c>
      <c r="DN8" t="s">
        <v>328</v>
      </c>
      <c r="DQ8" t="s">
        <v>328</v>
      </c>
      <c r="DT8" t="s">
        <v>328</v>
      </c>
      <c r="DW8" t="s">
        <v>328</v>
      </c>
      <c r="DZ8" t="s">
        <v>328</v>
      </c>
      <c r="EC8" t="s">
        <v>328</v>
      </c>
      <c r="EF8" t="s">
        <v>328</v>
      </c>
      <c r="EI8" t="s">
        <v>328</v>
      </c>
      <c r="EL8" t="s">
        <v>328</v>
      </c>
      <c r="EO8" t="s">
        <v>328</v>
      </c>
      <c r="ER8" t="s">
        <v>328</v>
      </c>
      <c r="EU8" t="s">
        <v>328</v>
      </c>
      <c r="EX8" t="s">
        <v>328</v>
      </c>
      <c r="FA8" t="s">
        <v>328</v>
      </c>
      <c r="FD8" t="s">
        <v>328</v>
      </c>
      <c r="FG8" t="s">
        <v>328</v>
      </c>
      <c r="FJ8" t="s">
        <v>328</v>
      </c>
      <c r="FM8" t="s">
        <v>328</v>
      </c>
      <c r="FP8" t="s">
        <v>328</v>
      </c>
      <c r="FS8" t="s">
        <v>328</v>
      </c>
      <c r="FW8">
        <v>7</v>
      </c>
    </row>
    <row r="9" spans="1:179">
      <c r="A9" t="s">
        <v>73</v>
      </c>
      <c r="D9" t="s">
        <v>328</v>
      </c>
      <c r="G9" t="s">
        <v>328</v>
      </c>
      <c r="J9" t="s">
        <v>328</v>
      </c>
      <c r="M9" t="s">
        <v>328</v>
      </c>
      <c r="P9" t="s">
        <v>328</v>
      </c>
      <c r="S9" t="s">
        <v>328</v>
      </c>
      <c r="V9" t="s">
        <v>328</v>
      </c>
      <c r="Y9" t="s">
        <v>328</v>
      </c>
      <c r="AB9" t="s">
        <v>328</v>
      </c>
      <c r="AE9" t="s">
        <v>328</v>
      </c>
      <c r="AH9" t="s">
        <v>328</v>
      </c>
      <c r="AK9" t="s">
        <v>328</v>
      </c>
      <c r="AN9" t="s">
        <v>328</v>
      </c>
      <c r="AQ9" t="s">
        <v>328</v>
      </c>
      <c r="AT9" t="s">
        <v>328</v>
      </c>
      <c r="AW9" t="s">
        <v>328</v>
      </c>
      <c r="AZ9" t="s">
        <v>328</v>
      </c>
      <c r="BC9" t="s">
        <v>328</v>
      </c>
      <c r="BF9" t="s">
        <v>328</v>
      </c>
      <c r="BI9" t="s">
        <v>328</v>
      </c>
      <c r="BL9" t="s">
        <v>328</v>
      </c>
      <c r="BO9" t="s">
        <v>328</v>
      </c>
      <c r="BR9" t="s">
        <v>328</v>
      </c>
      <c r="BU9" t="s">
        <v>328</v>
      </c>
      <c r="BX9" t="s">
        <v>328</v>
      </c>
      <c r="CA9" t="s">
        <v>328</v>
      </c>
      <c r="CD9" t="s">
        <v>328</v>
      </c>
      <c r="CG9" t="s">
        <v>328</v>
      </c>
      <c r="CJ9" t="s">
        <v>328</v>
      </c>
      <c r="CM9" t="s">
        <v>328</v>
      </c>
      <c r="CP9" t="s">
        <v>328</v>
      </c>
      <c r="CS9" t="s">
        <v>328</v>
      </c>
      <c r="CV9" t="s">
        <v>328</v>
      </c>
      <c r="CY9" t="s">
        <v>328</v>
      </c>
      <c r="DB9" t="s">
        <v>328</v>
      </c>
      <c r="DE9" t="s">
        <v>328</v>
      </c>
      <c r="DH9" t="s">
        <v>328</v>
      </c>
      <c r="DK9" t="s">
        <v>328</v>
      </c>
      <c r="DN9" t="s">
        <v>328</v>
      </c>
      <c r="DQ9" t="s">
        <v>328</v>
      </c>
      <c r="DT9" t="s">
        <v>328</v>
      </c>
      <c r="DW9" t="s">
        <v>328</v>
      </c>
      <c r="DZ9" t="s">
        <v>328</v>
      </c>
      <c r="EC9" t="s">
        <v>328</v>
      </c>
      <c r="EF9" t="s">
        <v>328</v>
      </c>
      <c r="EI9" t="s">
        <v>328</v>
      </c>
      <c r="EL9" t="s">
        <v>328</v>
      </c>
      <c r="EO9" t="s">
        <v>328</v>
      </c>
      <c r="ER9" t="s">
        <v>328</v>
      </c>
      <c r="EU9" t="s">
        <v>328</v>
      </c>
      <c r="EX9" t="s">
        <v>328</v>
      </c>
      <c r="FA9" t="s">
        <v>328</v>
      </c>
      <c r="FD9" t="s">
        <v>328</v>
      </c>
      <c r="FG9" t="s">
        <v>328</v>
      </c>
      <c r="FJ9" t="s">
        <v>328</v>
      </c>
      <c r="FM9" t="s">
        <v>328</v>
      </c>
      <c r="FP9" t="s">
        <v>328</v>
      </c>
      <c r="FS9" t="s">
        <v>328</v>
      </c>
      <c r="FW9">
        <v>8</v>
      </c>
    </row>
    <row r="10" spans="1:179">
      <c r="A10" t="s">
        <v>74</v>
      </c>
      <c r="B10">
        <v>9.6750000000000003E-2</v>
      </c>
      <c r="C10">
        <v>3.5300000000000002E-3</v>
      </c>
      <c r="D10" t="s">
        <v>329</v>
      </c>
      <c r="E10">
        <v>8.8200000000000001E-2</v>
      </c>
      <c r="F10">
        <v>2.9099999999999998E-3</v>
      </c>
      <c r="G10" t="s">
        <v>329</v>
      </c>
      <c r="H10">
        <v>5.3490000000000003E-2</v>
      </c>
      <c r="I10">
        <v>4.0400000000000002E-3</v>
      </c>
      <c r="J10" t="s">
        <v>329</v>
      </c>
      <c r="K10">
        <v>3.245E-2</v>
      </c>
      <c r="L10">
        <v>2.7799999999999999E-3</v>
      </c>
      <c r="M10" t="s">
        <v>329</v>
      </c>
      <c r="N10">
        <v>1.8669999999999999E-2</v>
      </c>
      <c r="O10">
        <v>1.72E-3</v>
      </c>
      <c r="P10" t="s">
        <v>329</v>
      </c>
      <c r="Q10">
        <v>5.6849999999999998E-2</v>
      </c>
      <c r="R10">
        <v>4.7200000000000002E-3</v>
      </c>
      <c r="S10" t="s">
        <v>329</v>
      </c>
      <c r="T10">
        <v>1.3639999999999999E-2</v>
      </c>
      <c r="U10">
        <v>2.2599999999999999E-3</v>
      </c>
      <c r="V10" t="s">
        <v>329</v>
      </c>
      <c r="W10">
        <v>2.6589999999999999E-2</v>
      </c>
      <c r="X10">
        <v>2.6099999999999999E-3</v>
      </c>
      <c r="Y10" t="s">
        <v>329</v>
      </c>
      <c r="Z10">
        <v>9.5899999999999996E-3</v>
      </c>
      <c r="AA10">
        <v>3.8500000000000001E-3</v>
      </c>
      <c r="AB10" t="s">
        <v>329</v>
      </c>
      <c r="AC10">
        <v>4.5100000000000001E-2</v>
      </c>
      <c r="AD10">
        <v>2.8400000000000001E-3</v>
      </c>
      <c r="AE10" t="s">
        <v>329</v>
      </c>
      <c r="AH10" t="s">
        <v>328</v>
      </c>
      <c r="AI10">
        <v>-2.32E-3</v>
      </c>
      <c r="AJ10">
        <v>3.1900000000000001E-3</v>
      </c>
      <c r="AK10" t="s">
        <v>327</v>
      </c>
      <c r="AL10">
        <v>2.657E-2</v>
      </c>
      <c r="AM10">
        <v>3.1700000000000001E-3</v>
      </c>
      <c r="AN10" t="s">
        <v>329</v>
      </c>
      <c r="AO10">
        <v>3.0509999999999999E-2</v>
      </c>
      <c r="AP10">
        <v>4.28E-3</v>
      </c>
      <c r="AQ10" t="s">
        <v>329</v>
      </c>
      <c r="AR10">
        <v>7.8560000000000005E-2</v>
      </c>
      <c r="AS10">
        <v>8.4899999999999993E-3</v>
      </c>
      <c r="AT10" t="s">
        <v>329</v>
      </c>
      <c r="AU10">
        <v>3.3950000000000001E-2</v>
      </c>
      <c r="AV10">
        <v>1.7899999999999999E-3</v>
      </c>
      <c r="AW10" t="s">
        <v>329</v>
      </c>
      <c r="AX10">
        <v>3.3009999999999998E-2</v>
      </c>
      <c r="AY10">
        <v>1.6100000000000001E-3</v>
      </c>
      <c r="AZ10" t="s">
        <v>329</v>
      </c>
      <c r="BA10">
        <v>3.4689999999999999E-2</v>
      </c>
      <c r="BB10">
        <v>1.89E-3</v>
      </c>
      <c r="BC10" t="s">
        <v>329</v>
      </c>
      <c r="BD10">
        <v>3.8679999999999999E-2</v>
      </c>
      <c r="BE10">
        <v>1.9599999999999999E-3</v>
      </c>
      <c r="BF10" t="s">
        <v>329</v>
      </c>
      <c r="BG10">
        <v>3.721E-2</v>
      </c>
      <c r="BH10">
        <v>1.65E-3</v>
      </c>
      <c r="BI10" t="s">
        <v>329</v>
      </c>
      <c r="BJ10">
        <v>1.234E-2</v>
      </c>
      <c r="BK10">
        <v>2.0500000000000002E-3</v>
      </c>
      <c r="BL10" t="s">
        <v>329</v>
      </c>
      <c r="BM10">
        <v>4.7969999999999999E-2</v>
      </c>
      <c r="BN10">
        <v>2.1700000000000001E-3</v>
      </c>
      <c r="BO10" t="s">
        <v>329</v>
      </c>
      <c r="BP10">
        <v>-1.831E-2</v>
      </c>
      <c r="BQ10">
        <v>4.8999999999999998E-3</v>
      </c>
      <c r="BR10" t="s">
        <v>327</v>
      </c>
      <c r="BU10" t="s">
        <v>328</v>
      </c>
      <c r="BV10">
        <v>-0.28277000000000002</v>
      </c>
      <c r="BW10">
        <v>1.004E-2</v>
      </c>
      <c r="BX10" t="s">
        <v>327</v>
      </c>
      <c r="BY10">
        <v>-4.2610000000000002E-2</v>
      </c>
      <c r="BZ10">
        <v>4.0600000000000002E-3</v>
      </c>
      <c r="CA10" t="s">
        <v>327</v>
      </c>
      <c r="CB10">
        <v>-4.5859999999999998E-2</v>
      </c>
      <c r="CC10">
        <v>2.82E-3</v>
      </c>
      <c r="CD10" t="s">
        <v>327</v>
      </c>
      <c r="CE10">
        <v>-4.3720000000000002E-2</v>
      </c>
      <c r="CF10">
        <v>3.1900000000000001E-3</v>
      </c>
      <c r="CG10" t="s">
        <v>327</v>
      </c>
      <c r="CH10">
        <v>-3.6880000000000003E-2</v>
      </c>
      <c r="CI10">
        <v>2.66E-3</v>
      </c>
      <c r="CJ10" t="s">
        <v>327</v>
      </c>
      <c r="CK10">
        <v>-3.5779999999999999E-2</v>
      </c>
      <c r="CL10">
        <v>2.5300000000000001E-3</v>
      </c>
      <c r="CM10" t="s">
        <v>327</v>
      </c>
      <c r="CN10">
        <v>1.0831200000000001</v>
      </c>
      <c r="CO10">
        <v>2.1850000000000001E-2</v>
      </c>
      <c r="CP10" t="s">
        <v>329</v>
      </c>
      <c r="CQ10">
        <v>0.66064999999999996</v>
      </c>
      <c r="CR10">
        <v>1.566E-2</v>
      </c>
      <c r="CS10" t="s">
        <v>329</v>
      </c>
      <c r="CT10">
        <v>0.25185000000000002</v>
      </c>
      <c r="CU10">
        <v>5.4599999999999996E-3</v>
      </c>
      <c r="CV10" t="s">
        <v>329</v>
      </c>
      <c r="CW10">
        <v>4.2266399999999997</v>
      </c>
      <c r="CX10">
        <v>0.20568</v>
      </c>
      <c r="CY10" t="s">
        <v>329</v>
      </c>
      <c r="CZ10">
        <v>-1.112E-2</v>
      </c>
      <c r="DA10">
        <v>2.392E-2</v>
      </c>
      <c r="DB10" t="s">
        <v>327</v>
      </c>
      <c r="DC10">
        <v>3.0013000000000001</v>
      </c>
      <c r="DD10">
        <v>0.22647</v>
      </c>
      <c r="DE10" t="s">
        <v>327</v>
      </c>
      <c r="DF10">
        <v>1.4560599999999999</v>
      </c>
      <c r="DG10">
        <v>9.1319999999999998E-2</v>
      </c>
      <c r="DH10" t="s">
        <v>329</v>
      </c>
      <c r="DI10">
        <v>3.338E-2</v>
      </c>
      <c r="DJ10">
        <v>3.9699999999999996E-3</v>
      </c>
      <c r="DK10" t="s">
        <v>329</v>
      </c>
      <c r="DL10">
        <v>1.8290000000000001E-2</v>
      </c>
      <c r="DM10">
        <v>1.3799999999999999E-3</v>
      </c>
      <c r="DN10" t="s">
        <v>329</v>
      </c>
      <c r="DO10">
        <v>3.5499999999999997E-2</v>
      </c>
      <c r="DP10">
        <v>8.7000000000000001E-4</v>
      </c>
      <c r="DQ10" t="s">
        <v>329</v>
      </c>
      <c r="DR10">
        <v>3.3149999999999999E-2</v>
      </c>
      <c r="DS10">
        <v>1.31E-3</v>
      </c>
      <c r="DT10" t="s">
        <v>329</v>
      </c>
      <c r="DU10">
        <v>0.13406000000000001</v>
      </c>
      <c r="DV10">
        <v>3.0400000000000002E-3</v>
      </c>
      <c r="DW10" t="s">
        <v>329</v>
      </c>
      <c r="DX10">
        <v>4.8210000000000003E-2</v>
      </c>
      <c r="DY10">
        <v>1.5100000000000001E-3</v>
      </c>
      <c r="DZ10" t="s">
        <v>329</v>
      </c>
      <c r="EA10">
        <v>4.5760000000000002E-2</v>
      </c>
      <c r="EB10">
        <v>2.4599999999999999E-3</v>
      </c>
      <c r="EC10" t="s">
        <v>329</v>
      </c>
      <c r="ED10">
        <v>5.3879999999999997E-2</v>
      </c>
      <c r="EE10">
        <v>7.6999999999999996E-4</v>
      </c>
      <c r="EF10" t="s">
        <v>329</v>
      </c>
      <c r="EG10">
        <v>0.24329999999999999</v>
      </c>
      <c r="EH10">
        <v>9.5499999999999995E-3</v>
      </c>
      <c r="EI10" t="s">
        <v>329</v>
      </c>
      <c r="EL10" t="s">
        <v>328</v>
      </c>
      <c r="EM10">
        <v>4.4319999999999998E-2</v>
      </c>
      <c r="EN10">
        <v>1.97E-3</v>
      </c>
      <c r="EO10" t="s">
        <v>329</v>
      </c>
      <c r="ER10" t="s">
        <v>328</v>
      </c>
      <c r="ES10">
        <v>0.88919999999999999</v>
      </c>
      <c r="ET10">
        <v>0.13594000000000001</v>
      </c>
      <c r="EU10" t="s">
        <v>329</v>
      </c>
      <c r="EV10">
        <v>2.9090000000000001E-2</v>
      </c>
      <c r="EW10">
        <v>1.001E-2</v>
      </c>
      <c r="EX10" t="s">
        <v>329</v>
      </c>
      <c r="EY10">
        <v>-2.5770000000000001E-2</v>
      </c>
      <c r="EZ10">
        <v>9.7999999999999997E-4</v>
      </c>
      <c r="FA10" t="s">
        <v>327</v>
      </c>
      <c r="FB10">
        <v>-7.6869999999999994E-2</v>
      </c>
      <c r="FC10">
        <v>0</v>
      </c>
      <c r="FD10" t="s">
        <v>327</v>
      </c>
      <c r="FE10">
        <v>0.12382</v>
      </c>
      <c r="FF10">
        <v>9.11E-2</v>
      </c>
      <c r="FG10" t="s">
        <v>327</v>
      </c>
      <c r="FJ10" t="s">
        <v>328</v>
      </c>
      <c r="FM10" t="s">
        <v>328</v>
      </c>
      <c r="FN10">
        <v>2.0670000000000001E-2</v>
      </c>
      <c r="FO10">
        <v>1.5499999999999999E-3</v>
      </c>
      <c r="FP10" t="s">
        <v>329</v>
      </c>
      <c r="FS10" t="s">
        <v>328</v>
      </c>
      <c r="FW10">
        <v>9</v>
      </c>
    </row>
    <row r="11" spans="1:179">
      <c r="A11" t="s">
        <v>77</v>
      </c>
      <c r="B11">
        <v>1.2269600000000001</v>
      </c>
      <c r="C11">
        <v>5.9800000000000001E-3</v>
      </c>
      <c r="D11" t="s">
        <v>330</v>
      </c>
      <c r="E11">
        <v>1.2372399999999999</v>
      </c>
      <c r="F11">
        <v>1.3100000000000001E-2</v>
      </c>
      <c r="G11" t="s">
        <v>330</v>
      </c>
      <c r="H11">
        <v>1.21679</v>
      </c>
      <c r="I11">
        <v>1.0030000000000001E-2</v>
      </c>
      <c r="J11" t="s">
        <v>330</v>
      </c>
      <c r="K11">
        <v>1.2096899999999999</v>
      </c>
      <c r="L11">
        <v>2.615E-2</v>
      </c>
      <c r="M11" t="s">
        <v>330</v>
      </c>
      <c r="N11">
        <v>1.19865</v>
      </c>
      <c r="O11">
        <v>3.2000000000000001E-2</v>
      </c>
      <c r="P11" t="s">
        <v>330</v>
      </c>
      <c r="Q11">
        <v>1.2050000000000001</v>
      </c>
      <c r="R11">
        <v>1.298E-2</v>
      </c>
      <c r="S11" t="s">
        <v>330</v>
      </c>
      <c r="T11">
        <v>1.21435</v>
      </c>
      <c r="U11">
        <v>1.8120000000000001E-2</v>
      </c>
      <c r="V11" t="s">
        <v>330</v>
      </c>
      <c r="W11">
        <v>1.1958899999999999</v>
      </c>
      <c r="X11">
        <v>9.6699999999999998E-3</v>
      </c>
      <c r="Y11" t="s">
        <v>330</v>
      </c>
      <c r="Z11">
        <v>1.23872</v>
      </c>
      <c r="AA11">
        <v>1.3809999999999999E-2</v>
      </c>
      <c r="AB11" t="s">
        <v>330</v>
      </c>
      <c r="AC11">
        <v>1.21468</v>
      </c>
      <c r="AD11">
        <v>1.49E-2</v>
      </c>
      <c r="AE11" t="s">
        <v>330</v>
      </c>
      <c r="AH11" t="s">
        <v>328</v>
      </c>
      <c r="AI11">
        <v>1.21011</v>
      </c>
      <c r="AJ11">
        <v>2.3019999999999999E-2</v>
      </c>
      <c r="AK11" t="s">
        <v>330</v>
      </c>
      <c r="AL11">
        <v>1.20608</v>
      </c>
      <c r="AM11">
        <v>3.6679999999999997E-2</v>
      </c>
      <c r="AN11" t="s">
        <v>330</v>
      </c>
      <c r="AO11">
        <v>1.2493399999999999</v>
      </c>
      <c r="AP11">
        <v>5.4799999999999996E-3</v>
      </c>
      <c r="AQ11" t="s">
        <v>330</v>
      </c>
      <c r="AR11">
        <v>4.4636500000000003</v>
      </c>
      <c r="AS11">
        <v>6.5329999999999999E-2</v>
      </c>
      <c r="AT11" t="s">
        <v>330</v>
      </c>
      <c r="AU11">
        <v>1.2413700000000001</v>
      </c>
      <c r="AV11">
        <v>1.0749999999999999E-2</v>
      </c>
      <c r="AW11" t="s">
        <v>330</v>
      </c>
      <c r="AX11">
        <v>1.24705</v>
      </c>
      <c r="AY11">
        <v>1.7069999999999998E-2</v>
      </c>
      <c r="AZ11" t="s">
        <v>330</v>
      </c>
      <c r="BA11">
        <v>1.2326699999999999</v>
      </c>
      <c r="BB11">
        <v>2.1999999999999999E-2</v>
      </c>
      <c r="BC11" t="s">
        <v>330</v>
      </c>
      <c r="BD11">
        <v>1.22936</v>
      </c>
      <c r="BE11">
        <v>3.1780000000000003E-2</v>
      </c>
      <c r="BF11" t="s">
        <v>330</v>
      </c>
      <c r="BG11">
        <v>1.2206399999999999</v>
      </c>
      <c r="BH11">
        <v>3.2910000000000002E-2</v>
      </c>
      <c r="BI11" t="s">
        <v>330</v>
      </c>
      <c r="BJ11">
        <v>1.2690999999999999</v>
      </c>
      <c r="BK11">
        <v>6.4219999999999999E-2</v>
      </c>
      <c r="BL11" t="s">
        <v>330</v>
      </c>
      <c r="BM11">
        <v>1.1968700000000001</v>
      </c>
      <c r="BN11">
        <v>5.3499999999999999E-2</v>
      </c>
      <c r="BO11" t="s">
        <v>330</v>
      </c>
      <c r="BP11">
        <v>1.21052</v>
      </c>
      <c r="BQ11">
        <v>4.9579999999999999E-2</v>
      </c>
      <c r="BR11" t="s">
        <v>330</v>
      </c>
      <c r="BU11" t="s">
        <v>328</v>
      </c>
      <c r="BV11">
        <v>0.97230000000000005</v>
      </c>
      <c r="BW11">
        <v>4.0039999999999999E-2</v>
      </c>
      <c r="BX11" t="s">
        <v>330</v>
      </c>
      <c r="BY11">
        <v>1.2794399999999999</v>
      </c>
      <c r="BZ11">
        <v>1.1429999999999999E-2</v>
      </c>
      <c r="CA11" t="s">
        <v>330</v>
      </c>
      <c r="CB11">
        <v>1.20435</v>
      </c>
      <c r="CC11">
        <v>1.661E-2</v>
      </c>
      <c r="CD11" t="s">
        <v>330</v>
      </c>
      <c r="CE11">
        <v>1.2125999999999999</v>
      </c>
      <c r="CF11">
        <v>2.4199999999999998E-3</v>
      </c>
      <c r="CG11" t="s">
        <v>330</v>
      </c>
      <c r="CH11">
        <v>1.2493000000000001</v>
      </c>
      <c r="CI11">
        <v>1.6840000000000001E-2</v>
      </c>
      <c r="CJ11" t="s">
        <v>330</v>
      </c>
      <c r="CK11">
        <v>1.3043199999999999</v>
      </c>
      <c r="CL11">
        <v>3.0040000000000001E-2</v>
      </c>
      <c r="CM11" t="s">
        <v>330</v>
      </c>
      <c r="CN11">
        <v>8.4800900000000006</v>
      </c>
      <c r="CO11">
        <v>0.32790000000000002</v>
      </c>
      <c r="CP11" t="s">
        <v>330</v>
      </c>
      <c r="CQ11">
        <v>8.3412199999999999</v>
      </c>
      <c r="CR11">
        <v>0.34664</v>
      </c>
      <c r="CS11" t="s">
        <v>330</v>
      </c>
      <c r="CT11">
        <v>4.2327399999999997</v>
      </c>
      <c r="CU11">
        <v>0.18326999999999999</v>
      </c>
      <c r="CV11" t="s">
        <v>330</v>
      </c>
      <c r="CW11">
        <v>10.187379999999999</v>
      </c>
      <c r="CX11">
        <v>0.90600999999999998</v>
      </c>
      <c r="CY11" t="s">
        <v>330</v>
      </c>
      <c r="CZ11">
        <v>1.1735599999999999</v>
      </c>
      <c r="DA11">
        <v>0.13149</v>
      </c>
      <c r="DB11" t="s">
        <v>330</v>
      </c>
      <c r="DC11">
        <v>23.70026</v>
      </c>
      <c r="DD11">
        <v>1.1997899999999999</v>
      </c>
      <c r="DE11" t="s">
        <v>330</v>
      </c>
      <c r="DF11">
        <v>8.6881699999999995</v>
      </c>
      <c r="DG11">
        <v>0.46481</v>
      </c>
      <c r="DH11" t="s">
        <v>330</v>
      </c>
      <c r="DI11">
        <v>1.2555000000000001</v>
      </c>
      <c r="DJ11">
        <v>7.3230000000000003E-2</v>
      </c>
      <c r="DK11" t="s">
        <v>330</v>
      </c>
      <c r="DL11">
        <v>1.22681</v>
      </c>
      <c r="DM11">
        <v>4.7539999999999999E-2</v>
      </c>
      <c r="DN11" t="s">
        <v>330</v>
      </c>
      <c r="DO11">
        <v>1.25057</v>
      </c>
      <c r="DP11">
        <v>3.977E-2</v>
      </c>
      <c r="DQ11" t="s">
        <v>330</v>
      </c>
      <c r="DR11">
        <v>1.2220599999999999</v>
      </c>
      <c r="DS11">
        <v>4.8410000000000002E-2</v>
      </c>
      <c r="DT11" t="s">
        <v>330</v>
      </c>
      <c r="DU11">
        <v>4.3409000000000004</v>
      </c>
      <c r="DV11">
        <v>0.1956</v>
      </c>
      <c r="DW11" t="s">
        <v>330</v>
      </c>
      <c r="DX11">
        <v>1.21295</v>
      </c>
      <c r="DY11">
        <v>5.6860000000000001E-2</v>
      </c>
      <c r="DZ11" t="s">
        <v>330</v>
      </c>
      <c r="EA11">
        <v>1.21193</v>
      </c>
      <c r="EB11">
        <v>4.8989999999999999E-2</v>
      </c>
      <c r="EC11" t="s">
        <v>330</v>
      </c>
      <c r="ED11">
        <v>1.2008399999999999</v>
      </c>
      <c r="EE11">
        <v>4.5089999999999998E-2</v>
      </c>
      <c r="EF11" t="s">
        <v>330</v>
      </c>
      <c r="EG11">
        <v>4.3966200000000004</v>
      </c>
      <c r="EH11">
        <v>0.15952</v>
      </c>
      <c r="EI11" t="s">
        <v>330</v>
      </c>
      <c r="EL11" t="s">
        <v>328</v>
      </c>
      <c r="EM11">
        <v>1.2184600000000001</v>
      </c>
      <c r="EN11">
        <v>7.7929999999999999E-2</v>
      </c>
      <c r="EO11" t="s">
        <v>330</v>
      </c>
      <c r="ER11" t="s">
        <v>328</v>
      </c>
      <c r="ES11">
        <v>9.01112</v>
      </c>
      <c r="ET11">
        <v>0.32408999999999999</v>
      </c>
      <c r="EU11" t="s">
        <v>330</v>
      </c>
      <c r="EV11">
        <v>1.2903199999999999</v>
      </c>
      <c r="EW11">
        <v>6.6549999999999998E-2</v>
      </c>
      <c r="EX11" t="s">
        <v>330</v>
      </c>
      <c r="EY11">
        <v>1.22004</v>
      </c>
      <c r="EZ11">
        <v>5.4940000000000003E-2</v>
      </c>
      <c r="FA11" t="s">
        <v>330</v>
      </c>
      <c r="FB11">
        <v>1.30891</v>
      </c>
      <c r="FC11">
        <v>6.4740000000000006E-2</v>
      </c>
      <c r="FD11" t="s">
        <v>330</v>
      </c>
      <c r="FE11">
        <v>0.94520000000000004</v>
      </c>
      <c r="FF11">
        <v>5.9290000000000002E-2</v>
      </c>
      <c r="FG11" t="s">
        <v>330</v>
      </c>
      <c r="FJ11" t="s">
        <v>328</v>
      </c>
      <c r="FM11" t="s">
        <v>328</v>
      </c>
      <c r="FN11">
        <v>1.2426600000000001</v>
      </c>
      <c r="FO11">
        <v>9.9830000000000002E-2</v>
      </c>
      <c r="FP11" t="s">
        <v>330</v>
      </c>
      <c r="FS11" t="s">
        <v>328</v>
      </c>
      <c r="FT11">
        <v>1</v>
      </c>
      <c r="FW11">
        <v>10</v>
      </c>
    </row>
    <row r="12" spans="1:179">
      <c r="A12" t="s">
        <v>78</v>
      </c>
      <c r="B12">
        <v>0.38270999999999999</v>
      </c>
      <c r="C12">
        <v>1.41E-2</v>
      </c>
      <c r="D12" t="s">
        <v>331</v>
      </c>
      <c r="E12">
        <v>0.33105000000000001</v>
      </c>
      <c r="F12">
        <v>9.0900000000000009E-3</v>
      </c>
      <c r="G12" t="s">
        <v>331</v>
      </c>
      <c r="H12">
        <v>0.27592</v>
      </c>
      <c r="I12">
        <v>1.0840000000000001E-2</v>
      </c>
      <c r="J12" t="s">
        <v>331</v>
      </c>
      <c r="K12">
        <v>6.3753900000000003</v>
      </c>
      <c r="L12">
        <v>0.32235999999999998</v>
      </c>
      <c r="M12" t="s">
        <v>331</v>
      </c>
      <c r="N12">
        <v>9.3100000000000006E-3</v>
      </c>
      <c r="O12">
        <v>2.0000000000000002E-5</v>
      </c>
      <c r="P12" t="s">
        <v>332</v>
      </c>
      <c r="Q12">
        <v>2.1797800000000001</v>
      </c>
      <c r="R12">
        <v>0.14466000000000001</v>
      </c>
      <c r="S12" t="s">
        <v>331</v>
      </c>
      <c r="T12">
        <v>2.2300000000000002E-3</v>
      </c>
      <c r="U12">
        <v>3.5E-4</v>
      </c>
      <c r="V12" t="s">
        <v>332</v>
      </c>
      <c r="W12">
        <v>1.8550000000000001E-2</v>
      </c>
      <c r="X12">
        <v>2.5999999999999998E-4</v>
      </c>
      <c r="Y12" t="s">
        <v>332</v>
      </c>
      <c r="Z12">
        <v>1.3950000000000001E-2</v>
      </c>
      <c r="AA12">
        <v>1.1900000000000001E-3</v>
      </c>
      <c r="AB12" t="s">
        <v>331</v>
      </c>
      <c r="AC12">
        <v>0.15309</v>
      </c>
      <c r="AD12">
        <v>8.5900000000000004E-3</v>
      </c>
      <c r="AE12" t="s">
        <v>331</v>
      </c>
      <c r="AH12" t="s">
        <v>328</v>
      </c>
      <c r="AI12">
        <v>-1.3480000000000001E-2</v>
      </c>
      <c r="AJ12">
        <v>2.9999999999999997E-4</v>
      </c>
      <c r="AK12" t="s">
        <v>333</v>
      </c>
      <c r="AL12">
        <v>1.05897</v>
      </c>
      <c r="AM12">
        <v>5.1950000000000003E-2</v>
      </c>
      <c r="AN12" t="s">
        <v>331</v>
      </c>
      <c r="AO12">
        <v>1.6990000000000002E-2</v>
      </c>
      <c r="AP12">
        <v>2.5999999999999998E-4</v>
      </c>
      <c r="AQ12" t="s">
        <v>332</v>
      </c>
      <c r="AR12">
        <v>10.470840000000001</v>
      </c>
      <c r="AS12">
        <v>0.43680999999999998</v>
      </c>
      <c r="AT12" t="s">
        <v>331</v>
      </c>
      <c r="AU12">
        <v>2.4590000000000001E-2</v>
      </c>
      <c r="AV12">
        <v>3.0000000000000001E-5</v>
      </c>
      <c r="AW12" t="s">
        <v>332</v>
      </c>
      <c r="AX12">
        <v>2.375E-2</v>
      </c>
      <c r="AY12">
        <v>9.0000000000000006E-5</v>
      </c>
      <c r="AZ12" t="s">
        <v>332</v>
      </c>
      <c r="BA12">
        <v>2.3890000000000002E-2</v>
      </c>
      <c r="BB12">
        <v>2.1000000000000001E-4</v>
      </c>
      <c r="BC12" t="s">
        <v>332</v>
      </c>
      <c r="BD12">
        <v>2.794E-2</v>
      </c>
      <c r="BE12">
        <v>5.0000000000000002E-5</v>
      </c>
      <c r="BF12" t="s">
        <v>332</v>
      </c>
      <c r="BG12">
        <v>2.827E-2</v>
      </c>
      <c r="BH12">
        <v>1.7000000000000001E-4</v>
      </c>
      <c r="BI12" t="s">
        <v>332</v>
      </c>
      <c r="BJ12">
        <v>3.0599999999999998E-3</v>
      </c>
      <c r="BK12">
        <v>5.0000000000000002E-5</v>
      </c>
      <c r="BL12" t="s">
        <v>332</v>
      </c>
      <c r="BM12">
        <v>3.8879999999999998E-2</v>
      </c>
      <c r="BN12">
        <v>2.5000000000000001E-4</v>
      </c>
      <c r="BO12" t="s">
        <v>332</v>
      </c>
      <c r="BP12">
        <v>-2.3230000000000001E-2</v>
      </c>
      <c r="BQ12">
        <v>8.4000000000000003E-4</v>
      </c>
      <c r="BR12" t="s">
        <v>333</v>
      </c>
      <c r="BU12" t="s">
        <v>328</v>
      </c>
      <c r="BV12">
        <v>-0.6361</v>
      </c>
      <c r="BW12">
        <v>5.024E-2</v>
      </c>
      <c r="BX12" t="s">
        <v>333</v>
      </c>
      <c r="BY12">
        <v>8.8200000000000001E-2</v>
      </c>
      <c r="BZ12">
        <v>6.43E-3</v>
      </c>
      <c r="CA12" t="s">
        <v>331</v>
      </c>
      <c r="CB12">
        <v>0.30879000000000001</v>
      </c>
      <c r="CC12">
        <v>2.564E-2</v>
      </c>
      <c r="CD12" t="s">
        <v>331</v>
      </c>
      <c r="CE12">
        <v>0.31680000000000003</v>
      </c>
      <c r="CF12">
        <v>1.788E-2</v>
      </c>
      <c r="CG12" t="s">
        <v>331</v>
      </c>
      <c r="CH12">
        <v>0.32516</v>
      </c>
      <c r="CI12">
        <v>2.1839999999999998E-2</v>
      </c>
      <c r="CJ12" t="s">
        <v>331</v>
      </c>
      <c r="CK12">
        <v>0.21654999999999999</v>
      </c>
      <c r="CL12">
        <v>1.274E-2</v>
      </c>
      <c r="CM12" t="s">
        <v>332</v>
      </c>
      <c r="CN12">
        <v>366.88718999999998</v>
      </c>
      <c r="CO12">
        <v>7.3193200000000003</v>
      </c>
      <c r="CP12" t="s">
        <v>331</v>
      </c>
      <c r="CQ12">
        <v>139.39391000000001</v>
      </c>
      <c r="CR12">
        <v>5.8228400000000002</v>
      </c>
      <c r="CS12" t="s">
        <v>331</v>
      </c>
      <c r="CT12">
        <v>2.75549</v>
      </c>
      <c r="CU12">
        <v>0.13148000000000001</v>
      </c>
      <c r="CV12" t="s">
        <v>331</v>
      </c>
      <c r="CW12">
        <v>4.5298400000000001</v>
      </c>
      <c r="CX12">
        <v>0.46155000000000002</v>
      </c>
      <c r="CY12" t="s">
        <v>331</v>
      </c>
      <c r="CZ12">
        <v>3.6740000000000002E-2</v>
      </c>
      <c r="DA12">
        <v>1.1050000000000001E-2</v>
      </c>
      <c r="DB12" t="s">
        <v>333</v>
      </c>
      <c r="DC12">
        <v>1.1175299999999999</v>
      </c>
      <c r="DD12">
        <v>0.17949999999999999</v>
      </c>
      <c r="DE12" t="s">
        <v>333</v>
      </c>
      <c r="DF12">
        <v>587.90066999999999</v>
      </c>
      <c r="DG12">
        <v>17.71001</v>
      </c>
      <c r="DH12" t="s">
        <v>331</v>
      </c>
      <c r="DI12">
        <v>2.8709999999999999E-2</v>
      </c>
      <c r="DJ12">
        <v>1.5299999999999999E-3</v>
      </c>
      <c r="DK12" t="s">
        <v>332</v>
      </c>
      <c r="DL12">
        <v>0.75905999999999996</v>
      </c>
      <c r="DM12">
        <v>3.0419999999999999E-2</v>
      </c>
      <c r="DN12" t="s">
        <v>331</v>
      </c>
      <c r="DO12">
        <v>0.41566999999999998</v>
      </c>
      <c r="DP12">
        <v>1.4409999999999999E-2</v>
      </c>
      <c r="DQ12" t="s">
        <v>331</v>
      </c>
      <c r="DR12">
        <v>0.78552</v>
      </c>
      <c r="DS12">
        <v>3.3860000000000001E-2</v>
      </c>
      <c r="DT12" t="s">
        <v>331</v>
      </c>
      <c r="DU12">
        <v>2.0012400000000001</v>
      </c>
      <c r="DV12">
        <v>4.1459999999999997E-2</v>
      </c>
      <c r="DW12" t="s">
        <v>331</v>
      </c>
      <c r="DX12">
        <v>0.55140999999999996</v>
      </c>
      <c r="DY12">
        <v>5.5999999999999999E-3</v>
      </c>
      <c r="DZ12" t="s">
        <v>331</v>
      </c>
      <c r="EA12">
        <v>1.25135</v>
      </c>
      <c r="EB12">
        <v>3.635E-2</v>
      </c>
      <c r="EC12" t="s">
        <v>331</v>
      </c>
      <c r="ED12">
        <v>0.4798</v>
      </c>
      <c r="EE12">
        <v>8.5599999999999999E-3</v>
      </c>
      <c r="EF12" t="s">
        <v>331</v>
      </c>
      <c r="EG12">
        <v>1.7260800000000001</v>
      </c>
      <c r="EH12">
        <v>4.7050000000000002E-2</v>
      </c>
      <c r="EI12" t="s">
        <v>331</v>
      </c>
      <c r="EL12" t="s">
        <v>328</v>
      </c>
      <c r="EM12">
        <v>3.977E-2</v>
      </c>
      <c r="EN12">
        <v>1.0200000000000001E-3</v>
      </c>
      <c r="EO12" t="s">
        <v>332</v>
      </c>
      <c r="ER12" t="s">
        <v>328</v>
      </c>
      <c r="ES12">
        <v>40.198889999999999</v>
      </c>
      <c r="ET12">
        <v>0.92400000000000004</v>
      </c>
      <c r="EU12" t="s">
        <v>331</v>
      </c>
      <c r="EV12">
        <v>2.1600000000000001E-2</v>
      </c>
      <c r="EW12">
        <v>7.6999999999999996E-4</v>
      </c>
      <c r="EX12" t="s">
        <v>332</v>
      </c>
      <c r="EY12">
        <v>1.2169700000000001</v>
      </c>
      <c r="EZ12">
        <v>1.4579999999999999E-2</v>
      </c>
      <c r="FA12" t="s">
        <v>331</v>
      </c>
      <c r="FB12">
        <v>0.22364000000000001</v>
      </c>
      <c r="FC12">
        <v>6.88E-2</v>
      </c>
      <c r="FD12" t="s">
        <v>334</v>
      </c>
      <c r="FE12">
        <v>0.77186999999999995</v>
      </c>
      <c r="FF12">
        <v>0.16572000000000001</v>
      </c>
      <c r="FG12" t="s">
        <v>331</v>
      </c>
      <c r="FJ12" t="s">
        <v>328</v>
      </c>
      <c r="FM12" t="s">
        <v>328</v>
      </c>
      <c r="FN12">
        <v>1.6840000000000001E-2</v>
      </c>
      <c r="FO12">
        <v>1.15E-3</v>
      </c>
      <c r="FP12" t="s">
        <v>332</v>
      </c>
      <c r="FS12" t="s">
        <v>328</v>
      </c>
      <c r="FT12">
        <v>1</v>
      </c>
      <c r="FW12">
        <v>11</v>
      </c>
    </row>
    <row r="13" spans="1:179">
      <c r="A13" t="s">
        <v>79</v>
      </c>
      <c r="B13">
        <v>17.866689999999998</v>
      </c>
      <c r="C13">
        <v>0.27494000000000002</v>
      </c>
      <c r="D13" t="s">
        <v>335</v>
      </c>
      <c r="E13">
        <v>14.52861</v>
      </c>
      <c r="F13">
        <v>0.35531000000000001</v>
      </c>
      <c r="G13" t="s">
        <v>335</v>
      </c>
      <c r="H13">
        <v>13.544700000000001</v>
      </c>
      <c r="I13">
        <v>0.19098000000000001</v>
      </c>
      <c r="J13" t="s">
        <v>335</v>
      </c>
      <c r="K13">
        <v>331.50355000000002</v>
      </c>
      <c r="L13">
        <v>7.2999299999999998</v>
      </c>
      <c r="M13" t="s">
        <v>335</v>
      </c>
      <c r="N13">
        <v>4.437E-2</v>
      </c>
      <c r="O13">
        <v>7.9000000000000001E-4</v>
      </c>
      <c r="P13" t="s">
        <v>332</v>
      </c>
      <c r="Q13">
        <v>120.70795</v>
      </c>
      <c r="R13">
        <v>2.1248200000000002</v>
      </c>
      <c r="S13" t="s">
        <v>335</v>
      </c>
      <c r="T13">
        <v>2.341E-2</v>
      </c>
      <c r="U13">
        <v>4.2999999999999999E-4</v>
      </c>
      <c r="V13" t="s">
        <v>332</v>
      </c>
      <c r="W13">
        <v>0.18546000000000001</v>
      </c>
      <c r="X13">
        <v>2E-3</v>
      </c>
      <c r="Y13" t="s">
        <v>332</v>
      </c>
      <c r="Z13">
        <v>0.13419</v>
      </c>
      <c r="AA13">
        <v>3.14E-3</v>
      </c>
      <c r="AB13" t="s">
        <v>331</v>
      </c>
      <c r="AC13">
        <v>6.6945800000000002</v>
      </c>
      <c r="AD13">
        <v>0.13852</v>
      </c>
      <c r="AE13" t="s">
        <v>335</v>
      </c>
      <c r="AH13" t="s">
        <v>328</v>
      </c>
      <c r="AI13">
        <v>4.7219999999999998E-2</v>
      </c>
      <c r="AJ13">
        <v>5.1000000000000004E-4</v>
      </c>
      <c r="AK13" t="s">
        <v>332</v>
      </c>
      <c r="AL13">
        <v>54.454599999999999</v>
      </c>
      <c r="AM13">
        <v>0.85485</v>
      </c>
      <c r="AN13" t="s">
        <v>335</v>
      </c>
      <c r="AO13">
        <v>1.831E-2</v>
      </c>
      <c r="AP13">
        <v>3.8000000000000002E-4</v>
      </c>
      <c r="AQ13" t="s">
        <v>332</v>
      </c>
      <c r="AR13">
        <v>520.56605000000002</v>
      </c>
      <c r="AS13">
        <v>12.505280000000001</v>
      </c>
      <c r="AT13" t="s">
        <v>335</v>
      </c>
      <c r="AU13">
        <v>4.3880000000000002E-2</v>
      </c>
      <c r="AV13">
        <v>5.9000000000000003E-4</v>
      </c>
      <c r="AW13" t="s">
        <v>332</v>
      </c>
      <c r="AX13">
        <v>3.6420000000000001E-2</v>
      </c>
      <c r="AY13">
        <v>4.4999999999999999E-4</v>
      </c>
      <c r="AZ13" t="s">
        <v>332</v>
      </c>
      <c r="BA13">
        <v>3.4790000000000001E-2</v>
      </c>
      <c r="BB13">
        <v>3.6000000000000002E-4</v>
      </c>
      <c r="BC13" t="s">
        <v>332</v>
      </c>
      <c r="BD13">
        <v>3.0030000000000001E-2</v>
      </c>
      <c r="BE13">
        <v>2.9E-4</v>
      </c>
      <c r="BF13" t="s">
        <v>332</v>
      </c>
      <c r="BG13">
        <v>3.6560000000000002E-2</v>
      </c>
      <c r="BH13">
        <v>8.1999999999999998E-4</v>
      </c>
      <c r="BI13" t="s">
        <v>332</v>
      </c>
      <c r="BJ13">
        <v>2.6199999999999999E-3</v>
      </c>
      <c r="BK13">
        <v>6.0000000000000002E-5</v>
      </c>
      <c r="BL13" t="s">
        <v>332</v>
      </c>
      <c r="BM13">
        <v>3.8339999999999999E-2</v>
      </c>
      <c r="BN13">
        <v>1.2E-4</v>
      </c>
      <c r="BO13" t="s">
        <v>332</v>
      </c>
      <c r="BP13">
        <v>-2.5400000000000002E-3</v>
      </c>
      <c r="BQ13">
        <v>1.97E-3</v>
      </c>
      <c r="BR13" t="s">
        <v>333</v>
      </c>
      <c r="BU13" t="s">
        <v>328</v>
      </c>
      <c r="BV13">
        <v>-1.1736800000000001</v>
      </c>
      <c r="BW13">
        <v>1.2E-4</v>
      </c>
      <c r="BX13" t="s">
        <v>333</v>
      </c>
      <c r="BY13">
        <v>6.8947000000000003</v>
      </c>
      <c r="BZ13">
        <v>0.21792</v>
      </c>
      <c r="CA13" t="s">
        <v>335</v>
      </c>
      <c r="CB13">
        <v>17.50339</v>
      </c>
      <c r="CC13">
        <v>0.36018</v>
      </c>
      <c r="CD13" t="s">
        <v>335</v>
      </c>
      <c r="CE13">
        <v>17.798469999999998</v>
      </c>
      <c r="CF13">
        <v>0.38812999999999998</v>
      </c>
      <c r="CG13" t="s">
        <v>335</v>
      </c>
      <c r="CH13">
        <v>17.76276</v>
      </c>
      <c r="CI13">
        <v>0.26629999999999998</v>
      </c>
      <c r="CJ13" t="s">
        <v>335</v>
      </c>
      <c r="CK13">
        <v>11.4541</v>
      </c>
      <c r="CL13">
        <v>0.18135999999999999</v>
      </c>
      <c r="CM13" t="s">
        <v>332</v>
      </c>
      <c r="CN13">
        <v>18002.432919999999</v>
      </c>
      <c r="CO13">
        <v>623.59099000000003</v>
      </c>
      <c r="CP13" t="s">
        <v>335</v>
      </c>
      <c r="CQ13">
        <v>6549.7156199999999</v>
      </c>
      <c r="CR13">
        <v>337.34728000000001</v>
      </c>
      <c r="CS13" t="s">
        <v>335</v>
      </c>
      <c r="CT13">
        <v>126.59177</v>
      </c>
      <c r="CU13">
        <v>5.2245299999999997</v>
      </c>
      <c r="CV13" t="s">
        <v>335</v>
      </c>
      <c r="CW13">
        <v>24.42839</v>
      </c>
      <c r="CX13">
        <v>0.66876999999999998</v>
      </c>
      <c r="CY13" t="s">
        <v>331</v>
      </c>
      <c r="CZ13">
        <v>1.3243400000000001</v>
      </c>
      <c r="DA13">
        <v>2.5229999999999999E-2</v>
      </c>
      <c r="DB13" t="s">
        <v>332</v>
      </c>
      <c r="DC13">
        <v>8.3853000000000009</v>
      </c>
      <c r="DD13">
        <v>0.38950000000000001</v>
      </c>
      <c r="DE13" t="s">
        <v>332</v>
      </c>
      <c r="DF13">
        <v>29772.40019</v>
      </c>
      <c r="DG13">
        <v>967.99744999999996</v>
      </c>
      <c r="DH13" t="s">
        <v>335</v>
      </c>
      <c r="DI13">
        <v>8.9069999999999996E-2</v>
      </c>
      <c r="DJ13">
        <v>1.468E-2</v>
      </c>
      <c r="DK13" t="s">
        <v>332</v>
      </c>
      <c r="DL13">
        <v>38.688040000000001</v>
      </c>
      <c r="DM13">
        <v>1.2147600000000001</v>
      </c>
      <c r="DN13" t="s">
        <v>335</v>
      </c>
      <c r="DO13">
        <v>18.234290000000001</v>
      </c>
      <c r="DP13">
        <v>0.85324</v>
      </c>
      <c r="DQ13" t="s">
        <v>335</v>
      </c>
      <c r="DR13">
        <v>37.314100000000003</v>
      </c>
      <c r="DS13">
        <v>1.53823</v>
      </c>
      <c r="DT13" t="s">
        <v>335</v>
      </c>
      <c r="DU13">
        <v>89.987579999999994</v>
      </c>
      <c r="DV13">
        <v>2.9772699999999999</v>
      </c>
      <c r="DW13" t="s">
        <v>335</v>
      </c>
      <c r="DX13">
        <v>25.58099</v>
      </c>
      <c r="DY13">
        <v>0.76778999999999997</v>
      </c>
      <c r="DZ13" t="s">
        <v>335</v>
      </c>
      <c r="EA13">
        <v>57.40119</v>
      </c>
      <c r="EB13">
        <v>1.4802500000000001</v>
      </c>
      <c r="EC13" t="s">
        <v>335</v>
      </c>
      <c r="ED13">
        <v>19.32028</v>
      </c>
      <c r="EE13">
        <v>0.23619999999999999</v>
      </c>
      <c r="EF13" t="s">
        <v>335</v>
      </c>
      <c r="EG13">
        <v>70.296030000000002</v>
      </c>
      <c r="EH13">
        <v>0.80384999999999995</v>
      </c>
      <c r="EI13" t="s">
        <v>335</v>
      </c>
      <c r="EL13" t="s">
        <v>328</v>
      </c>
      <c r="EM13">
        <v>0.10162</v>
      </c>
      <c r="EN13">
        <v>5.5900000000000004E-3</v>
      </c>
      <c r="EO13" t="s">
        <v>332</v>
      </c>
      <c r="ER13" t="s">
        <v>328</v>
      </c>
      <c r="ES13">
        <v>2035.83671</v>
      </c>
      <c r="ET13">
        <v>96.982879999999994</v>
      </c>
      <c r="EU13" t="s">
        <v>335</v>
      </c>
      <c r="EV13">
        <v>2.3980000000000001E-2</v>
      </c>
      <c r="EW13">
        <v>4.0999999999999999E-4</v>
      </c>
      <c r="EX13" t="s">
        <v>332</v>
      </c>
      <c r="EY13">
        <v>38.297139999999999</v>
      </c>
      <c r="EZ13">
        <v>1.6288199999999999</v>
      </c>
      <c r="FA13" t="s">
        <v>331</v>
      </c>
      <c r="FB13">
        <v>6.8506600000000004</v>
      </c>
      <c r="FC13">
        <v>0.31680000000000003</v>
      </c>
      <c r="FD13" t="s">
        <v>331</v>
      </c>
      <c r="FE13">
        <v>7.2463899999999999</v>
      </c>
      <c r="FF13">
        <v>0.39144000000000001</v>
      </c>
      <c r="FG13" t="s">
        <v>331</v>
      </c>
      <c r="FJ13" t="s">
        <v>328</v>
      </c>
      <c r="FM13" t="s">
        <v>328</v>
      </c>
      <c r="FN13">
        <v>8.0159999999999995E-2</v>
      </c>
      <c r="FO13">
        <v>4.0400000000000002E-3</v>
      </c>
      <c r="FP13" t="s">
        <v>332</v>
      </c>
      <c r="FS13" t="s">
        <v>328</v>
      </c>
      <c r="FT13">
        <v>1</v>
      </c>
      <c r="FW13">
        <v>12</v>
      </c>
    </row>
  </sheetData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FS13"/>
  <sheetViews>
    <sheetView workbookViewId="0">
      <pane xSplit="1" ySplit="1" topLeftCell="DL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/>
  <cols>
    <col min="32" max="32" width="9.140625" style="24"/>
    <col min="34" max="35" width="9.140625" style="25"/>
    <col min="151" max="151" width="9.140625" style="25"/>
  </cols>
  <sheetData>
    <row r="1" spans="1:175">
      <c r="A1" t="s">
        <v>148</v>
      </c>
      <c r="B1" t="s">
        <v>336</v>
      </c>
      <c r="C1" t="s">
        <v>337</v>
      </c>
      <c r="D1" t="s">
        <v>151</v>
      </c>
      <c r="E1" t="s">
        <v>338</v>
      </c>
      <c r="F1" t="s">
        <v>339</v>
      </c>
      <c r="G1" t="s">
        <v>154</v>
      </c>
      <c r="H1" t="s">
        <v>340</v>
      </c>
      <c r="I1" t="s">
        <v>341</v>
      </c>
      <c r="J1" t="s">
        <v>157</v>
      </c>
      <c r="K1" t="s">
        <v>342</v>
      </c>
      <c r="L1" t="s">
        <v>343</v>
      </c>
      <c r="M1" t="s">
        <v>160</v>
      </c>
      <c r="N1" t="s">
        <v>344</v>
      </c>
      <c r="O1" t="s">
        <v>345</v>
      </c>
      <c r="P1" t="s">
        <v>163</v>
      </c>
      <c r="Q1" t="s">
        <v>346</v>
      </c>
      <c r="R1" t="s">
        <v>347</v>
      </c>
      <c r="S1" t="s">
        <v>166</v>
      </c>
      <c r="T1" t="s">
        <v>348</v>
      </c>
      <c r="U1" t="s">
        <v>349</v>
      </c>
      <c r="V1" t="s">
        <v>169</v>
      </c>
      <c r="W1" t="s">
        <v>350</v>
      </c>
      <c r="X1" t="s">
        <v>351</v>
      </c>
      <c r="Y1" t="s">
        <v>172</v>
      </c>
      <c r="Z1" t="s">
        <v>352</v>
      </c>
      <c r="AA1" t="s">
        <v>353</v>
      </c>
      <c r="AB1" t="s">
        <v>175</v>
      </c>
      <c r="AC1" t="s">
        <v>354</v>
      </c>
      <c r="AD1" t="s">
        <v>355</v>
      </c>
      <c r="AE1" t="s">
        <v>178</v>
      </c>
      <c r="AF1" s="24" t="s">
        <v>356</v>
      </c>
      <c r="AG1" t="s">
        <v>357</v>
      </c>
      <c r="AH1" s="25" t="s">
        <v>181</v>
      </c>
      <c r="AI1" s="25" t="s">
        <v>358</v>
      </c>
      <c r="AJ1" t="s">
        <v>359</v>
      </c>
      <c r="AK1" t="s">
        <v>184</v>
      </c>
      <c r="AL1" t="s">
        <v>360</v>
      </c>
      <c r="AM1" t="s">
        <v>361</v>
      </c>
      <c r="AN1" t="s">
        <v>187</v>
      </c>
      <c r="AO1" t="s">
        <v>362</v>
      </c>
      <c r="AP1" t="s">
        <v>363</v>
      </c>
      <c r="AQ1" t="s">
        <v>190</v>
      </c>
      <c r="AR1" t="s">
        <v>364</v>
      </c>
      <c r="AS1" t="s">
        <v>365</v>
      </c>
      <c r="AT1" t="s">
        <v>193</v>
      </c>
      <c r="AU1" t="s">
        <v>366</v>
      </c>
      <c r="AV1" t="s">
        <v>367</v>
      </c>
      <c r="AW1" t="s">
        <v>196</v>
      </c>
      <c r="AX1" t="s">
        <v>368</v>
      </c>
      <c r="AY1" t="s">
        <v>369</v>
      </c>
      <c r="AZ1" t="s">
        <v>199</v>
      </c>
      <c r="BA1" t="s">
        <v>370</v>
      </c>
      <c r="BB1" t="s">
        <v>371</v>
      </c>
      <c r="BC1" t="s">
        <v>202</v>
      </c>
      <c r="BD1" t="s">
        <v>372</v>
      </c>
      <c r="BE1" t="s">
        <v>373</v>
      </c>
      <c r="BF1" t="s">
        <v>205</v>
      </c>
      <c r="BG1" t="s">
        <v>374</v>
      </c>
      <c r="BH1" t="s">
        <v>375</v>
      </c>
      <c r="BI1" t="s">
        <v>208</v>
      </c>
      <c r="BJ1" t="s">
        <v>376</v>
      </c>
      <c r="BK1" t="s">
        <v>377</v>
      </c>
      <c r="BL1" t="s">
        <v>211</v>
      </c>
      <c r="BM1" t="s">
        <v>378</v>
      </c>
      <c r="BN1" t="s">
        <v>379</v>
      </c>
      <c r="BO1" t="s">
        <v>214</v>
      </c>
      <c r="BP1" t="s">
        <v>380</v>
      </c>
      <c r="BQ1" t="s">
        <v>381</v>
      </c>
      <c r="BR1" t="s">
        <v>217</v>
      </c>
      <c r="BS1" t="s">
        <v>382</v>
      </c>
      <c r="BT1" t="s">
        <v>383</v>
      </c>
      <c r="BU1" t="s">
        <v>220</v>
      </c>
      <c r="BV1" t="s">
        <v>384</v>
      </c>
      <c r="BW1" t="s">
        <v>385</v>
      </c>
      <c r="BX1" t="s">
        <v>223</v>
      </c>
      <c r="BY1" t="s">
        <v>386</v>
      </c>
      <c r="BZ1" t="s">
        <v>387</v>
      </c>
      <c r="CA1" t="s">
        <v>226</v>
      </c>
      <c r="CB1" t="s">
        <v>388</v>
      </c>
      <c r="CC1" t="s">
        <v>389</v>
      </c>
      <c r="CD1" t="s">
        <v>229</v>
      </c>
      <c r="CE1" t="s">
        <v>390</v>
      </c>
      <c r="CF1" t="s">
        <v>391</v>
      </c>
      <c r="CG1" t="s">
        <v>232</v>
      </c>
      <c r="CH1" t="s">
        <v>392</v>
      </c>
      <c r="CI1" t="s">
        <v>393</v>
      </c>
      <c r="CJ1" t="s">
        <v>235</v>
      </c>
      <c r="CK1" t="s">
        <v>394</v>
      </c>
      <c r="CL1" t="s">
        <v>395</v>
      </c>
      <c r="CM1" t="s">
        <v>238</v>
      </c>
      <c r="CN1" t="s">
        <v>396</v>
      </c>
      <c r="CO1" t="s">
        <v>397</v>
      </c>
      <c r="CP1" t="s">
        <v>241</v>
      </c>
      <c r="CQ1" t="s">
        <v>398</v>
      </c>
      <c r="CR1" t="s">
        <v>399</v>
      </c>
      <c r="CS1" t="s">
        <v>244</v>
      </c>
      <c r="CT1" t="s">
        <v>400</v>
      </c>
      <c r="CU1" t="s">
        <v>401</v>
      </c>
      <c r="CV1" t="s">
        <v>247</v>
      </c>
      <c r="CW1" t="s">
        <v>402</v>
      </c>
      <c r="CX1" t="s">
        <v>403</v>
      </c>
      <c r="CY1" t="s">
        <v>250</v>
      </c>
      <c r="CZ1" t="s">
        <v>404</v>
      </c>
      <c r="DA1" t="s">
        <v>405</v>
      </c>
      <c r="DB1" t="s">
        <v>253</v>
      </c>
      <c r="DC1" t="s">
        <v>406</v>
      </c>
      <c r="DD1" t="s">
        <v>407</v>
      </c>
      <c r="DE1" t="s">
        <v>256</v>
      </c>
      <c r="DF1" t="s">
        <v>408</v>
      </c>
      <c r="DG1" t="s">
        <v>409</v>
      </c>
      <c r="DH1" t="s">
        <v>259</v>
      </c>
      <c r="DI1" t="s">
        <v>410</v>
      </c>
      <c r="DJ1" t="s">
        <v>411</v>
      </c>
      <c r="DK1" t="s">
        <v>262</v>
      </c>
      <c r="DL1" t="s">
        <v>412</v>
      </c>
      <c r="DM1" t="s">
        <v>413</v>
      </c>
      <c r="DN1" t="s">
        <v>265</v>
      </c>
      <c r="DO1" t="s">
        <v>414</v>
      </c>
      <c r="DP1" t="s">
        <v>415</v>
      </c>
      <c r="DQ1" t="s">
        <v>268</v>
      </c>
      <c r="DR1" t="s">
        <v>416</v>
      </c>
      <c r="DS1" t="s">
        <v>417</v>
      </c>
      <c r="DT1" t="s">
        <v>271</v>
      </c>
      <c r="DU1" t="s">
        <v>418</v>
      </c>
      <c r="DV1" t="s">
        <v>419</v>
      </c>
      <c r="DW1" t="s">
        <v>274</v>
      </c>
      <c r="DX1" t="s">
        <v>420</v>
      </c>
      <c r="DY1" t="s">
        <v>421</v>
      </c>
      <c r="DZ1" t="s">
        <v>277</v>
      </c>
      <c r="EA1" t="s">
        <v>422</v>
      </c>
      <c r="EB1" t="s">
        <v>423</v>
      </c>
      <c r="EC1" t="s">
        <v>280</v>
      </c>
      <c r="ED1" t="s">
        <v>424</v>
      </c>
      <c r="EE1" t="s">
        <v>425</v>
      </c>
      <c r="EF1" t="s">
        <v>283</v>
      </c>
      <c r="EG1" t="s">
        <v>426</v>
      </c>
      <c r="EH1" t="s">
        <v>427</v>
      </c>
      <c r="EI1" t="s">
        <v>286</v>
      </c>
      <c r="EJ1" t="s">
        <v>428</v>
      </c>
      <c r="EK1" t="s">
        <v>429</v>
      </c>
      <c r="EL1" t="s">
        <v>289</v>
      </c>
      <c r="EM1" t="s">
        <v>430</v>
      </c>
      <c r="EN1" t="s">
        <v>431</v>
      </c>
      <c r="EO1" t="s">
        <v>292</v>
      </c>
      <c r="EP1" t="s">
        <v>432</v>
      </c>
      <c r="EQ1" t="s">
        <v>433</v>
      </c>
      <c r="ER1" t="s">
        <v>295</v>
      </c>
      <c r="ES1" t="s">
        <v>434</v>
      </c>
      <c r="ET1" t="s">
        <v>435</v>
      </c>
      <c r="EU1" s="25" t="s">
        <v>298</v>
      </c>
      <c r="EV1" t="s">
        <v>436</v>
      </c>
      <c r="EW1" t="s">
        <v>437</v>
      </c>
      <c r="EX1" t="s">
        <v>301</v>
      </c>
      <c r="EY1" t="s">
        <v>438</v>
      </c>
      <c r="EZ1" t="s">
        <v>439</v>
      </c>
      <c r="FA1" t="s">
        <v>304</v>
      </c>
      <c r="FB1" t="s">
        <v>440</v>
      </c>
      <c r="FC1" t="s">
        <v>441</v>
      </c>
      <c r="FD1" t="s">
        <v>307</v>
      </c>
      <c r="FE1" t="s">
        <v>442</v>
      </c>
      <c r="FF1" t="s">
        <v>443</v>
      </c>
      <c r="FG1" t="s">
        <v>310</v>
      </c>
      <c r="FH1" t="s">
        <v>444</v>
      </c>
      <c r="FI1" t="s">
        <v>445</v>
      </c>
      <c r="FJ1" t="s">
        <v>313</v>
      </c>
      <c r="FK1" t="s">
        <v>446</v>
      </c>
      <c r="FL1" t="s">
        <v>447</v>
      </c>
      <c r="FM1" t="s">
        <v>316</v>
      </c>
      <c r="FN1" t="s">
        <v>448</v>
      </c>
      <c r="FO1" t="s">
        <v>449</v>
      </c>
      <c r="FP1" t="s">
        <v>319</v>
      </c>
      <c r="FQ1" t="s">
        <v>450</v>
      </c>
      <c r="FR1" t="s">
        <v>451</v>
      </c>
      <c r="FS1" t="s">
        <v>322</v>
      </c>
    </row>
    <row r="2" spans="1:175">
      <c r="A2" t="s">
        <v>59</v>
      </c>
      <c r="B2">
        <v>2732.6</v>
      </c>
      <c r="C2">
        <v>85.1</v>
      </c>
      <c r="E2">
        <v>703.6</v>
      </c>
      <c r="F2">
        <v>99.2</v>
      </c>
      <c r="H2">
        <v>2971.4</v>
      </c>
      <c r="I2">
        <v>243.7</v>
      </c>
      <c r="K2">
        <v>20488.099999999999</v>
      </c>
      <c r="L2">
        <v>1504.1</v>
      </c>
      <c r="N2">
        <v>682.6</v>
      </c>
      <c r="O2">
        <v>66</v>
      </c>
      <c r="Q2">
        <v>606.4</v>
      </c>
      <c r="R2">
        <v>46.8</v>
      </c>
      <c r="T2">
        <v>1525.1</v>
      </c>
      <c r="U2">
        <v>132.4</v>
      </c>
      <c r="W2">
        <v>1315.4</v>
      </c>
      <c r="X2">
        <v>125.4</v>
      </c>
      <c r="Z2">
        <v>1025.5999999999999</v>
      </c>
      <c r="AA2">
        <v>68.599999999999994</v>
      </c>
      <c r="AC2">
        <v>59.4</v>
      </c>
      <c r="AD2">
        <v>18.8</v>
      </c>
      <c r="AF2" s="24">
        <v>2788233.3</v>
      </c>
      <c r="AG2">
        <v>44982.8</v>
      </c>
      <c r="AI2" s="25">
        <v>1752.4</v>
      </c>
      <c r="AJ2">
        <v>75.099999999999994</v>
      </c>
      <c r="AL2">
        <v>625.20000000000005</v>
      </c>
      <c r="AM2">
        <v>92.3</v>
      </c>
      <c r="AO2">
        <v>324</v>
      </c>
      <c r="AP2">
        <v>45.8</v>
      </c>
      <c r="AR2">
        <v>4919.7</v>
      </c>
      <c r="AS2">
        <v>288.2</v>
      </c>
      <c r="AU2">
        <v>287.5</v>
      </c>
      <c r="AV2">
        <v>3.1</v>
      </c>
      <c r="AX2">
        <v>206.3</v>
      </c>
      <c r="AY2">
        <v>30.1</v>
      </c>
      <c r="BA2">
        <v>630.4</v>
      </c>
      <c r="BB2">
        <v>42.4</v>
      </c>
      <c r="BD2">
        <v>315.7</v>
      </c>
      <c r="BE2">
        <v>51.6</v>
      </c>
      <c r="BG2">
        <v>206.3</v>
      </c>
      <c r="BH2">
        <v>25.6</v>
      </c>
      <c r="BJ2">
        <v>1074.5999999999999</v>
      </c>
      <c r="BK2">
        <v>23.8</v>
      </c>
      <c r="BM2">
        <v>818.1</v>
      </c>
      <c r="BN2">
        <v>88.1</v>
      </c>
      <c r="BP2">
        <v>4880.1000000000004</v>
      </c>
      <c r="BQ2">
        <v>76</v>
      </c>
      <c r="BS2">
        <v>1502442.3</v>
      </c>
      <c r="BT2">
        <v>22477.3</v>
      </c>
      <c r="BV2">
        <v>347278.2</v>
      </c>
      <c r="BW2">
        <v>1506.2</v>
      </c>
      <c r="BY2">
        <v>1838</v>
      </c>
      <c r="BZ2">
        <v>716.9</v>
      </c>
      <c r="CB2">
        <v>911.9</v>
      </c>
      <c r="CC2">
        <v>50.3</v>
      </c>
      <c r="CE2">
        <v>817</v>
      </c>
      <c r="CF2">
        <v>67.5</v>
      </c>
      <c r="CH2">
        <v>19391.900000000001</v>
      </c>
      <c r="CI2">
        <v>107.1</v>
      </c>
      <c r="CK2">
        <v>1725.2</v>
      </c>
      <c r="CL2">
        <v>99.4</v>
      </c>
      <c r="CN2">
        <v>156395.1</v>
      </c>
      <c r="CO2">
        <v>3360</v>
      </c>
      <c r="CQ2">
        <v>17219.099999999999</v>
      </c>
      <c r="CR2">
        <v>766.5</v>
      </c>
      <c r="CT2">
        <v>13324.2</v>
      </c>
      <c r="CU2">
        <v>397.6</v>
      </c>
      <c r="CW2">
        <v>578211.1</v>
      </c>
      <c r="CX2">
        <v>13519.6</v>
      </c>
      <c r="CZ2">
        <v>1311.9</v>
      </c>
      <c r="DA2">
        <v>64.8</v>
      </c>
      <c r="DC2">
        <v>63262.1</v>
      </c>
      <c r="DD2">
        <v>402.8</v>
      </c>
      <c r="DF2">
        <v>6138.2</v>
      </c>
      <c r="DG2">
        <v>52.2</v>
      </c>
      <c r="DI2">
        <v>10.6</v>
      </c>
      <c r="DJ2">
        <v>5.6</v>
      </c>
      <c r="DL2">
        <v>111.1</v>
      </c>
      <c r="DM2">
        <v>34.1</v>
      </c>
      <c r="DO2">
        <v>122.2</v>
      </c>
      <c r="DP2">
        <v>31.3</v>
      </c>
      <c r="DR2">
        <v>223.1</v>
      </c>
      <c r="DS2">
        <v>36.700000000000003</v>
      </c>
      <c r="DU2">
        <v>2760.8</v>
      </c>
      <c r="DV2">
        <v>44.8</v>
      </c>
      <c r="DX2">
        <v>113</v>
      </c>
      <c r="DY2">
        <v>18.5</v>
      </c>
      <c r="EA2">
        <v>253.7</v>
      </c>
      <c r="EB2">
        <v>40.5</v>
      </c>
      <c r="ED2">
        <v>513.1</v>
      </c>
      <c r="EE2">
        <v>65.2</v>
      </c>
      <c r="EG2">
        <v>517.70000000000005</v>
      </c>
      <c r="EH2">
        <v>44.6</v>
      </c>
      <c r="EJ2">
        <v>236509.6</v>
      </c>
      <c r="EK2">
        <v>3308.9</v>
      </c>
      <c r="EM2">
        <v>168.5</v>
      </c>
      <c r="EN2">
        <v>9.1999999999999993</v>
      </c>
      <c r="EP2">
        <v>131641.4</v>
      </c>
      <c r="EQ2">
        <v>3788.4</v>
      </c>
      <c r="ES2">
        <v>23733.599999999999</v>
      </c>
      <c r="ET2">
        <v>399</v>
      </c>
      <c r="EV2">
        <v>1.1000000000000001</v>
      </c>
      <c r="EW2">
        <v>1.9</v>
      </c>
      <c r="EY2">
        <v>5.0999999999999996</v>
      </c>
      <c r="EZ2">
        <v>3.3</v>
      </c>
      <c r="FB2">
        <v>1.6</v>
      </c>
      <c r="FC2">
        <v>2.7</v>
      </c>
      <c r="FE2">
        <v>3320</v>
      </c>
      <c r="FF2">
        <v>217.4</v>
      </c>
      <c r="FH2">
        <v>49.4</v>
      </c>
      <c r="FI2">
        <v>11.8</v>
      </c>
      <c r="FK2">
        <v>59669.7</v>
      </c>
      <c r="FL2">
        <v>1170.4000000000001</v>
      </c>
      <c r="FN2">
        <v>50.9</v>
      </c>
      <c r="FO2">
        <v>2.1</v>
      </c>
      <c r="FQ2">
        <v>29252.2</v>
      </c>
      <c r="FR2">
        <v>1323.7</v>
      </c>
    </row>
    <row r="3" spans="1:175">
      <c r="A3" t="s">
        <v>67</v>
      </c>
      <c r="B3">
        <v>1985.9</v>
      </c>
      <c r="C3">
        <v>54.3</v>
      </c>
      <c r="E3">
        <v>530.6</v>
      </c>
      <c r="F3">
        <v>26.4</v>
      </c>
      <c r="H3">
        <v>1832.7</v>
      </c>
      <c r="I3">
        <v>102.4</v>
      </c>
      <c r="K3">
        <v>6021.2</v>
      </c>
      <c r="L3">
        <v>152.4</v>
      </c>
      <c r="N3">
        <v>181.3</v>
      </c>
      <c r="O3">
        <v>56.5</v>
      </c>
      <c r="Q3">
        <v>435.5</v>
      </c>
      <c r="R3">
        <v>23.1</v>
      </c>
      <c r="T3">
        <v>972.4</v>
      </c>
      <c r="U3">
        <v>126.3</v>
      </c>
      <c r="W3">
        <v>1108</v>
      </c>
      <c r="X3">
        <v>25.3</v>
      </c>
      <c r="Z3">
        <v>593.9</v>
      </c>
      <c r="AA3">
        <v>33.1</v>
      </c>
      <c r="AC3">
        <v>28.1</v>
      </c>
      <c r="AD3">
        <v>16.5</v>
      </c>
      <c r="AF3" s="24">
        <v>2550297</v>
      </c>
      <c r="AG3">
        <v>68137.399999999994</v>
      </c>
      <c r="AI3" s="25">
        <v>1616.8</v>
      </c>
      <c r="AJ3">
        <v>14.4</v>
      </c>
      <c r="AL3">
        <v>1101.7</v>
      </c>
      <c r="AM3">
        <v>1.8</v>
      </c>
      <c r="AO3">
        <v>228.1</v>
      </c>
      <c r="AP3">
        <v>24.4</v>
      </c>
      <c r="AR3">
        <v>1378</v>
      </c>
      <c r="AS3">
        <v>65.7</v>
      </c>
      <c r="AU3">
        <v>93.8</v>
      </c>
      <c r="AV3">
        <v>35.5</v>
      </c>
      <c r="AX3">
        <v>54.2</v>
      </c>
      <c r="AY3">
        <v>14.1</v>
      </c>
      <c r="BA3">
        <v>187.5</v>
      </c>
      <c r="BB3">
        <v>11.3</v>
      </c>
      <c r="BD3">
        <v>197.9</v>
      </c>
      <c r="BE3">
        <v>11.8</v>
      </c>
      <c r="BG3">
        <v>134.4</v>
      </c>
      <c r="BH3">
        <v>32.6</v>
      </c>
      <c r="BJ3">
        <v>645</v>
      </c>
      <c r="BK3">
        <v>55.7</v>
      </c>
      <c r="BM3">
        <v>535.6</v>
      </c>
      <c r="BN3">
        <v>24.4</v>
      </c>
      <c r="BP3">
        <v>9863.1</v>
      </c>
      <c r="BQ3">
        <v>107.3</v>
      </c>
      <c r="BS3">
        <v>1387021.5</v>
      </c>
      <c r="BT3">
        <v>25436</v>
      </c>
      <c r="BV3">
        <v>344392.3</v>
      </c>
      <c r="BW3">
        <v>3960.3</v>
      </c>
      <c r="BY3">
        <v>424</v>
      </c>
      <c r="BZ3">
        <v>31.6</v>
      </c>
      <c r="CB3">
        <v>1427</v>
      </c>
      <c r="CC3">
        <v>85.5</v>
      </c>
      <c r="CE3">
        <v>1449</v>
      </c>
      <c r="CF3">
        <v>73.400000000000006</v>
      </c>
      <c r="CH3">
        <v>18157.3</v>
      </c>
      <c r="CI3">
        <v>131.69999999999999</v>
      </c>
      <c r="CK3">
        <v>1648.1</v>
      </c>
      <c r="CL3">
        <v>61.6</v>
      </c>
      <c r="CN3">
        <v>98384.3</v>
      </c>
      <c r="CO3">
        <v>1820.2</v>
      </c>
      <c r="CQ3">
        <v>7956.4</v>
      </c>
      <c r="CR3">
        <v>285.5</v>
      </c>
      <c r="CT3">
        <v>10621.5</v>
      </c>
      <c r="CU3">
        <v>219.5</v>
      </c>
      <c r="CW3">
        <v>569472.9</v>
      </c>
      <c r="CX3">
        <v>3446.1</v>
      </c>
      <c r="CZ3">
        <v>1389.9</v>
      </c>
      <c r="DA3">
        <v>74.900000000000006</v>
      </c>
      <c r="DC3">
        <v>52535.1</v>
      </c>
      <c r="DD3">
        <v>244</v>
      </c>
      <c r="DF3">
        <v>2271.3000000000002</v>
      </c>
      <c r="DG3">
        <v>33.4</v>
      </c>
      <c r="DI3">
        <v>17.600000000000001</v>
      </c>
      <c r="DJ3">
        <v>9.8000000000000007</v>
      </c>
      <c r="DL3">
        <v>99.1</v>
      </c>
      <c r="DM3">
        <v>23.9</v>
      </c>
      <c r="DO3">
        <v>318.5</v>
      </c>
      <c r="DP3">
        <v>60.5</v>
      </c>
      <c r="DR3">
        <v>88</v>
      </c>
      <c r="DS3">
        <v>29.7</v>
      </c>
      <c r="DU3">
        <v>2808</v>
      </c>
      <c r="DV3">
        <v>36.299999999999997</v>
      </c>
      <c r="DX3">
        <v>45.4</v>
      </c>
      <c r="DY3">
        <v>18.899999999999999</v>
      </c>
      <c r="EA3">
        <v>252.8</v>
      </c>
      <c r="EB3">
        <v>31.3</v>
      </c>
      <c r="ED3">
        <v>590</v>
      </c>
      <c r="EE3">
        <v>36.700000000000003</v>
      </c>
      <c r="EG3">
        <v>474.1</v>
      </c>
      <c r="EH3">
        <v>74.2</v>
      </c>
      <c r="EJ3">
        <v>232559.9</v>
      </c>
      <c r="EK3">
        <v>4001.7</v>
      </c>
      <c r="EM3">
        <v>174.5</v>
      </c>
      <c r="EN3">
        <v>29.7</v>
      </c>
      <c r="EP3">
        <v>127201.5</v>
      </c>
      <c r="EQ3">
        <v>3415.8</v>
      </c>
      <c r="ES3">
        <v>21285.8</v>
      </c>
      <c r="ET3">
        <v>1324.3</v>
      </c>
      <c r="EV3">
        <v>0</v>
      </c>
      <c r="EW3">
        <v>0</v>
      </c>
      <c r="EY3">
        <v>7.7</v>
      </c>
      <c r="EZ3">
        <v>3.9</v>
      </c>
      <c r="FB3">
        <v>10.5</v>
      </c>
      <c r="FC3">
        <v>7.4</v>
      </c>
      <c r="FE3">
        <v>616.4</v>
      </c>
      <c r="FF3">
        <v>72.8</v>
      </c>
      <c r="FH3">
        <v>28.9</v>
      </c>
      <c r="FI3">
        <v>10</v>
      </c>
      <c r="FK3">
        <v>63792.5</v>
      </c>
      <c r="FL3">
        <v>234.1</v>
      </c>
      <c r="FN3">
        <v>49.4</v>
      </c>
      <c r="FO3">
        <v>4.5</v>
      </c>
      <c r="FQ3">
        <v>32430.400000000001</v>
      </c>
      <c r="FR3">
        <v>864.1</v>
      </c>
    </row>
    <row r="4" spans="1:175">
      <c r="A4" t="s">
        <v>68</v>
      </c>
      <c r="B4">
        <v>5165.8999999999996</v>
      </c>
      <c r="C4">
        <v>102.1</v>
      </c>
      <c r="E4">
        <v>1181</v>
      </c>
      <c r="F4">
        <v>23.5</v>
      </c>
      <c r="H4">
        <v>20656.5</v>
      </c>
      <c r="I4">
        <v>396.3</v>
      </c>
      <c r="K4">
        <v>28979.5</v>
      </c>
      <c r="L4">
        <v>818.6</v>
      </c>
      <c r="N4">
        <v>26765.3</v>
      </c>
      <c r="O4">
        <v>896.2</v>
      </c>
      <c r="Q4">
        <v>3583.7</v>
      </c>
      <c r="R4">
        <v>33.799999999999997</v>
      </c>
      <c r="T4">
        <v>27214.7</v>
      </c>
      <c r="U4">
        <v>797.2</v>
      </c>
      <c r="W4">
        <v>7117.4</v>
      </c>
      <c r="X4">
        <v>186.4</v>
      </c>
      <c r="Z4">
        <v>13791.7</v>
      </c>
      <c r="AA4">
        <v>174.6</v>
      </c>
      <c r="AC4">
        <v>2340.5</v>
      </c>
      <c r="AD4">
        <v>29.1</v>
      </c>
      <c r="AF4" s="24">
        <v>2554993</v>
      </c>
      <c r="AG4">
        <v>80669.3</v>
      </c>
      <c r="AI4" s="25">
        <v>8433.9</v>
      </c>
      <c r="AJ4">
        <v>205.4</v>
      </c>
      <c r="AL4">
        <v>7137.3</v>
      </c>
      <c r="AM4">
        <v>181.8</v>
      </c>
      <c r="AO4">
        <v>32830.5</v>
      </c>
      <c r="AP4">
        <v>707.5</v>
      </c>
      <c r="AR4">
        <v>14982.4</v>
      </c>
      <c r="AS4">
        <v>455.6</v>
      </c>
      <c r="AU4">
        <v>30832.3</v>
      </c>
      <c r="AV4">
        <v>1000.5</v>
      </c>
      <c r="AX4">
        <v>28822.799999999999</v>
      </c>
      <c r="AY4">
        <v>653.20000000000005</v>
      </c>
      <c r="BA4">
        <v>6741.9</v>
      </c>
      <c r="BB4">
        <v>198.3</v>
      </c>
      <c r="BD4">
        <v>5913.7</v>
      </c>
      <c r="BE4">
        <v>226.6</v>
      </c>
      <c r="BG4">
        <v>5853.3</v>
      </c>
      <c r="BH4">
        <v>222.6</v>
      </c>
      <c r="BJ4">
        <v>37923.300000000003</v>
      </c>
      <c r="BK4">
        <v>1136.4000000000001</v>
      </c>
      <c r="BM4">
        <v>10404.700000000001</v>
      </c>
      <c r="BN4">
        <v>205.4</v>
      </c>
      <c r="BP4">
        <v>16763.7</v>
      </c>
      <c r="BQ4">
        <v>42.6</v>
      </c>
      <c r="BS4">
        <v>1406095.7</v>
      </c>
      <c r="BT4">
        <v>43588.6</v>
      </c>
      <c r="BV4">
        <v>350962.3</v>
      </c>
      <c r="BW4">
        <v>2285.4</v>
      </c>
      <c r="BY4">
        <v>26513.200000000001</v>
      </c>
      <c r="BZ4">
        <v>364.5</v>
      </c>
      <c r="CB4">
        <v>10363.799999999999</v>
      </c>
      <c r="CC4">
        <v>205</v>
      </c>
      <c r="CE4">
        <v>9216.2999999999993</v>
      </c>
      <c r="CF4">
        <v>324.7</v>
      </c>
      <c r="CH4">
        <v>37083.199999999997</v>
      </c>
      <c r="CI4">
        <v>103.9</v>
      </c>
      <c r="CK4">
        <v>32397.3</v>
      </c>
      <c r="CL4">
        <v>566.1</v>
      </c>
      <c r="CN4">
        <v>100262.3</v>
      </c>
      <c r="CO4">
        <v>2004.9</v>
      </c>
      <c r="CQ4">
        <v>12614.5</v>
      </c>
      <c r="CR4">
        <v>382.6</v>
      </c>
      <c r="CT4">
        <v>16110.6</v>
      </c>
      <c r="CU4">
        <v>271.3</v>
      </c>
      <c r="CW4">
        <v>589921.6</v>
      </c>
      <c r="CX4">
        <v>601.9</v>
      </c>
      <c r="CZ4">
        <v>1487.2</v>
      </c>
      <c r="DA4">
        <v>82.4</v>
      </c>
      <c r="DC4">
        <v>54373.4</v>
      </c>
      <c r="DD4">
        <v>606.4</v>
      </c>
      <c r="DF4">
        <v>2460.4</v>
      </c>
      <c r="DG4">
        <v>28.2</v>
      </c>
      <c r="DI4">
        <v>151.9</v>
      </c>
      <c r="DJ4">
        <v>13.7</v>
      </c>
      <c r="DL4">
        <v>1632.7</v>
      </c>
      <c r="DM4">
        <v>73.7</v>
      </c>
      <c r="DO4">
        <v>1807.8</v>
      </c>
      <c r="DP4">
        <v>83.8</v>
      </c>
      <c r="DR4">
        <v>2061.8000000000002</v>
      </c>
      <c r="DS4">
        <v>26.3</v>
      </c>
      <c r="DU4">
        <v>9687.6</v>
      </c>
      <c r="DV4">
        <v>131</v>
      </c>
      <c r="DX4">
        <v>1891.3</v>
      </c>
      <c r="DY4">
        <v>110</v>
      </c>
      <c r="EA4">
        <v>592.79999999999995</v>
      </c>
      <c r="EB4">
        <v>73.599999999999994</v>
      </c>
      <c r="ED4">
        <v>1565.9</v>
      </c>
      <c r="EE4">
        <v>124.1</v>
      </c>
      <c r="EG4">
        <v>1112.7</v>
      </c>
      <c r="EH4">
        <v>51.4</v>
      </c>
      <c r="EJ4">
        <v>238485.7</v>
      </c>
      <c r="EK4">
        <v>6836.7</v>
      </c>
      <c r="EM4">
        <v>865.2</v>
      </c>
      <c r="EN4">
        <v>48.6</v>
      </c>
      <c r="EP4">
        <v>126764.8</v>
      </c>
      <c r="EQ4">
        <v>527.4</v>
      </c>
      <c r="ES4">
        <v>20423.400000000001</v>
      </c>
      <c r="ET4">
        <v>1275.2</v>
      </c>
      <c r="EV4">
        <v>78.900000000000006</v>
      </c>
      <c r="EW4">
        <v>12.7</v>
      </c>
      <c r="EY4">
        <v>73.5</v>
      </c>
      <c r="EZ4">
        <v>13.7</v>
      </c>
      <c r="FB4">
        <v>14.7</v>
      </c>
      <c r="FC4">
        <v>5.5</v>
      </c>
      <c r="FE4">
        <v>586.1</v>
      </c>
      <c r="FF4">
        <v>67.3</v>
      </c>
      <c r="FH4">
        <v>32.200000000000003</v>
      </c>
      <c r="FI4">
        <v>1</v>
      </c>
      <c r="FK4">
        <v>64998.1</v>
      </c>
      <c r="FL4">
        <v>1027.0999999999999</v>
      </c>
      <c r="FN4">
        <v>239.3</v>
      </c>
      <c r="FO4">
        <v>10.3</v>
      </c>
      <c r="FQ4">
        <v>33563.5</v>
      </c>
      <c r="FR4">
        <v>551.20000000000005</v>
      </c>
    </row>
    <row r="5" spans="1:175">
      <c r="A5" t="s">
        <v>69</v>
      </c>
      <c r="B5">
        <v>20092</v>
      </c>
      <c r="C5">
        <v>171.2</v>
      </c>
      <c r="E5">
        <v>5610.3</v>
      </c>
      <c r="F5">
        <v>305</v>
      </c>
      <c r="H5">
        <v>102783.3</v>
      </c>
      <c r="I5">
        <v>989.6</v>
      </c>
      <c r="K5">
        <v>133429.5</v>
      </c>
      <c r="L5">
        <v>406.6</v>
      </c>
      <c r="N5">
        <v>144278.29999999999</v>
      </c>
      <c r="O5">
        <v>1737.6</v>
      </c>
      <c r="Q5">
        <v>17951.599999999999</v>
      </c>
      <c r="R5">
        <v>528.29999999999995</v>
      </c>
      <c r="T5">
        <v>146096.4</v>
      </c>
      <c r="U5">
        <v>1064.5</v>
      </c>
      <c r="W5">
        <v>34184.699999999997</v>
      </c>
      <c r="X5">
        <v>503.3</v>
      </c>
      <c r="Z5">
        <v>70559.899999999994</v>
      </c>
      <c r="AA5">
        <v>729.6</v>
      </c>
      <c r="AC5">
        <v>11689.1</v>
      </c>
      <c r="AD5">
        <v>163.6</v>
      </c>
      <c r="AF5" s="24">
        <v>2585082.7000000002</v>
      </c>
      <c r="AG5">
        <v>68194.399999999994</v>
      </c>
      <c r="AI5" s="25">
        <v>37896.6</v>
      </c>
      <c r="AJ5">
        <v>1275</v>
      </c>
      <c r="AL5">
        <v>33965.5</v>
      </c>
      <c r="AM5">
        <v>707.1</v>
      </c>
      <c r="AO5">
        <v>177580.3</v>
      </c>
      <c r="AP5">
        <v>2106</v>
      </c>
      <c r="AR5">
        <v>77221.3</v>
      </c>
      <c r="AS5">
        <v>2230.9</v>
      </c>
      <c r="AU5">
        <v>168032.8</v>
      </c>
      <c r="AV5">
        <v>2934.9</v>
      </c>
      <c r="AX5">
        <v>156418.5</v>
      </c>
      <c r="AY5">
        <v>3799.4</v>
      </c>
      <c r="BA5">
        <v>36559.9</v>
      </c>
      <c r="BB5">
        <v>1160</v>
      </c>
      <c r="BD5">
        <v>32002.799999999999</v>
      </c>
      <c r="BE5">
        <v>378.2</v>
      </c>
      <c r="BG5">
        <v>30673</v>
      </c>
      <c r="BH5">
        <v>513.20000000000005</v>
      </c>
      <c r="BJ5">
        <v>203008.4</v>
      </c>
      <c r="BK5">
        <v>3076.3</v>
      </c>
      <c r="BM5">
        <v>54421.3</v>
      </c>
      <c r="BN5">
        <v>604.1</v>
      </c>
      <c r="BP5">
        <v>49840</v>
      </c>
      <c r="BQ5">
        <v>1099.5</v>
      </c>
      <c r="BS5">
        <v>1412089</v>
      </c>
      <c r="BT5">
        <v>26657.1</v>
      </c>
      <c r="BV5">
        <v>385528</v>
      </c>
      <c r="BW5">
        <v>2251.6</v>
      </c>
      <c r="BY5">
        <v>143535.79999999999</v>
      </c>
      <c r="BZ5">
        <v>1105.7</v>
      </c>
      <c r="CB5">
        <v>50893.7</v>
      </c>
      <c r="CC5">
        <v>354.6</v>
      </c>
      <c r="CE5">
        <v>43440</v>
      </c>
      <c r="CF5">
        <v>944.1</v>
      </c>
      <c r="CH5">
        <v>120099</v>
      </c>
      <c r="CI5">
        <v>865.9</v>
      </c>
      <c r="CK5">
        <v>171599.5</v>
      </c>
      <c r="CL5">
        <v>3666.5</v>
      </c>
      <c r="CN5">
        <v>131024.6</v>
      </c>
      <c r="CO5">
        <v>271.10000000000002</v>
      </c>
      <c r="CQ5">
        <v>37852.300000000003</v>
      </c>
      <c r="CR5">
        <v>623.79999999999995</v>
      </c>
      <c r="CT5">
        <v>34660.5</v>
      </c>
      <c r="CU5">
        <v>395.8</v>
      </c>
      <c r="CW5">
        <v>621860.69999999995</v>
      </c>
      <c r="CX5">
        <v>13083.4</v>
      </c>
      <c r="CZ5">
        <v>1949.7</v>
      </c>
      <c r="DA5">
        <v>35.299999999999997</v>
      </c>
      <c r="DC5">
        <v>63854.3</v>
      </c>
      <c r="DD5">
        <v>667.4</v>
      </c>
      <c r="DF5">
        <v>3928.9</v>
      </c>
      <c r="DG5">
        <v>87.2</v>
      </c>
      <c r="DI5">
        <v>701.2</v>
      </c>
      <c r="DJ5">
        <v>28.2</v>
      </c>
      <c r="DL5">
        <v>8552.7000000000007</v>
      </c>
      <c r="DM5">
        <v>195.6</v>
      </c>
      <c r="DO5">
        <v>8204</v>
      </c>
      <c r="DP5">
        <v>285.7</v>
      </c>
      <c r="DR5">
        <v>11190</v>
      </c>
      <c r="DS5">
        <v>26.9</v>
      </c>
      <c r="DU5">
        <v>40019.599999999999</v>
      </c>
      <c r="DV5">
        <v>685.7</v>
      </c>
      <c r="DX5">
        <v>10384.200000000001</v>
      </c>
      <c r="DY5">
        <v>116.9</v>
      </c>
      <c r="EA5">
        <v>2445.6</v>
      </c>
      <c r="EB5">
        <v>33.200000000000003</v>
      </c>
      <c r="ED5">
        <v>6318.1</v>
      </c>
      <c r="EE5">
        <v>223.4</v>
      </c>
      <c r="EG5">
        <v>4208.8</v>
      </c>
      <c r="EH5">
        <v>66.400000000000006</v>
      </c>
      <c r="EJ5">
        <v>237479.1</v>
      </c>
      <c r="EK5">
        <v>4971.6000000000004</v>
      </c>
      <c r="EM5">
        <v>4289.5</v>
      </c>
      <c r="EN5">
        <v>273.39999999999998</v>
      </c>
      <c r="EP5">
        <v>127409.2</v>
      </c>
      <c r="EQ5">
        <v>1082.0999999999999</v>
      </c>
      <c r="ES5">
        <v>34861.699999999997</v>
      </c>
      <c r="ET5">
        <v>378</v>
      </c>
      <c r="EV5">
        <v>389.7</v>
      </c>
      <c r="EW5">
        <v>42.6</v>
      </c>
      <c r="EY5">
        <v>381.4</v>
      </c>
      <c r="EZ5">
        <v>18.600000000000001</v>
      </c>
      <c r="FB5">
        <v>55.2</v>
      </c>
      <c r="FC5">
        <v>25.8</v>
      </c>
      <c r="FE5">
        <v>366.6</v>
      </c>
      <c r="FF5">
        <v>47</v>
      </c>
      <c r="FH5">
        <v>32.799999999999997</v>
      </c>
      <c r="FI5">
        <v>15.1</v>
      </c>
      <c r="FK5">
        <v>66680.7</v>
      </c>
      <c r="FL5">
        <v>678.3</v>
      </c>
      <c r="FN5">
        <v>1109.8</v>
      </c>
      <c r="FO5">
        <v>38</v>
      </c>
      <c r="FQ5">
        <v>33894.300000000003</v>
      </c>
      <c r="FR5">
        <v>648.79999999999995</v>
      </c>
    </row>
    <row r="6" spans="1:175">
      <c r="A6" t="s">
        <v>70</v>
      </c>
      <c r="B6">
        <v>90618.7</v>
      </c>
      <c r="C6">
        <v>1684.1</v>
      </c>
      <c r="E6">
        <v>27441.200000000001</v>
      </c>
      <c r="F6">
        <v>543.20000000000005</v>
      </c>
      <c r="H6">
        <v>507753.7</v>
      </c>
      <c r="I6">
        <v>4009.9</v>
      </c>
      <c r="K6">
        <v>655805.80000000005</v>
      </c>
      <c r="L6">
        <v>3986.9</v>
      </c>
      <c r="N6">
        <v>743610.3</v>
      </c>
      <c r="O6">
        <v>11317.4</v>
      </c>
      <c r="Q6">
        <v>91077.1</v>
      </c>
      <c r="R6">
        <v>708.7</v>
      </c>
      <c r="T6">
        <v>739019.8</v>
      </c>
      <c r="U6">
        <v>12500.6</v>
      </c>
      <c r="W6">
        <v>166961.4</v>
      </c>
      <c r="X6">
        <v>2215.6999999999998</v>
      </c>
      <c r="Z6">
        <v>352487.4</v>
      </c>
      <c r="AA6">
        <v>4362</v>
      </c>
      <c r="AC6">
        <v>57955.7</v>
      </c>
      <c r="AD6">
        <v>320.8</v>
      </c>
      <c r="AF6" s="24">
        <v>2628950</v>
      </c>
      <c r="AG6">
        <v>31633.4</v>
      </c>
      <c r="AI6" s="25">
        <v>181509.1</v>
      </c>
      <c r="AJ6">
        <v>4026.3</v>
      </c>
      <c r="AL6">
        <v>168547.4</v>
      </c>
      <c r="AM6">
        <v>1379.5</v>
      </c>
      <c r="AO6">
        <v>887197.5</v>
      </c>
      <c r="AP6">
        <v>4379.1000000000004</v>
      </c>
      <c r="AR6">
        <v>375649.1</v>
      </c>
      <c r="AS6">
        <v>4283.1000000000004</v>
      </c>
      <c r="AU6">
        <v>844112.5</v>
      </c>
      <c r="AV6">
        <v>3842.8</v>
      </c>
      <c r="AX6">
        <v>796421.3</v>
      </c>
      <c r="AY6">
        <v>2509.6999999999998</v>
      </c>
      <c r="BA6">
        <v>184223.2</v>
      </c>
      <c r="BB6">
        <v>3362.9</v>
      </c>
      <c r="BD6">
        <v>159506.9</v>
      </c>
      <c r="BE6">
        <v>1744.8</v>
      </c>
      <c r="BG6">
        <v>150950.39999999999</v>
      </c>
      <c r="BH6">
        <v>4016.9</v>
      </c>
      <c r="BJ6">
        <v>1033909.2</v>
      </c>
      <c r="BK6">
        <v>29274.400000000001</v>
      </c>
      <c r="BM6">
        <v>268458.40000000002</v>
      </c>
      <c r="BN6">
        <v>10855.5</v>
      </c>
      <c r="BP6">
        <v>213789.6</v>
      </c>
      <c r="BQ6">
        <v>6323.1</v>
      </c>
      <c r="BS6">
        <v>1407907.8</v>
      </c>
      <c r="BT6">
        <v>34529.599999999999</v>
      </c>
      <c r="BV6">
        <v>560379.30000000005</v>
      </c>
      <c r="BW6">
        <v>7537.2</v>
      </c>
      <c r="BY6">
        <v>729187.2</v>
      </c>
      <c r="BZ6">
        <v>5797.4</v>
      </c>
      <c r="CB6">
        <v>247436.3</v>
      </c>
      <c r="CC6">
        <v>4194.1000000000004</v>
      </c>
      <c r="CE6">
        <v>208615.6</v>
      </c>
      <c r="CF6">
        <v>5511.8</v>
      </c>
      <c r="CH6">
        <v>532557.4</v>
      </c>
      <c r="CI6">
        <v>8314.5</v>
      </c>
      <c r="CK6">
        <v>863686.2</v>
      </c>
      <c r="CL6">
        <v>17680.599999999999</v>
      </c>
      <c r="CN6">
        <v>324745.09999999998</v>
      </c>
      <c r="CO6">
        <v>1594.7</v>
      </c>
      <c r="CQ6">
        <v>170782.3</v>
      </c>
      <c r="CR6">
        <v>4091.1</v>
      </c>
      <c r="CT6">
        <v>136909.6</v>
      </c>
      <c r="CU6">
        <v>3099</v>
      </c>
      <c r="CW6">
        <v>732136.1</v>
      </c>
      <c r="CX6">
        <v>3201.5</v>
      </c>
      <c r="CZ6">
        <v>3952</v>
      </c>
      <c r="DA6">
        <v>86.9</v>
      </c>
      <c r="DC6">
        <v>113702.9</v>
      </c>
      <c r="DD6">
        <v>1843.2</v>
      </c>
      <c r="DF6">
        <v>12129.6</v>
      </c>
      <c r="DG6">
        <v>396.3</v>
      </c>
      <c r="DI6">
        <v>3254.9</v>
      </c>
      <c r="DJ6">
        <v>16.3</v>
      </c>
      <c r="DL6">
        <v>42924.1</v>
      </c>
      <c r="DM6">
        <v>855.6</v>
      </c>
      <c r="DO6">
        <v>39112.199999999997</v>
      </c>
      <c r="DP6">
        <v>1177.7</v>
      </c>
      <c r="DR6">
        <v>55206.400000000001</v>
      </c>
      <c r="DS6">
        <v>1243</v>
      </c>
      <c r="DU6">
        <v>183742.1</v>
      </c>
      <c r="DV6">
        <v>1960.1</v>
      </c>
      <c r="DX6">
        <v>50268</v>
      </c>
      <c r="DY6">
        <v>289.7</v>
      </c>
      <c r="EA6">
        <v>11989.5</v>
      </c>
      <c r="EB6">
        <v>266.3</v>
      </c>
      <c r="ED6">
        <v>27728.400000000001</v>
      </c>
      <c r="EE6">
        <v>313.39999999999998</v>
      </c>
      <c r="EG6">
        <v>18453.900000000001</v>
      </c>
      <c r="EH6">
        <v>185.6</v>
      </c>
      <c r="EJ6">
        <v>239785.9</v>
      </c>
      <c r="EK6">
        <v>655.7</v>
      </c>
      <c r="EM6">
        <v>19779.3</v>
      </c>
      <c r="EN6">
        <v>350.8</v>
      </c>
      <c r="EP6">
        <v>128750.7</v>
      </c>
      <c r="EQ6">
        <v>719.2</v>
      </c>
      <c r="ES6">
        <v>110184.7</v>
      </c>
      <c r="ET6">
        <v>948.5</v>
      </c>
      <c r="EV6">
        <v>1964.4</v>
      </c>
      <c r="EW6">
        <v>29</v>
      </c>
      <c r="EY6">
        <v>1866</v>
      </c>
      <c r="EZ6">
        <v>34.4</v>
      </c>
      <c r="FB6">
        <v>186.1</v>
      </c>
      <c r="FC6">
        <v>38.1</v>
      </c>
      <c r="FE6">
        <v>664.4</v>
      </c>
      <c r="FF6">
        <v>46</v>
      </c>
      <c r="FH6">
        <v>39.4</v>
      </c>
      <c r="FI6">
        <v>2.5</v>
      </c>
      <c r="FK6">
        <v>67847.3</v>
      </c>
      <c r="FL6">
        <v>1061.8</v>
      </c>
      <c r="FN6">
        <v>5176.6000000000004</v>
      </c>
      <c r="FO6">
        <v>176.3</v>
      </c>
      <c r="FQ6">
        <v>35533.800000000003</v>
      </c>
      <c r="FR6">
        <v>435.5</v>
      </c>
    </row>
    <row r="7" spans="1:175">
      <c r="A7" t="s">
        <v>71</v>
      </c>
      <c r="B7">
        <v>225873.8</v>
      </c>
      <c r="C7">
        <v>1343.1</v>
      </c>
      <c r="E7">
        <v>70706.5</v>
      </c>
      <c r="F7">
        <v>606.6</v>
      </c>
      <c r="H7">
        <v>1308363.2</v>
      </c>
      <c r="I7">
        <v>15078.4</v>
      </c>
      <c r="K7">
        <v>1692019</v>
      </c>
      <c r="L7">
        <v>24024.799999999999</v>
      </c>
      <c r="N7">
        <v>1908776</v>
      </c>
      <c r="O7">
        <v>24637.9</v>
      </c>
      <c r="Q7">
        <v>224872.5</v>
      </c>
      <c r="R7">
        <v>1465.6</v>
      </c>
      <c r="T7">
        <v>1889325.3</v>
      </c>
      <c r="U7">
        <v>29954</v>
      </c>
      <c r="W7">
        <v>412728</v>
      </c>
      <c r="X7">
        <v>2845.4</v>
      </c>
      <c r="Z7">
        <v>887606.9</v>
      </c>
      <c r="AA7">
        <v>12894.9</v>
      </c>
      <c r="AC7">
        <v>144655.29999999999</v>
      </c>
      <c r="AD7">
        <v>2233.6</v>
      </c>
      <c r="AF7" s="24">
        <v>2647316.2999999998</v>
      </c>
      <c r="AG7">
        <v>9699.2999999999993</v>
      </c>
      <c r="AI7" s="25">
        <v>451234.8</v>
      </c>
      <c r="AJ7">
        <v>8053.2</v>
      </c>
      <c r="AL7">
        <v>419656.2</v>
      </c>
      <c r="AM7">
        <v>5349.8</v>
      </c>
      <c r="AO7">
        <v>2324617</v>
      </c>
      <c r="AP7">
        <v>22886.799999999999</v>
      </c>
      <c r="AR7">
        <v>953941</v>
      </c>
      <c r="AS7">
        <v>6822.1</v>
      </c>
      <c r="AU7">
        <v>2180708.2999999998</v>
      </c>
      <c r="AV7">
        <v>24570.2</v>
      </c>
      <c r="AX7">
        <v>2042637.3</v>
      </c>
      <c r="AY7">
        <v>44087</v>
      </c>
      <c r="BA7">
        <v>464759.3</v>
      </c>
      <c r="BB7">
        <v>13951</v>
      </c>
      <c r="BD7">
        <v>402630.3</v>
      </c>
      <c r="BE7">
        <v>10734</v>
      </c>
      <c r="BG7">
        <v>388474.7</v>
      </c>
      <c r="BH7">
        <v>12526.4</v>
      </c>
      <c r="BJ7">
        <v>2765524.3</v>
      </c>
      <c r="BK7">
        <v>58728</v>
      </c>
      <c r="BM7">
        <v>703074</v>
      </c>
      <c r="BN7">
        <v>15156.2</v>
      </c>
      <c r="BP7">
        <v>542760.30000000005</v>
      </c>
      <c r="BQ7">
        <v>11155.8</v>
      </c>
      <c r="BS7">
        <v>1418989.2</v>
      </c>
      <c r="BT7">
        <v>37541.1</v>
      </c>
      <c r="BV7">
        <v>882928.2</v>
      </c>
      <c r="BW7">
        <v>6911.7</v>
      </c>
      <c r="BY7">
        <v>1861227</v>
      </c>
      <c r="BZ7">
        <v>20526.7</v>
      </c>
      <c r="CB7">
        <v>613763.69999999995</v>
      </c>
      <c r="CC7">
        <v>11413.9</v>
      </c>
      <c r="CE7">
        <v>520156.7</v>
      </c>
      <c r="CF7">
        <v>5342.6</v>
      </c>
      <c r="CH7">
        <v>1319175.5</v>
      </c>
      <c r="CI7">
        <v>17092.8</v>
      </c>
      <c r="CK7">
        <v>2200055.7000000002</v>
      </c>
      <c r="CL7">
        <v>18807.7</v>
      </c>
      <c r="CN7">
        <v>688305.2</v>
      </c>
      <c r="CO7">
        <v>12650</v>
      </c>
      <c r="CQ7">
        <v>418188.1</v>
      </c>
      <c r="CR7">
        <v>18163.599999999999</v>
      </c>
      <c r="CT7">
        <v>319834.09999999998</v>
      </c>
      <c r="CU7">
        <v>14413.8</v>
      </c>
      <c r="CW7">
        <v>926408.9</v>
      </c>
      <c r="CX7">
        <v>10802.6</v>
      </c>
      <c r="CZ7">
        <v>7871.1</v>
      </c>
      <c r="DA7">
        <v>321.3</v>
      </c>
      <c r="DC7">
        <v>207614.8</v>
      </c>
      <c r="DD7">
        <v>1735.1</v>
      </c>
      <c r="DF7">
        <v>27592.3</v>
      </c>
      <c r="DG7">
        <v>184.3</v>
      </c>
      <c r="DI7">
        <v>7944.3</v>
      </c>
      <c r="DJ7">
        <v>108.3</v>
      </c>
      <c r="DL7">
        <v>107188.6</v>
      </c>
      <c r="DM7">
        <v>906.2</v>
      </c>
      <c r="DO7">
        <v>96467.1</v>
      </c>
      <c r="DP7">
        <v>524</v>
      </c>
      <c r="DR7">
        <v>136036.6</v>
      </c>
      <c r="DS7">
        <v>2768.8</v>
      </c>
      <c r="DU7">
        <v>447312.4</v>
      </c>
      <c r="DV7">
        <v>10270.1</v>
      </c>
      <c r="DX7">
        <v>126197.3</v>
      </c>
      <c r="DY7">
        <v>1882.2</v>
      </c>
      <c r="EA7">
        <v>29974.9</v>
      </c>
      <c r="EB7">
        <v>768.8</v>
      </c>
      <c r="ED7">
        <v>69818.7</v>
      </c>
      <c r="EE7">
        <v>1011.3</v>
      </c>
      <c r="EG7">
        <v>46512.4</v>
      </c>
      <c r="EH7">
        <v>1412.4</v>
      </c>
      <c r="EJ7">
        <v>241438.1</v>
      </c>
      <c r="EK7">
        <v>9429.4</v>
      </c>
      <c r="EM7">
        <v>48555.6</v>
      </c>
      <c r="EN7">
        <v>1061</v>
      </c>
      <c r="EP7">
        <v>129690</v>
      </c>
      <c r="EQ7">
        <v>3568.2</v>
      </c>
      <c r="ES7">
        <v>252633.8</v>
      </c>
      <c r="ET7">
        <v>1334.8</v>
      </c>
      <c r="EV7">
        <v>4862.5</v>
      </c>
      <c r="EW7">
        <v>43.6</v>
      </c>
      <c r="EY7">
        <v>4892.8999999999996</v>
      </c>
      <c r="EZ7">
        <v>53.7</v>
      </c>
      <c r="FB7">
        <v>536.5</v>
      </c>
      <c r="FC7">
        <v>21.8</v>
      </c>
      <c r="FE7">
        <v>1735.1</v>
      </c>
      <c r="FF7">
        <v>46.7</v>
      </c>
      <c r="FH7">
        <v>33.9</v>
      </c>
      <c r="FI7">
        <v>5.0999999999999996</v>
      </c>
      <c r="FK7">
        <v>67101</v>
      </c>
      <c r="FL7">
        <v>2279.1999999999998</v>
      </c>
      <c r="FN7">
        <v>12697.8</v>
      </c>
      <c r="FO7">
        <v>199</v>
      </c>
      <c r="FQ7">
        <v>33794.9</v>
      </c>
      <c r="FR7">
        <v>544.20000000000005</v>
      </c>
    </row>
    <row r="8" spans="1:175">
      <c r="A8" t="s">
        <v>72</v>
      </c>
      <c r="B8">
        <v>941499.3</v>
      </c>
      <c r="C8">
        <v>20377.599999999999</v>
      </c>
      <c r="E8">
        <v>290574.59999999998</v>
      </c>
      <c r="F8">
        <v>6105.5</v>
      </c>
      <c r="H8">
        <v>5530650</v>
      </c>
      <c r="I8">
        <v>33589</v>
      </c>
      <c r="K8">
        <v>7121345.5999999996</v>
      </c>
      <c r="L8">
        <v>144086.9</v>
      </c>
      <c r="N8">
        <v>8120473.0999999996</v>
      </c>
      <c r="O8">
        <v>146809.70000000001</v>
      </c>
      <c r="Q8">
        <v>950657.7</v>
      </c>
      <c r="R8">
        <v>16021.4</v>
      </c>
      <c r="T8">
        <v>7838464.7999999998</v>
      </c>
      <c r="U8">
        <v>161223</v>
      </c>
      <c r="W8">
        <v>1759551.5</v>
      </c>
      <c r="X8">
        <v>43723.9</v>
      </c>
      <c r="Z8">
        <v>3649874.7</v>
      </c>
      <c r="AA8">
        <v>64800</v>
      </c>
      <c r="AC8">
        <v>599697</v>
      </c>
      <c r="AD8">
        <v>3093.3</v>
      </c>
      <c r="AF8" s="24">
        <v>2627687</v>
      </c>
      <c r="AG8">
        <v>21738.6</v>
      </c>
      <c r="AI8" s="25">
        <v>1937004</v>
      </c>
      <c r="AJ8">
        <v>14922.7</v>
      </c>
      <c r="AL8">
        <v>1807231.2</v>
      </c>
      <c r="AM8">
        <v>9799.7999999999993</v>
      </c>
      <c r="AO8">
        <v>9280197.4000000004</v>
      </c>
      <c r="AP8">
        <v>32723.9</v>
      </c>
      <c r="AR8">
        <v>3957594.4</v>
      </c>
      <c r="AS8">
        <v>38671.9</v>
      </c>
      <c r="AU8">
        <v>9007866.1999999993</v>
      </c>
      <c r="AV8">
        <v>167068.4</v>
      </c>
      <c r="AX8">
        <v>8436262.0999999996</v>
      </c>
      <c r="AY8">
        <v>129977</v>
      </c>
      <c r="BA8">
        <v>1932090.3</v>
      </c>
      <c r="BB8">
        <v>31855</v>
      </c>
      <c r="BD8">
        <v>1693089.7</v>
      </c>
      <c r="BE8">
        <v>27782.400000000001</v>
      </c>
      <c r="BG8">
        <v>1625192.2</v>
      </c>
      <c r="BH8">
        <v>34370.699999999997</v>
      </c>
      <c r="BJ8">
        <v>10675924.300000001</v>
      </c>
      <c r="BK8">
        <v>309111.2</v>
      </c>
      <c r="BM8">
        <v>3002512.3</v>
      </c>
      <c r="BN8">
        <v>141098.79999999999</v>
      </c>
      <c r="BP8">
        <v>2257768.7000000002</v>
      </c>
      <c r="BQ8">
        <v>91573.2</v>
      </c>
      <c r="BS8">
        <v>1405461.7</v>
      </c>
      <c r="BT8">
        <v>40847.5</v>
      </c>
      <c r="BV8">
        <v>2551211</v>
      </c>
      <c r="BW8">
        <v>38441.4</v>
      </c>
      <c r="BY8">
        <v>7177725.9000000004</v>
      </c>
      <c r="BZ8">
        <v>37590.199999999997</v>
      </c>
      <c r="CB8">
        <v>2641865.2999999998</v>
      </c>
      <c r="CC8">
        <v>25555.599999999999</v>
      </c>
      <c r="CE8">
        <v>2254761</v>
      </c>
      <c r="CF8">
        <v>18186.599999999999</v>
      </c>
      <c r="CH8">
        <v>5146554.5999999996</v>
      </c>
      <c r="CI8">
        <v>42392.3</v>
      </c>
      <c r="CK8">
        <v>8377837.7000000002</v>
      </c>
      <c r="CL8">
        <v>81388.5</v>
      </c>
      <c r="CN8">
        <v>2667468.4</v>
      </c>
      <c r="CO8">
        <v>10245.5</v>
      </c>
      <c r="CQ8">
        <v>1732956.4</v>
      </c>
      <c r="CR8">
        <v>30360.799999999999</v>
      </c>
      <c r="CT8">
        <v>1310460.7</v>
      </c>
      <c r="CU8">
        <v>21908.7</v>
      </c>
      <c r="CW8">
        <v>1863267.6</v>
      </c>
      <c r="CX8">
        <v>15239</v>
      </c>
      <c r="CZ8">
        <v>26879.1</v>
      </c>
      <c r="DA8">
        <v>646.70000000000005</v>
      </c>
      <c r="DC8">
        <v>700289.3</v>
      </c>
      <c r="DD8">
        <v>873.2</v>
      </c>
      <c r="DF8">
        <v>103096.5</v>
      </c>
      <c r="DG8">
        <v>1187.3</v>
      </c>
      <c r="DI8">
        <v>33714.6</v>
      </c>
      <c r="DJ8">
        <v>922.4</v>
      </c>
      <c r="DL8">
        <v>446818.1</v>
      </c>
      <c r="DM8">
        <v>8930</v>
      </c>
      <c r="DO8">
        <v>397539.5</v>
      </c>
      <c r="DP8">
        <v>7697.1</v>
      </c>
      <c r="DR8">
        <v>567225.80000000005</v>
      </c>
      <c r="DS8">
        <v>11844.9</v>
      </c>
      <c r="DU8">
        <v>1936135.1</v>
      </c>
      <c r="DV8">
        <v>54789.1</v>
      </c>
      <c r="DX8">
        <v>523510</v>
      </c>
      <c r="DY8">
        <v>19999</v>
      </c>
      <c r="EA8">
        <v>123216.4</v>
      </c>
      <c r="EB8">
        <v>5361.3</v>
      </c>
      <c r="ED8">
        <v>286089</v>
      </c>
      <c r="EE8">
        <v>7405.4</v>
      </c>
      <c r="EG8">
        <v>185761.7</v>
      </c>
      <c r="EH8">
        <v>4957</v>
      </c>
      <c r="EJ8">
        <v>244133.8</v>
      </c>
      <c r="EK8">
        <v>4010.7</v>
      </c>
      <c r="EM8">
        <v>200998.9</v>
      </c>
      <c r="EN8">
        <v>1982.7</v>
      </c>
      <c r="EP8">
        <v>130403.8</v>
      </c>
      <c r="EQ8">
        <v>1569.9</v>
      </c>
      <c r="ES8">
        <v>996316.6</v>
      </c>
      <c r="ET8">
        <v>29979.200000000001</v>
      </c>
      <c r="EV8">
        <v>20351.400000000001</v>
      </c>
      <c r="EW8">
        <v>323.39999999999998</v>
      </c>
      <c r="EY8">
        <v>19559.900000000001</v>
      </c>
      <c r="EZ8">
        <v>317.8</v>
      </c>
      <c r="FB8">
        <v>2075.6999999999998</v>
      </c>
      <c r="FC8">
        <v>25.9</v>
      </c>
      <c r="FE8">
        <v>6835.6</v>
      </c>
      <c r="FF8">
        <v>148.6</v>
      </c>
      <c r="FH8">
        <v>26.1</v>
      </c>
      <c r="FI8">
        <v>3.5</v>
      </c>
      <c r="FK8">
        <v>69261.7</v>
      </c>
      <c r="FL8">
        <v>804.1</v>
      </c>
      <c r="FN8">
        <v>53529.2</v>
      </c>
      <c r="FO8">
        <v>293.39999999999998</v>
      </c>
      <c r="FQ8">
        <v>34952.400000000001</v>
      </c>
      <c r="FR8">
        <v>979.1</v>
      </c>
    </row>
    <row r="9" spans="1:175">
      <c r="A9" t="s">
        <v>73</v>
      </c>
      <c r="B9">
        <v>2051200.7</v>
      </c>
      <c r="C9">
        <v>43633.8</v>
      </c>
      <c r="E9">
        <v>635887.30000000005</v>
      </c>
      <c r="F9">
        <v>13817.1</v>
      </c>
      <c r="H9">
        <v>11342095.699999999</v>
      </c>
      <c r="I9">
        <v>49752.9</v>
      </c>
      <c r="K9">
        <v>14391705.5</v>
      </c>
      <c r="L9">
        <v>138427.29999999999</v>
      </c>
      <c r="N9">
        <v>16245854.699999999</v>
      </c>
      <c r="O9">
        <v>18765.099999999999</v>
      </c>
      <c r="Q9">
        <v>1972166</v>
      </c>
      <c r="R9">
        <v>38205.800000000003</v>
      </c>
      <c r="T9">
        <v>15712768.699999999</v>
      </c>
      <c r="U9">
        <v>234533.6</v>
      </c>
      <c r="W9">
        <v>3561806.4</v>
      </c>
      <c r="X9">
        <v>25890.799999999999</v>
      </c>
      <c r="Z9">
        <v>7322573.2000000002</v>
      </c>
      <c r="AA9">
        <v>85045.2</v>
      </c>
      <c r="AC9">
        <v>1256667.2</v>
      </c>
      <c r="AD9">
        <v>26025.1</v>
      </c>
      <c r="AF9" s="24">
        <v>2741944.3</v>
      </c>
      <c r="AG9">
        <v>44723.199999999997</v>
      </c>
      <c r="AI9" s="25">
        <v>3768475.5</v>
      </c>
      <c r="AJ9">
        <v>47991.9</v>
      </c>
      <c r="AL9">
        <v>3630697</v>
      </c>
      <c r="AM9">
        <v>19110.099999999999</v>
      </c>
      <c r="AO9">
        <v>18947229.300000001</v>
      </c>
      <c r="AP9">
        <v>60002.400000000001</v>
      </c>
      <c r="AR9">
        <v>8027932.5</v>
      </c>
      <c r="AS9">
        <v>60658.7</v>
      </c>
      <c r="AU9">
        <v>18490854.100000001</v>
      </c>
      <c r="AV9">
        <v>253167.9</v>
      </c>
      <c r="AX9">
        <v>17484778.399999999</v>
      </c>
      <c r="AY9">
        <v>186799.7</v>
      </c>
      <c r="BA9">
        <v>3978917.9</v>
      </c>
      <c r="BB9">
        <v>49940</v>
      </c>
      <c r="BD9">
        <v>3577130</v>
      </c>
      <c r="BE9">
        <v>63622</v>
      </c>
      <c r="BG9">
        <v>3447808</v>
      </c>
      <c r="BH9">
        <v>52745.9</v>
      </c>
      <c r="BJ9">
        <v>21094170.199999999</v>
      </c>
      <c r="BK9">
        <v>226015.5</v>
      </c>
      <c r="BM9">
        <v>5836069</v>
      </c>
      <c r="BN9">
        <v>89627.7</v>
      </c>
      <c r="BP9">
        <v>4357949.8</v>
      </c>
      <c r="BQ9">
        <v>55974</v>
      </c>
      <c r="BS9">
        <v>1412082.3</v>
      </c>
      <c r="BT9">
        <v>18687.400000000001</v>
      </c>
      <c r="BV9">
        <v>4398392.0999999996</v>
      </c>
      <c r="BW9">
        <v>33147.699999999997</v>
      </c>
      <c r="BY9">
        <v>14024121.699999999</v>
      </c>
      <c r="BZ9">
        <v>117936.3</v>
      </c>
      <c r="CB9">
        <v>4917974.5999999996</v>
      </c>
      <c r="CC9">
        <v>56346.400000000001</v>
      </c>
      <c r="CE9">
        <v>4191553.7</v>
      </c>
      <c r="CF9">
        <v>104890</v>
      </c>
      <c r="CH9">
        <v>10145999.6</v>
      </c>
      <c r="CI9">
        <v>318177.09999999998</v>
      </c>
      <c r="CK9">
        <v>16659245.1</v>
      </c>
      <c r="CL9">
        <v>323031.90000000002</v>
      </c>
      <c r="CN9">
        <v>5221970.2</v>
      </c>
      <c r="CO9">
        <v>66956.3</v>
      </c>
      <c r="CQ9">
        <v>3625001.5</v>
      </c>
      <c r="CR9">
        <v>49057</v>
      </c>
      <c r="CT9">
        <v>2679433.5</v>
      </c>
      <c r="CU9">
        <v>66249.3</v>
      </c>
      <c r="CW9">
        <v>3267563.9</v>
      </c>
      <c r="CX9">
        <v>63582</v>
      </c>
      <c r="CZ9">
        <v>52522.1</v>
      </c>
      <c r="DA9">
        <v>1433.7</v>
      </c>
      <c r="DC9">
        <v>1424246.8</v>
      </c>
      <c r="DD9">
        <v>41676.9</v>
      </c>
      <c r="DF9">
        <v>197933.4</v>
      </c>
      <c r="DG9">
        <v>9364.4</v>
      </c>
      <c r="DI9">
        <v>67519.7</v>
      </c>
      <c r="DJ9">
        <v>4406.3999999999996</v>
      </c>
      <c r="DL9">
        <v>882211.4</v>
      </c>
      <c r="DM9">
        <v>50918.8</v>
      </c>
      <c r="DO9">
        <v>808721</v>
      </c>
      <c r="DP9">
        <v>40798.300000000003</v>
      </c>
      <c r="DR9">
        <v>1142205.8999999999</v>
      </c>
      <c r="DS9">
        <v>40372.400000000001</v>
      </c>
      <c r="DU9">
        <v>3850793.2</v>
      </c>
      <c r="DV9">
        <v>148534.5</v>
      </c>
      <c r="DX9">
        <v>1074156.1000000001</v>
      </c>
      <c r="DY9">
        <v>11143.8</v>
      </c>
      <c r="EA9">
        <v>250475.3</v>
      </c>
      <c r="EB9">
        <v>1655.8</v>
      </c>
      <c r="ED9">
        <v>591289.30000000005</v>
      </c>
      <c r="EE9">
        <v>5098.5</v>
      </c>
      <c r="EG9">
        <v>392426.3</v>
      </c>
      <c r="EH9">
        <v>5009.8</v>
      </c>
      <c r="EJ9">
        <v>245161.3</v>
      </c>
      <c r="EK9">
        <v>7507.3</v>
      </c>
      <c r="EM9">
        <v>410146.3</v>
      </c>
      <c r="EN9">
        <v>7450.8</v>
      </c>
      <c r="EP9">
        <v>130956.3</v>
      </c>
      <c r="EQ9">
        <v>2158.1999999999998</v>
      </c>
      <c r="ES9">
        <v>2146978.7000000002</v>
      </c>
      <c r="ET9">
        <v>76979.3</v>
      </c>
      <c r="EV9">
        <v>42763.4</v>
      </c>
      <c r="EW9">
        <v>1526.9</v>
      </c>
      <c r="EY9">
        <v>39363</v>
      </c>
      <c r="EZ9">
        <v>1607.5</v>
      </c>
      <c r="FB9">
        <v>4074.8</v>
      </c>
      <c r="FC9">
        <v>83</v>
      </c>
      <c r="FE9">
        <v>13325</v>
      </c>
      <c r="FF9">
        <v>290</v>
      </c>
      <c r="FH9">
        <v>44.4</v>
      </c>
      <c r="FI9">
        <v>9.8000000000000007</v>
      </c>
      <c r="FK9">
        <v>72761.2</v>
      </c>
      <c r="FL9">
        <v>1679.5</v>
      </c>
      <c r="FN9">
        <v>111397.4</v>
      </c>
      <c r="FO9">
        <v>3935.1</v>
      </c>
      <c r="FQ9">
        <v>35744.699999999997</v>
      </c>
      <c r="FR9">
        <v>557.9</v>
      </c>
    </row>
    <row r="10" spans="1:175">
      <c r="A10" t="s">
        <v>74</v>
      </c>
      <c r="B10">
        <v>6119.2</v>
      </c>
      <c r="C10">
        <v>511.7</v>
      </c>
      <c r="E10">
        <v>1137.0999999999999</v>
      </c>
      <c r="F10">
        <v>134.6</v>
      </c>
      <c r="H10">
        <v>25310.3</v>
      </c>
      <c r="I10">
        <v>3376.7</v>
      </c>
      <c r="K10">
        <v>25676.3</v>
      </c>
      <c r="L10">
        <v>2934.3</v>
      </c>
      <c r="N10">
        <v>13612.3</v>
      </c>
      <c r="O10">
        <v>2085.1</v>
      </c>
      <c r="Q10">
        <v>4240.7</v>
      </c>
      <c r="R10">
        <v>697.6</v>
      </c>
      <c r="T10">
        <v>18998.900000000001</v>
      </c>
      <c r="U10">
        <v>2641.1</v>
      </c>
      <c r="W10">
        <v>4497.3</v>
      </c>
      <c r="X10">
        <v>701.4</v>
      </c>
      <c r="Z10">
        <v>9907.2000000000007</v>
      </c>
      <c r="AA10">
        <v>2122.8000000000002</v>
      </c>
      <c r="AC10">
        <v>1329</v>
      </c>
      <c r="AD10">
        <v>267.3</v>
      </c>
      <c r="AF10" s="24">
        <v>2619974</v>
      </c>
      <c r="AG10">
        <v>21731.1</v>
      </c>
      <c r="AI10" s="25">
        <v>5679.1</v>
      </c>
      <c r="AJ10">
        <v>903.6</v>
      </c>
      <c r="AL10">
        <v>4835.2</v>
      </c>
      <c r="AM10">
        <v>863.2</v>
      </c>
      <c r="AO10">
        <v>27685.9</v>
      </c>
      <c r="AP10">
        <v>6163.6</v>
      </c>
      <c r="AR10">
        <v>10151.1</v>
      </c>
      <c r="AS10">
        <v>1394.4</v>
      </c>
      <c r="AU10">
        <v>15112</v>
      </c>
      <c r="AV10">
        <v>2506.5</v>
      </c>
      <c r="AX10">
        <v>13878.4</v>
      </c>
      <c r="AY10">
        <v>2085.6</v>
      </c>
      <c r="BA10">
        <v>3843.3</v>
      </c>
      <c r="BB10">
        <v>568.4</v>
      </c>
      <c r="BD10">
        <v>3322.9</v>
      </c>
      <c r="BE10">
        <v>528.4</v>
      </c>
      <c r="BG10">
        <v>2706.6</v>
      </c>
      <c r="BH10">
        <v>413.3</v>
      </c>
      <c r="BJ10">
        <v>17740.900000000001</v>
      </c>
      <c r="BK10">
        <v>3392.6</v>
      </c>
      <c r="BM10">
        <v>5238.8999999999996</v>
      </c>
      <c r="BN10">
        <v>1014.2</v>
      </c>
      <c r="BP10">
        <v>11262.3</v>
      </c>
      <c r="BQ10">
        <v>1582.6</v>
      </c>
      <c r="BS10">
        <v>1491136.5</v>
      </c>
      <c r="BT10">
        <v>5954.6</v>
      </c>
      <c r="BV10">
        <v>286880.8</v>
      </c>
      <c r="BW10">
        <v>1818.7</v>
      </c>
      <c r="BY10">
        <v>15105.8</v>
      </c>
      <c r="BZ10">
        <v>4343.7</v>
      </c>
      <c r="CB10">
        <v>5028.2</v>
      </c>
      <c r="CC10">
        <v>1064.4000000000001</v>
      </c>
      <c r="CE10">
        <v>4440</v>
      </c>
      <c r="CF10">
        <v>1027.3</v>
      </c>
      <c r="CH10">
        <v>25647.9</v>
      </c>
      <c r="CI10">
        <v>1748.2</v>
      </c>
      <c r="CK10">
        <v>15001.2</v>
      </c>
      <c r="CL10">
        <v>3192.6</v>
      </c>
      <c r="CN10">
        <v>141010.9</v>
      </c>
      <c r="CO10">
        <v>1920.7</v>
      </c>
      <c r="CQ10">
        <v>14470.5</v>
      </c>
      <c r="CR10">
        <v>525.79999999999995</v>
      </c>
      <c r="CT10">
        <v>16075.4</v>
      </c>
      <c r="CU10">
        <v>181</v>
      </c>
      <c r="CW10">
        <v>721591.1</v>
      </c>
      <c r="CX10">
        <v>2992</v>
      </c>
      <c r="CZ10">
        <v>1371.3</v>
      </c>
      <c r="DA10">
        <v>87.8</v>
      </c>
      <c r="DC10">
        <v>61968</v>
      </c>
      <c r="DD10">
        <v>945.3</v>
      </c>
      <c r="DF10">
        <v>5742.3</v>
      </c>
      <c r="DG10">
        <v>146.6</v>
      </c>
      <c r="DI10">
        <v>54.6</v>
      </c>
      <c r="DJ10">
        <v>22.6</v>
      </c>
      <c r="DL10">
        <v>514.9</v>
      </c>
      <c r="DM10">
        <v>94.4</v>
      </c>
      <c r="DO10">
        <v>563.1</v>
      </c>
      <c r="DP10">
        <v>57.9</v>
      </c>
      <c r="DR10">
        <v>665</v>
      </c>
      <c r="DS10">
        <v>117.5</v>
      </c>
      <c r="DU10">
        <v>4382.2</v>
      </c>
      <c r="DV10">
        <v>243.4</v>
      </c>
      <c r="DX10">
        <v>514.9</v>
      </c>
      <c r="DY10">
        <v>131.1</v>
      </c>
      <c r="EA10">
        <v>391.7</v>
      </c>
      <c r="EB10">
        <v>54.7</v>
      </c>
      <c r="ED10">
        <v>824.4</v>
      </c>
      <c r="EE10">
        <v>46.9</v>
      </c>
      <c r="EG10">
        <v>763.3</v>
      </c>
      <c r="EH10">
        <v>88.3</v>
      </c>
      <c r="EJ10">
        <v>243062.5</v>
      </c>
      <c r="EK10">
        <v>3003.6</v>
      </c>
      <c r="EM10">
        <v>445.4</v>
      </c>
      <c r="EN10">
        <v>64.8</v>
      </c>
      <c r="EP10">
        <v>136053.1</v>
      </c>
      <c r="EQ10">
        <v>6119.6</v>
      </c>
      <c r="ES10">
        <v>31858.3</v>
      </c>
      <c r="ET10">
        <v>2671.7</v>
      </c>
      <c r="EV10">
        <v>33.299999999999997</v>
      </c>
      <c r="EW10">
        <v>33.5</v>
      </c>
      <c r="EY10">
        <v>14.6</v>
      </c>
      <c r="EZ10">
        <v>2.9</v>
      </c>
      <c r="FB10">
        <v>0</v>
      </c>
      <c r="FC10">
        <v>0</v>
      </c>
      <c r="FE10">
        <v>523.1</v>
      </c>
      <c r="FF10">
        <v>94.6</v>
      </c>
      <c r="FH10">
        <v>48.9</v>
      </c>
      <c r="FI10">
        <v>14</v>
      </c>
      <c r="FK10">
        <v>71049.2</v>
      </c>
      <c r="FL10">
        <v>1495.3</v>
      </c>
      <c r="FN10">
        <v>106.5</v>
      </c>
      <c r="FO10">
        <v>11.7</v>
      </c>
      <c r="FQ10">
        <v>37267.800000000003</v>
      </c>
      <c r="FR10">
        <v>150</v>
      </c>
    </row>
    <row r="11" spans="1:175">
      <c r="A11" t="s">
        <v>77</v>
      </c>
      <c r="B11">
        <v>189296.8</v>
      </c>
      <c r="C11">
        <v>2725.9</v>
      </c>
      <c r="E11">
        <v>58847.5</v>
      </c>
      <c r="F11">
        <v>457.1</v>
      </c>
      <c r="H11">
        <v>1076908.2</v>
      </c>
      <c r="I11">
        <v>10303.9</v>
      </c>
      <c r="K11">
        <v>1377874.5</v>
      </c>
      <c r="L11">
        <v>24862.5</v>
      </c>
      <c r="N11">
        <v>1546288.3</v>
      </c>
      <c r="O11">
        <v>39397.699999999997</v>
      </c>
      <c r="Q11">
        <v>184391.1</v>
      </c>
      <c r="R11">
        <v>2472.3000000000002</v>
      </c>
      <c r="T11">
        <v>1525943</v>
      </c>
      <c r="U11">
        <v>21015.200000000001</v>
      </c>
      <c r="W11">
        <v>336806.6</v>
      </c>
      <c r="X11">
        <v>3915.1</v>
      </c>
      <c r="Z11">
        <v>728336.6</v>
      </c>
      <c r="AA11">
        <v>5297.7</v>
      </c>
      <c r="AC11">
        <v>118054.8</v>
      </c>
      <c r="AD11">
        <v>639.4</v>
      </c>
      <c r="AF11" s="24">
        <v>2671308.7000000002</v>
      </c>
      <c r="AG11">
        <v>46648.800000000003</v>
      </c>
      <c r="AI11" s="25">
        <v>372090.4</v>
      </c>
      <c r="AJ11">
        <v>787</v>
      </c>
      <c r="AL11">
        <v>346903.8</v>
      </c>
      <c r="AM11">
        <v>4650.2</v>
      </c>
      <c r="AO11">
        <v>1886666</v>
      </c>
      <c r="AP11">
        <v>25444.9</v>
      </c>
      <c r="AR11">
        <v>789746.3</v>
      </c>
      <c r="AS11">
        <v>2184.6</v>
      </c>
      <c r="AU11">
        <v>1802702</v>
      </c>
      <c r="AV11">
        <v>17989.599999999999</v>
      </c>
      <c r="AX11">
        <v>1697140.2</v>
      </c>
      <c r="AY11">
        <v>29954.400000000001</v>
      </c>
      <c r="BA11">
        <v>384067.5</v>
      </c>
      <c r="BB11">
        <v>3890</v>
      </c>
      <c r="BD11">
        <v>334526.3</v>
      </c>
      <c r="BE11">
        <v>7135</v>
      </c>
      <c r="BG11">
        <v>318808.5</v>
      </c>
      <c r="BH11">
        <v>10449.799999999999</v>
      </c>
      <c r="BJ11">
        <v>2222480.2999999998</v>
      </c>
      <c r="BK11">
        <v>119430.39999999999</v>
      </c>
      <c r="BM11">
        <v>572414.1</v>
      </c>
      <c r="BN11">
        <v>25753</v>
      </c>
      <c r="BP11">
        <v>440393.3</v>
      </c>
      <c r="BQ11">
        <v>18238.900000000001</v>
      </c>
      <c r="BS11">
        <v>1429914.7</v>
      </c>
      <c r="BT11">
        <v>37865.5</v>
      </c>
      <c r="BV11">
        <v>701224</v>
      </c>
      <c r="BW11">
        <v>11773.9</v>
      </c>
      <c r="BY11">
        <v>1497214.7</v>
      </c>
      <c r="BZ11">
        <v>13729.1</v>
      </c>
      <c r="CB11">
        <v>500947.7</v>
      </c>
      <c r="CC11">
        <v>6019.2</v>
      </c>
      <c r="CE11">
        <v>429331.3</v>
      </c>
      <c r="CF11">
        <v>6807.8</v>
      </c>
      <c r="CH11">
        <v>1090312.2</v>
      </c>
      <c r="CI11">
        <v>6677.7</v>
      </c>
      <c r="CK11">
        <v>1794370.7</v>
      </c>
      <c r="CL11">
        <v>27328</v>
      </c>
      <c r="CN11">
        <v>572438.80000000005</v>
      </c>
      <c r="CO11">
        <v>7875.4</v>
      </c>
      <c r="CQ11">
        <v>327899.59999999998</v>
      </c>
      <c r="CR11">
        <v>5627.2</v>
      </c>
      <c r="CT11">
        <v>256189.8</v>
      </c>
      <c r="CU11">
        <v>4448</v>
      </c>
      <c r="CW11">
        <v>903141.3</v>
      </c>
      <c r="CX11">
        <v>11229.3</v>
      </c>
      <c r="CZ11">
        <v>6302.3</v>
      </c>
      <c r="DA11">
        <v>408.9</v>
      </c>
      <c r="DC11">
        <v>177247.4</v>
      </c>
      <c r="DD11">
        <v>2079.4</v>
      </c>
      <c r="DF11">
        <v>21840.799999999999</v>
      </c>
      <c r="DG11">
        <v>545.70000000000005</v>
      </c>
      <c r="DI11">
        <v>6778.9</v>
      </c>
      <c r="DJ11">
        <v>228.3</v>
      </c>
      <c r="DL11">
        <v>87606.7</v>
      </c>
      <c r="DM11">
        <v>1495.6</v>
      </c>
      <c r="DO11">
        <v>80500.3</v>
      </c>
      <c r="DP11">
        <v>557.70000000000005</v>
      </c>
      <c r="DR11">
        <v>111361.9</v>
      </c>
      <c r="DS11">
        <v>2262.1</v>
      </c>
      <c r="DU11">
        <v>371879.9</v>
      </c>
      <c r="DV11">
        <v>9370.5</v>
      </c>
      <c r="DX11">
        <v>102311.9</v>
      </c>
      <c r="DY11">
        <v>2521</v>
      </c>
      <c r="EA11">
        <v>24173.7</v>
      </c>
      <c r="EB11">
        <v>367.5</v>
      </c>
      <c r="ED11">
        <v>55920.3</v>
      </c>
      <c r="EE11">
        <v>705.3</v>
      </c>
      <c r="EG11">
        <v>37423.4</v>
      </c>
      <c r="EH11">
        <v>433.1</v>
      </c>
      <c r="EJ11">
        <v>244542.6</v>
      </c>
      <c r="EK11">
        <v>6510.7</v>
      </c>
      <c r="EM11">
        <v>39631.699999999997</v>
      </c>
      <c r="EN11">
        <v>1700</v>
      </c>
      <c r="EP11">
        <v>131161.5</v>
      </c>
      <c r="EQ11">
        <v>4578.1000000000004</v>
      </c>
      <c r="ES11">
        <v>217317.1</v>
      </c>
      <c r="ET11">
        <v>785.5</v>
      </c>
      <c r="EV11">
        <v>4234</v>
      </c>
      <c r="EW11">
        <v>124.4</v>
      </c>
      <c r="EY11">
        <v>3852.1</v>
      </c>
      <c r="EZ11">
        <v>75.2</v>
      </c>
      <c r="FB11">
        <v>443</v>
      </c>
      <c r="FC11">
        <v>31.6</v>
      </c>
      <c r="FE11">
        <v>1342.2</v>
      </c>
      <c r="FF11">
        <v>44.9</v>
      </c>
      <c r="FH11">
        <v>34.4</v>
      </c>
      <c r="FI11">
        <v>8.1999999999999993</v>
      </c>
      <c r="FK11">
        <v>69489.399999999994</v>
      </c>
      <c r="FL11">
        <v>2236.8000000000002</v>
      </c>
      <c r="FN11">
        <v>10710.3</v>
      </c>
      <c r="FO11">
        <v>546</v>
      </c>
      <c r="FQ11">
        <v>35543.5</v>
      </c>
      <c r="FR11">
        <v>851.9</v>
      </c>
    </row>
    <row r="12" spans="1:175">
      <c r="A12" t="s">
        <v>78</v>
      </c>
      <c r="B12">
        <v>54773.1</v>
      </c>
      <c r="C12">
        <v>451.9</v>
      </c>
      <c r="E12">
        <v>13920.2</v>
      </c>
      <c r="F12">
        <v>91.6</v>
      </c>
      <c r="H12">
        <v>236370.8</v>
      </c>
      <c r="I12">
        <v>1925.8</v>
      </c>
      <c r="K12">
        <v>7618541.4000000004</v>
      </c>
      <c r="L12">
        <v>118623.1</v>
      </c>
      <c r="N12">
        <v>1771.1</v>
      </c>
      <c r="O12">
        <v>40.299999999999997</v>
      </c>
      <c r="Q12">
        <v>351397.3</v>
      </c>
      <c r="R12">
        <v>12153.6</v>
      </c>
      <c r="T12">
        <v>5241</v>
      </c>
      <c r="U12">
        <v>277.5</v>
      </c>
      <c r="W12">
        <v>2395.8000000000002</v>
      </c>
      <c r="X12">
        <v>97.2</v>
      </c>
      <c r="Z12">
        <v>13177</v>
      </c>
      <c r="AA12">
        <v>264.39999999999998</v>
      </c>
      <c r="AC12">
        <v>12636.5</v>
      </c>
      <c r="AD12">
        <v>445.9</v>
      </c>
      <c r="AF12" s="24">
        <v>2781451.3</v>
      </c>
      <c r="AG12">
        <v>97093.3</v>
      </c>
      <c r="AI12" s="25">
        <v>2514.6999999999998</v>
      </c>
      <c r="AJ12">
        <v>73.599999999999994</v>
      </c>
      <c r="AL12">
        <v>317197.5</v>
      </c>
      <c r="AM12">
        <v>4535.5</v>
      </c>
      <c r="AO12">
        <v>7905</v>
      </c>
      <c r="AP12">
        <v>300.10000000000002</v>
      </c>
      <c r="AR12">
        <v>1936571.3</v>
      </c>
      <c r="AS12">
        <v>22649.4</v>
      </c>
      <c r="AU12">
        <v>1605.3</v>
      </c>
      <c r="AV12">
        <v>59.7</v>
      </c>
      <c r="AX12">
        <v>1356.1</v>
      </c>
      <c r="AY12">
        <v>86.8</v>
      </c>
      <c r="BA12">
        <v>504.3</v>
      </c>
      <c r="BB12">
        <v>53.3</v>
      </c>
      <c r="BD12">
        <v>410.5</v>
      </c>
      <c r="BE12">
        <v>10.1</v>
      </c>
      <c r="BG12">
        <v>382.3</v>
      </c>
      <c r="BH12">
        <v>34.4</v>
      </c>
      <c r="BJ12">
        <v>1866</v>
      </c>
      <c r="BK12">
        <v>35.9</v>
      </c>
      <c r="BM12">
        <v>879.6</v>
      </c>
      <c r="BN12">
        <v>99.4</v>
      </c>
      <c r="BP12">
        <v>10164.700000000001</v>
      </c>
      <c r="BQ12">
        <v>120.3</v>
      </c>
      <c r="BS12">
        <v>1443887.3</v>
      </c>
      <c r="BT12">
        <v>20936.599999999999</v>
      </c>
      <c r="BV12">
        <v>184048.5</v>
      </c>
      <c r="BW12">
        <v>13679.2</v>
      </c>
      <c r="BY12">
        <v>168883.20000000001</v>
      </c>
      <c r="BZ12">
        <v>1708.2</v>
      </c>
      <c r="CB12">
        <v>151872.29999999999</v>
      </c>
      <c r="CC12">
        <v>5264.7</v>
      </c>
      <c r="CE12">
        <v>131769.4</v>
      </c>
      <c r="CF12">
        <v>1652.9</v>
      </c>
      <c r="CH12">
        <v>335867.9</v>
      </c>
      <c r="CI12">
        <v>6900.2</v>
      </c>
      <c r="CK12">
        <v>365130.5</v>
      </c>
      <c r="CL12">
        <v>4898.2</v>
      </c>
      <c r="CN12">
        <v>21365211.199999999</v>
      </c>
      <c r="CO12">
        <v>60779</v>
      </c>
      <c r="CQ12">
        <v>5650969.9000000004</v>
      </c>
      <c r="CR12">
        <v>122055.7</v>
      </c>
      <c r="CT12">
        <v>166379.5</v>
      </c>
      <c r="CU12">
        <v>4451.7</v>
      </c>
      <c r="CW12">
        <v>729961.2</v>
      </c>
      <c r="CX12">
        <v>1377</v>
      </c>
      <c r="CZ12">
        <v>1569.6</v>
      </c>
      <c r="DA12">
        <v>71.8</v>
      </c>
      <c r="DC12">
        <v>51478.3</v>
      </c>
      <c r="DD12">
        <v>151.19999999999999</v>
      </c>
      <c r="DF12">
        <v>1304508.3999999999</v>
      </c>
      <c r="DG12">
        <v>28591.3</v>
      </c>
      <c r="DI12">
        <v>28.7</v>
      </c>
      <c r="DJ12">
        <v>8</v>
      </c>
      <c r="DL12">
        <v>53682.400000000001</v>
      </c>
      <c r="DM12">
        <v>2038.2</v>
      </c>
      <c r="DO12">
        <v>25469.4</v>
      </c>
      <c r="DP12">
        <v>834.4</v>
      </c>
      <c r="DR12">
        <v>70430</v>
      </c>
      <c r="DS12">
        <v>2888.4</v>
      </c>
      <c r="DU12">
        <v>166889.29999999999</v>
      </c>
      <c r="DV12">
        <v>5563</v>
      </c>
      <c r="DX12">
        <v>44336</v>
      </c>
      <c r="DY12">
        <v>1193.9000000000001</v>
      </c>
      <c r="EA12">
        <v>24886.400000000001</v>
      </c>
      <c r="EB12">
        <v>968.2</v>
      </c>
      <c r="ED12">
        <v>21210.6</v>
      </c>
      <c r="EE12">
        <v>822.9</v>
      </c>
      <c r="EG12">
        <v>13794.4</v>
      </c>
      <c r="EH12">
        <v>129.9</v>
      </c>
      <c r="EJ12">
        <v>242868</v>
      </c>
      <c r="EK12">
        <v>4962.5</v>
      </c>
      <c r="EM12">
        <v>293.10000000000002</v>
      </c>
      <c r="EN12">
        <v>27.8</v>
      </c>
      <c r="EP12">
        <v>133036.5</v>
      </c>
      <c r="EQ12">
        <v>3609.5</v>
      </c>
      <c r="ES12">
        <v>918585.6</v>
      </c>
      <c r="ET12">
        <v>8719.6</v>
      </c>
      <c r="EV12">
        <v>7.8</v>
      </c>
      <c r="EW12">
        <v>2.5</v>
      </c>
      <c r="EY12">
        <v>3786.7</v>
      </c>
      <c r="EZ12">
        <v>20.5</v>
      </c>
      <c r="FB12">
        <v>94.5</v>
      </c>
      <c r="FC12">
        <v>21.2</v>
      </c>
      <c r="FE12">
        <v>1148.5999999999999</v>
      </c>
      <c r="FF12">
        <v>155.5</v>
      </c>
      <c r="FH12">
        <v>39.4</v>
      </c>
      <c r="FI12">
        <v>12.9</v>
      </c>
      <c r="FK12">
        <v>68268.3</v>
      </c>
      <c r="FL12">
        <v>896.1</v>
      </c>
      <c r="FN12">
        <v>69.599999999999994</v>
      </c>
      <c r="FO12">
        <v>9.3000000000000007</v>
      </c>
      <c r="FQ12">
        <v>34272.400000000001</v>
      </c>
      <c r="FR12">
        <v>1226.4000000000001</v>
      </c>
    </row>
    <row r="13" spans="1:175">
      <c r="A13" t="s">
        <v>79</v>
      </c>
      <c r="B13">
        <v>2616912</v>
      </c>
      <c r="C13">
        <v>73591.7</v>
      </c>
      <c r="E13">
        <v>658801.80000000005</v>
      </c>
      <c r="F13">
        <v>19967.3</v>
      </c>
      <c r="H13">
        <v>11082143.9</v>
      </c>
      <c r="I13">
        <v>223047.5</v>
      </c>
      <c r="K13">
        <v>345315914.30000001</v>
      </c>
      <c r="L13">
        <v>9249421.0999999996</v>
      </c>
      <c r="N13">
        <v>42843.199999999997</v>
      </c>
      <c r="O13">
        <v>975.9</v>
      </c>
      <c r="Q13">
        <v>17166967.800000001</v>
      </c>
      <c r="R13">
        <v>113702.1</v>
      </c>
      <c r="T13">
        <v>28668.1</v>
      </c>
      <c r="U13">
        <v>134.80000000000001</v>
      </c>
      <c r="W13">
        <v>45102.2</v>
      </c>
      <c r="X13">
        <v>786.2</v>
      </c>
      <c r="Z13">
        <v>75197.8</v>
      </c>
      <c r="AA13">
        <v>1029.0999999999999</v>
      </c>
      <c r="AC13">
        <v>603037.69999999995</v>
      </c>
      <c r="AD13">
        <v>5562.7</v>
      </c>
      <c r="AF13" s="24">
        <v>2418308</v>
      </c>
      <c r="AG13">
        <v>31286.7</v>
      </c>
      <c r="AI13" s="25">
        <v>18825.099999999999</v>
      </c>
      <c r="AJ13">
        <v>302.3</v>
      </c>
      <c r="AL13">
        <v>14322812.6</v>
      </c>
      <c r="AM13">
        <v>224979.1</v>
      </c>
      <c r="AO13">
        <v>8693.6</v>
      </c>
      <c r="AP13">
        <v>480.1</v>
      </c>
      <c r="AR13">
        <v>83931881.599999994</v>
      </c>
      <c r="AS13">
        <v>1884228.4</v>
      </c>
      <c r="AU13">
        <v>27294.1</v>
      </c>
      <c r="AV13">
        <v>693.4</v>
      </c>
      <c r="AX13">
        <v>17112.3</v>
      </c>
      <c r="AY13">
        <v>565.1</v>
      </c>
      <c r="BA13">
        <v>3576.4</v>
      </c>
      <c r="BB13">
        <v>92.8</v>
      </c>
      <c r="BD13">
        <v>883.8</v>
      </c>
      <c r="BE13">
        <v>63.2</v>
      </c>
      <c r="BG13">
        <v>2341.5</v>
      </c>
      <c r="BH13">
        <v>169.7</v>
      </c>
      <c r="BJ13">
        <v>926.5</v>
      </c>
      <c r="BK13">
        <v>99.4</v>
      </c>
      <c r="BM13">
        <v>524.1</v>
      </c>
      <c r="BN13">
        <v>56.8</v>
      </c>
      <c r="BP13">
        <v>15390.2</v>
      </c>
      <c r="BQ13">
        <v>461.4</v>
      </c>
      <c r="BS13">
        <v>1403736.5</v>
      </c>
      <c r="BT13">
        <v>20774.900000000001</v>
      </c>
      <c r="BV13">
        <v>1188.3</v>
      </c>
      <c r="BW13">
        <v>32.9</v>
      </c>
      <c r="BY13">
        <v>7065989.5</v>
      </c>
      <c r="BZ13">
        <v>146157</v>
      </c>
      <c r="CB13">
        <v>6317553.7999999998</v>
      </c>
      <c r="CC13">
        <v>74988.899999999994</v>
      </c>
      <c r="CE13">
        <v>5475625.5</v>
      </c>
      <c r="CF13">
        <v>49872.800000000003</v>
      </c>
      <c r="CH13">
        <v>13155655.4</v>
      </c>
      <c r="CI13">
        <v>66403.5</v>
      </c>
      <c r="CK13">
        <v>13851181.699999999</v>
      </c>
      <c r="CL13">
        <v>149930</v>
      </c>
      <c r="CN13">
        <v>950958647.70000005</v>
      </c>
      <c r="CO13">
        <v>27837689.699999999</v>
      </c>
      <c r="CQ13">
        <v>242316357.90000001</v>
      </c>
      <c r="CR13">
        <v>11884000.300000001</v>
      </c>
      <c r="CT13">
        <v>6922234.7000000002</v>
      </c>
      <c r="CU13">
        <v>220936</v>
      </c>
      <c r="CW13">
        <v>1206835</v>
      </c>
      <c r="CX13">
        <v>3013.2</v>
      </c>
      <c r="CZ13">
        <v>6287.4</v>
      </c>
      <c r="DA13">
        <v>30.1</v>
      </c>
      <c r="DC13">
        <v>83499</v>
      </c>
      <c r="DD13">
        <v>1037.0999999999999</v>
      </c>
      <c r="DF13">
        <v>60029674.700000003</v>
      </c>
      <c r="DG13">
        <v>1687375.9</v>
      </c>
      <c r="DI13">
        <v>326.89999999999998</v>
      </c>
      <c r="DJ13">
        <v>68.5</v>
      </c>
      <c r="DL13">
        <v>2527619</v>
      </c>
      <c r="DM13">
        <v>94632.7</v>
      </c>
      <c r="DO13">
        <v>1086423.7</v>
      </c>
      <c r="DP13">
        <v>62038.3</v>
      </c>
      <c r="DR13">
        <v>3148943.4</v>
      </c>
      <c r="DS13">
        <v>161207.6</v>
      </c>
      <c r="DU13">
        <v>7123595.7999999998</v>
      </c>
      <c r="DV13">
        <v>309515.3</v>
      </c>
      <c r="DX13">
        <v>2024588.1</v>
      </c>
      <c r="DY13">
        <v>75933.100000000006</v>
      </c>
      <c r="EA13">
        <v>1061026.3999999999</v>
      </c>
      <c r="EB13">
        <v>28758.3</v>
      </c>
      <c r="ED13">
        <v>839939.1</v>
      </c>
      <c r="EE13">
        <v>11104.8</v>
      </c>
      <c r="EG13">
        <v>561325.30000000005</v>
      </c>
      <c r="EH13">
        <v>1111.2</v>
      </c>
      <c r="EJ13">
        <v>221103.5</v>
      </c>
      <c r="EK13">
        <v>2841.3</v>
      </c>
      <c r="EM13">
        <v>2138.8000000000002</v>
      </c>
      <c r="EN13">
        <v>145.19999999999999</v>
      </c>
      <c r="EP13">
        <v>124958.1</v>
      </c>
      <c r="EQ13">
        <v>4508.8</v>
      </c>
      <c r="ES13">
        <v>42619155.600000001</v>
      </c>
      <c r="ET13">
        <v>1030612.7</v>
      </c>
      <c r="EV13">
        <v>14.4</v>
      </c>
      <c r="EW13">
        <v>1</v>
      </c>
      <c r="EY13">
        <v>107803.1</v>
      </c>
      <c r="EZ13">
        <v>2024.8</v>
      </c>
      <c r="FB13">
        <v>2018.9</v>
      </c>
      <c r="FC13">
        <v>40.1</v>
      </c>
      <c r="FE13">
        <v>7055.5</v>
      </c>
      <c r="FF13">
        <v>247.6</v>
      </c>
      <c r="FH13">
        <v>51.1</v>
      </c>
      <c r="FI13">
        <v>6.3</v>
      </c>
      <c r="FK13">
        <v>63300.9</v>
      </c>
      <c r="FL13">
        <v>1749.4</v>
      </c>
      <c r="FN13">
        <v>566.70000000000005</v>
      </c>
      <c r="FO13">
        <v>16</v>
      </c>
      <c r="FQ13">
        <v>36280</v>
      </c>
      <c r="FR13">
        <v>961.3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/>
  <dimension ref="A1:FW4"/>
  <sheetViews>
    <sheetView workbookViewId="0">
      <pane xSplit="1" ySplit="1" topLeftCell="CT2" activePane="bottomRight" state="frozen"/>
      <selection activeCell="L25" sqref="L25"/>
      <selection pane="topRight" activeCell="L25" sqref="L25"/>
      <selection pane="bottomLeft" activeCell="L25" sqref="L25"/>
      <selection pane="bottomRight"/>
    </sheetView>
  </sheetViews>
  <sheetFormatPr defaultColWidth="9.140625" defaultRowHeight="12.75"/>
  <cols>
    <col min="1" max="1" width="17.7109375" style="16" customWidth="1"/>
    <col min="2" max="16384" width="9.140625" style="16"/>
  </cols>
  <sheetData>
    <row r="1" spans="1:179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204</v>
      </c>
      <c r="BF1" t="s">
        <v>205</v>
      </c>
      <c r="BG1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214</v>
      </c>
      <c r="BP1" t="s">
        <v>215</v>
      </c>
      <c r="BQ1" t="s">
        <v>216</v>
      </c>
      <c r="BR1" t="s">
        <v>217</v>
      </c>
      <c r="BS1" t="s">
        <v>218</v>
      </c>
      <c r="BT1" t="s">
        <v>219</v>
      </c>
      <c r="BU1" t="s">
        <v>220</v>
      </c>
      <c r="BV1" t="s">
        <v>221</v>
      </c>
      <c r="BW1" t="s">
        <v>222</v>
      </c>
      <c r="BX1" t="s">
        <v>223</v>
      </c>
      <c r="BY1" t="s">
        <v>224</v>
      </c>
      <c r="BZ1" t="s">
        <v>225</v>
      </c>
      <c r="CA1" t="s">
        <v>226</v>
      </c>
      <c r="CB1" t="s">
        <v>227</v>
      </c>
      <c r="CC1" t="s">
        <v>228</v>
      </c>
      <c r="CD1" t="s">
        <v>229</v>
      </c>
      <c r="CE1" t="s">
        <v>230</v>
      </c>
      <c r="CF1" t="s">
        <v>231</v>
      </c>
      <c r="CG1" t="s">
        <v>232</v>
      </c>
      <c r="CH1" t="s">
        <v>233</v>
      </c>
      <c r="CI1" t="s">
        <v>234</v>
      </c>
      <c r="CJ1" t="s">
        <v>235</v>
      </c>
      <c r="CK1" t="s">
        <v>236</v>
      </c>
      <c r="CL1" t="s">
        <v>237</v>
      </c>
      <c r="CM1" t="s">
        <v>238</v>
      </c>
      <c r="CN1" t="s">
        <v>239</v>
      </c>
      <c r="CO1" t="s">
        <v>240</v>
      </c>
      <c r="CP1" t="s">
        <v>241</v>
      </c>
      <c r="CQ1" t="s">
        <v>242</v>
      </c>
      <c r="CR1" t="s">
        <v>243</v>
      </c>
      <c r="CS1" t="s">
        <v>244</v>
      </c>
      <c r="CT1" t="s">
        <v>245</v>
      </c>
      <c r="CU1" t="s">
        <v>246</v>
      </c>
      <c r="CV1" t="s">
        <v>247</v>
      </c>
      <c r="CW1" t="s">
        <v>248</v>
      </c>
      <c r="CX1" t="s">
        <v>249</v>
      </c>
      <c r="CY1" t="s">
        <v>250</v>
      </c>
      <c r="CZ1" t="s">
        <v>251</v>
      </c>
      <c r="DA1" t="s">
        <v>252</v>
      </c>
      <c r="DB1" t="s">
        <v>253</v>
      </c>
      <c r="DC1" t="s">
        <v>254</v>
      </c>
      <c r="DD1" t="s">
        <v>255</v>
      </c>
      <c r="DE1" t="s">
        <v>256</v>
      </c>
      <c r="DF1" t="s">
        <v>257</v>
      </c>
      <c r="DG1" t="s">
        <v>258</v>
      </c>
      <c r="DH1" t="s">
        <v>259</v>
      </c>
      <c r="DI1" t="s">
        <v>260</v>
      </c>
      <c r="DJ1" t="s">
        <v>261</v>
      </c>
      <c r="DK1" t="s">
        <v>262</v>
      </c>
      <c r="DL1" t="s">
        <v>263</v>
      </c>
      <c r="DM1" t="s">
        <v>264</v>
      </c>
      <c r="DN1" t="s">
        <v>265</v>
      </c>
      <c r="DO1" t="s">
        <v>266</v>
      </c>
      <c r="DP1" t="s">
        <v>267</v>
      </c>
      <c r="DQ1" t="s">
        <v>268</v>
      </c>
      <c r="DR1" t="s">
        <v>269</v>
      </c>
      <c r="DS1" t="s">
        <v>270</v>
      </c>
      <c r="DT1" t="s">
        <v>271</v>
      </c>
      <c r="DU1" t="s">
        <v>272</v>
      </c>
      <c r="DV1" t="s">
        <v>273</v>
      </c>
      <c r="DW1" t="s">
        <v>274</v>
      </c>
      <c r="DX1" t="s">
        <v>275</v>
      </c>
      <c r="DY1" t="s">
        <v>276</v>
      </c>
      <c r="DZ1" t="s">
        <v>277</v>
      </c>
      <c r="EA1" t="s">
        <v>278</v>
      </c>
      <c r="EB1" t="s">
        <v>279</v>
      </c>
      <c r="EC1" t="s">
        <v>280</v>
      </c>
      <c r="ED1" t="s">
        <v>281</v>
      </c>
      <c r="EE1" t="s">
        <v>282</v>
      </c>
      <c r="EF1" t="s">
        <v>283</v>
      </c>
      <c r="EG1" t="s">
        <v>284</v>
      </c>
      <c r="EH1" t="s">
        <v>285</v>
      </c>
      <c r="EI1" t="s">
        <v>286</v>
      </c>
      <c r="EJ1" t="s">
        <v>287</v>
      </c>
      <c r="EK1" t="s">
        <v>288</v>
      </c>
      <c r="EL1" t="s">
        <v>289</v>
      </c>
      <c r="EM1" t="s">
        <v>290</v>
      </c>
      <c r="EN1" t="s">
        <v>291</v>
      </c>
      <c r="EO1" t="s">
        <v>292</v>
      </c>
      <c r="EP1" t="s">
        <v>293</v>
      </c>
      <c r="EQ1" t="s">
        <v>294</v>
      </c>
      <c r="ER1" t="s">
        <v>295</v>
      </c>
      <c r="ES1" t="s">
        <v>296</v>
      </c>
      <c r="ET1" t="s">
        <v>297</v>
      </c>
      <c r="EU1" t="s">
        <v>298</v>
      </c>
      <c r="EV1" t="s">
        <v>299</v>
      </c>
      <c r="EW1" t="s">
        <v>300</v>
      </c>
      <c r="EX1" t="s">
        <v>301</v>
      </c>
      <c r="EY1" t="s">
        <v>302</v>
      </c>
      <c r="EZ1" t="s">
        <v>303</v>
      </c>
      <c r="FA1" t="s">
        <v>304</v>
      </c>
      <c r="FB1" t="s">
        <v>305</v>
      </c>
      <c r="FC1" t="s">
        <v>306</v>
      </c>
      <c r="FD1" t="s">
        <v>307</v>
      </c>
      <c r="FE1" t="s">
        <v>308</v>
      </c>
      <c r="FF1" t="s">
        <v>309</v>
      </c>
      <c r="FG1" t="s">
        <v>310</v>
      </c>
      <c r="FH1" t="s">
        <v>311</v>
      </c>
      <c r="FI1" t="s">
        <v>312</v>
      </c>
      <c r="FJ1" t="s">
        <v>313</v>
      </c>
      <c r="FK1" t="s">
        <v>314</v>
      </c>
      <c r="FL1" t="s">
        <v>315</v>
      </c>
      <c r="FM1" t="s">
        <v>316</v>
      </c>
      <c r="FN1" t="s">
        <v>317</v>
      </c>
      <c r="FO1" t="s">
        <v>318</v>
      </c>
      <c r="FP1" t="s">
        <v>319</v>
      </c>
      <c r="FQ1" t="s">
        <v>320</v>
      </c>
      <c r="FR1" t="s">
        <v>321</v>
      </c>
      <c r="FS1" t="s">
        <v>322</v>
      </c>
      <c r="FT1" t="s">
        <v>323</v>
      </c>
      <c r="FU1" t="s">
        <v>324</v>
      </c>
      <c r="FV1" t="s">
        <v>325</v>
      </c>
      <c r="FW1" t="s">
        <v>326</v>
      </c>
    </row>
    <row r="2" spans="1:179">
      <c r="A2" t="s">
        <v>77</v>
      </c>
      <c r="B2">
        <v>1.2269600000000001</v>
      </c>
      <c r="C2">
        <v>5.9800000000000001E-3</v>
      </c>
      <c r="D2" t="s">
        <v>330</v>
      </c>
      <c r="E2">
        <v>1.2372399999999999</v>
      </c>
      <c r="F2">
        <v>1.3100000000000001E-2</v>
      </c>
      <c r="G2" t="s">
        <v>330</v>
      </c>
      <c r="H2">
        <v>1.21679</v>
      </c>
      <c r="I2">
        <v>1.0030000000000001E-2</v>
      </c>
      <c r="J2" t="s">
        <v>330</v>
      </c>
      <c r="K2">
        <v>1.2096899999999999</v>
      </c>
      <c r="L2">
        <v>2.615E-2</v>
      </c>
      <c r="M2" t="s">
        <v>330</v>
      </c>
      <c r="N2">
        <v>1.19865</v>
      </c>
      <c r="O2">
        <v>3.2000000000000001E-2</v>
      </c>
      <c r="P2" t="s">
        <v>330</v>
      </c>
      <c r="Q2">
        <v>1.2050000000000001</v>
      </c>
      <c r="R2">
        <v>1.298E-2</v>
      </c>
      <c r="S2" t="s">
        <v>330</v>
      </c>
      <c r="T2">
        <v>1.21435</v>
      </c>
      <c r="U2">
        <v>1.8120000000000001E-2</v>
      </c>
      <c r="V2" t="s">
        <v>330</v>
      </c>
      <c r="W2">
        <v>1.1958899999999999</v>
      </c>
      <c r="X2">
        <v>9.6699999999999998E-3</v>
      </c>
      <c r="Y2" t="s">
        <v>330</v>
      </c>
      <c r="Z2">
        <v>1.23872</v>
      </c>
      <c r="AA2">
        <v>1.3809999999999999E-2</v>
      </c>
      <c r="AB2" t="s">
        <v>330</v>
      </c>
      <c r="AC2">
        <v>1.21468</v>
      </c>
      <c r="AD2">
        <v>1.49E-2</v>
      </c>
      <c r="AE2" t="s">
        <v>330</v>
      </c>
      <c r="AF2"/>
      <c r="AG2"/>
      <c r="AH2" t="s">
        <v>328</v>
      </c>
      <c r="AI2">
        <v>1.21011</v>
      </c>
      <c r="AJ2">
        <v>2.3019999999999999E-2</v>
      </c>
      <c r="AK2" t="s">
        <v>330</v>
      </c>
      <c r="AL2">
        <v>1.20608</v>
      </c>
      <c r="AM2">
        <v>3.6679999999999997E-2</v>
      </c>
      <c r="AN2" t="s">
        <v>330</v>
      </c>
      <c r="AO2">
        <v>1.2493399999999999</v>
      </c>
      <c r="AP2">
        <v>5.4799999999999996E-3</v>
      </c>
      <c r="AQ2" t="s">
        <v>330</v>
      </c>
      <c r="AR2">
        <v>4.4636500000000003</v>
      </c>
      <c r="AS2">
        <v>6.5329999999999999E-2</v>
      </c>
      <c r="AT2" t="s">
        <v>330</v>
      </c>
      <c r="AU2">
        <v>1.2413700000000001</v>
      </c>
      <c r="AV2">
        <v>1.0749999999999999E-2</v>
      </c>
      <c r="AW2" t="s">
        <v>330</v>
      </c>
      <c r="AX2">
        <v>1.24705</v>
      </c>
      <c r="AY2">
        <v>1.7069999999999998E-2</v>
      </c>
      <c r="AZ2" t="s">
        <v>330</v>
      </c>
      <c r="BA2">
        <v>1.2326699999999999</v>
      </c>
      <c r="BB2">
        <v>2.1999999999999999E-2</v>
      </c>
      <c r="BC2" t="s">
        <v>330</v>
      </c>
      <c r="BD2">
        <v>1.22936</v>
      </c>
      <c r="BE2">
        <v>3.1780000000000003E-2</v>
      </c>
      <c r="BF2" t="s">
        <v>330</v>
      </c>
      <c r="BG2">
        <v>1.2206399999999999</v>
      </c>
      <c r="BH2">
        <v>3.2910000000000002E-2</v>
      </c>
      <c r="BI2" t="s">
        <v>330</v>
      </c>
      <c r="BJ2">
        <v>1.2690999999999999</v>
      </c>
      <c r="BK2">
        <v>6.4219999999999999E-2</v>
      </c>
      <c r="BL2" t="s">
        <v>330</v>
      </c>
      <c r="BM2">
        <v>1.1968700000000001</v>
      </c>
      <c r="BN2">
        <v>5.3499999999999999E-2</v>
      </c>
      <c r="BO2" t="s">
        <v>330</v>
      </c>
      <c r="BP2">
        <v>1.21052</v>
      </c>
      <c r="BQ2">
        <v>4.9579999999999999E-2</v>
      </c>
      <c r="BR2" t="s">
        <v>330</v>
      </c>
      <c r="BS2"/>
      <c r="BT2"/>
      <c r="BU2" t="s">
        <v>328</v>
      </c>
      <c r="BV2">
        <v>0.97230000000000005</v>
      </c>
      <c r="BW2">
        <v>4.0039999999999999E-2</v>
      </c>
      <c r="BX2" t="s">
        <v>330</v>
      </c>
      <c r="BY2">
        <v>1.2794399999999999</v>
      </c>
      <c r="BZ2">
        <v>1.1429999999999999E-2</v>
      </c>
      <c r="CA2" t="s">
        <v>330</v>
      </c>
      <c r="CB2">
        <v>1.20435</v>
      </c>
      <c r="CC2">
        <v>1.661E-2</v>
      </c>
      <c r="CD2" t="s">
        <v>330</v>
      </c>
      <c r="CE2">
        <v>1.2125999999999999</v>
      </c>
      <c r="CF2">
        <v>2.4199999999999998E-3</v>
      </c>
      <c r="CG2" t="s">
        <v>330</v>
      </c>
      <c r="CH2">
        <v>1.2493000000000001</v>
      </c>
      <c r="CI2">
        <v>1.6840000000000001E-2</v>
      </c>
      <c r="CJ2" t="s">
        <v>330</v>
      </c>
      <c r="CK2">
        <v>1.3043199999999999</v>
      </c>
      <c r="CL2">
        <v>3.0040000000000001E-2</v>
      </c>
      <c r="CM2" t="s">
        <v>330</v>
      </c>
      <c r="CN2">
        <v>8.4800900000000006</v>
      </c>
      <c r="CO2">
        <v>0.32790000000000002</v>
      </c>
      <c r="CP2" t="s">
        <v>330</v>
      </c>
      <c r="CQ2">
        <v>8.3412199999999999</v>
      </c>
      <c r="CR2">
        <v>0.34664</v>
      </c>
      <c r="CS2" t="s">
        <v>330</v>
      </c>
      <c r="CT2">
        <v>4.2327399999999997</v>
      </c>
      <c r="CU2">
        <v>0.18326999999999999</v>
      </c>
      <c r="CV2" t="s">
        <v>330</v>
      </c>
      <c r="CW2">
        <v>10.187379999999999</v>
      </c>
      <c r="CX2">
        <v>0.90600999999999998</v>
      </c>
      <c r="CY2" t="s">
        <v>330</v>
      </c>
      <c r="CZ2">
        <v>1.1735599999999999</v>
      </c>
      <c r="DA2">
        <v>0.13149</v>
      </c>
      <c r="DB2" t="s">
        <v>330</v>
      </c>
      <c r="DC2">
        <v>23.70026</v>
      </c>
      <c r="DD2">
        <v>1.1997899999999999</v>
      </c>
      <c r="DE2" t="s">
        <v>330</v>
      </c>
      <c r="DF2">
        <v>8.6881699999999995</v>
      </c>
      <c r="DG2">
        <v>0.46481</v>
      </c>
      <c r="DH2" t="s">
        <v>330</v>
      </c>
      <c r="DI2">
        <v>1.2555000000000001</v>
      </c>
      <c r="DJ2">
        <v>7.3230000000000003E-2</v>
      </c>
      <c r="DK2" t="s">
        <v>330</v>
      </c>
      <c r="DL2">
        <v>1.22681</v>
      </c>
      <c r="DM2">
        <v>4.7539999999999999E-2</v>
      </c>
      <c r="DN2" t="s">
        <v>330</v>
      </c>
      <c r="DO2">
        <v>1.25057</v>
      </c>
      <c r="DP2">
        <v>3.977E-2</v>
      </c>
      <c r="DQ2" t="s">
        <v>330</v>
      </c>
      <c r="DR2">
        <v>1.2220599999999999</v>
      </c>
      <c r="DS2">
        <v>4.8410000000000002E-2</v>
      </c>
      <c r="DT2" t="s">
        <v>330</v>
      </c>
      <c r="DU2">
        <v>4.3409000000000004</v>
      </c>
      <c r="DV2">
        <v>0.1956</v>
      </c>
      <c r="DW2" t="s">
        <v>330</v>
      </c>
      <c r="DX2">
        <v>1.21295</v>
      </c>
      <c r="DY2">
        <v>5.6860000000000001E-2</v>
      </c>
      <c r="DZ2" t="s">
        <v>330</v>
      </c>
      <c r="EA2">
        <v>1.21193</v>
      </c>
      <c r="EB2">
        <v>4.8989999999999999E-2</v>
      </c>
      <c r="EC2" t="s">
        <v>330</v>
      </c>
      <c r="ED2">
        <v>1.2008399999999999</v>
      </c>
      <c r="EE2">
        <v>4.5089999999999998E-2</v>
      </c>
      <c r="EF2" t="s">
        <v>330</v>
      </c>
      <c r="EG2">
        <v>4.3966200000000004</v>
      </c>
      <c r="EH2">
        <v>0.15952</v>
      </c>
      <c r="EI2" t="s">
        <v>330</v>
      </c>
      <c r="EJ2"/>
      <c r="EK2"/>
      <c r="EL2" t="s">
        <v>328</v>
      </c>
      <c r="EM2">
        <v>1.2184600000000001</v>
      </c>
      <c r="EN2">
        <v>7.7929999999999999E-2</v>
      </c>
      <c r="EO2" t="s">
        <v>330</v>
      </c>
      <c r="EP2"/>
      <c r="EQ2"/>
      <c r="ER2" t="s">
        <v>328</v>
      </c>
      <c r="ES2">
        <v>9.01112</v>
      </c>
      <c r="ET2">
        <v>0.32408999999999999</v>
      </c>
      <c r="EU2" t="s">
        <v>330</v>
      </c>
      <c r="EV2">
        <v>1.2903199999999999</v>
      </c>
      <c r="EW2">
        <v>6.6549999999999998E-2</v>
      </c>
      <c r="EX2" t="s">
        <v>330</v>
      </c>
      <c r="EY2">
        <v>1.22004</v>
      </c>
      <c r="EZ2">
        <v>5.4940000000000003E-2</v>
      </c>
      <c r="FA2" t="s">
        <v>330</v>
      </c>
      <c r="FB2">
        <v>1.30891</v>
      </c>
      <c r="FC2">
        <v>6.4740000000000006E-2</v>
      </c>
      <c r="FD2" t="s">
        <v>330</v>
      </c>
      <c r="FE2">
        <v>0.94520000000000004</v>
      </c>
      <c r="FF2">
        <v>5.9290000000000002E-2</v>
      </c>
      <c r="FG2" t="s">
        <v>330</v>
      </c>
      <c r="FH2"/>
      <c r="FI2"/>
      <c r="FJ2" t="s">
        <v>328</v>
      </c>
      <c r="FK2"/>
      <c r="FL2"/>
      <c r="FM2" t="s">
        <v>328</v>
      </c>
      <c r="FN2">
        <v>1.2426600000000001</v>
      </c>
      <c r="FO2">
        <v>9.9830000000000002E-2</v>
      </c>
      <c r="FP2" t="s">
        <v>330</v>
      </c>
      <c r="FQ2"/>
      <c r="FR2"/>
      <c r="FS2" t="s">
        <v>328</v>
      </c>
      <c r="FT2">
        <v>1</v>
      </c>
      <c r="FU2"/>
      <c r="FV2"/>
      <c r="FW2">
        <v>10</v>
      </c>
    </row>
    <row r="3" spans="1:179">
      <c r="A3" t="s">
        <v>78</v>
      </c>
      <c r="B3">
        <v>0.38270999999999999</v>
      </c>
      <c r="C3">
        <v>1.41E-2</v>
      </c>
      <c r="D3" s="26" t="s">
        <v>331</v>
      </c>
      <c r="E3">
        <v>0.33105000000000001</v>
      </c>
      <c r="F3">
        <v>9.0900000000000009E-3</v>
      </c>
      <c r="G3" s="26" t="s">
        <v>331</v>
      </c>
      <c r="H3">
        <v>0.27592</v>
      </c>
      <c r="I3">
        <v>1.0840000000000001E-2</v>
      </c>
      <c r="J3" s="26" t="s">
        <v>331</v>
      </c>
      <c r="K3">
        <v>6.3753900000000003</v>
      </c>
      <c r="L3">
        <v>0.32235999999999998</v>
      </c>
      <c r="M3" s="26" t="s">
        <v>331</v>
      </c>
      <c r="N3">
        <v>9.3100000000000006E-3</v>
      </c>
      <c r="O3">
        <v>2.0000000000000002E-5</v>
      </c>
      <c r="P3" t="s">
        <v>332</v>
      </c>
      <c r="Q3">
        <v>2.1797800000000001</v>
      </c>
      <c r="R3">
        <v>0.14466000000000001</v>
      </c>
      <c r="S3" s="26" t="s">
        <v>331</v>
      </c>
      <c r="T3">
        <v>2.2300000000000002E-3</v>
      </c>
      <c r="U3">
        <v>3.5E-4</v>
      </c>
      <c r="V3" t="s">
        <v>332</v>
      </c>
      <c r="W3">
        <v>1.8550000000000001E-2</v>
      </c>
      <c r="X3">
        <v>2.5999999999999998E-4</v>
      </c>
      <c r="Y3" t="s">
        <v>332</v>
      </c>
      <c r="Z3">
        <v>1.3950000000000001E-2</v>
      </c>
      <c r="AA3">
        <v>1.1900000000000001E-3</v>
      </c>
      <c r="AB3" s="26" t="s">
        <v>331</v>
      </c>
      <c r="AC3">
        <v>0.15309</v>
      </c>
      <c r="AD3">
        <v>8.5900000000000004E-3</v>
      </c>
      <c r="AE3" s="26" t="s">
        <v>331</v>
      </c>
      <c r="AF3"/>
      <c r="AG3"/>
      <c r="AH3" t="s">
        <v>328</v>
      </c>
      <c r="AI3">
        <v>-1.3480000000000001E-2</v>
      </c>
      <c r="AJ3">
        <v>2.9999999999999997E-4</v>
      </c>
      <c r="AK3" t="s">
        <v>333</v>
      </c>
      <c r="AL3">
        <v>1.05897</v>
      </c>
      <c r="AM3">
        <v>5.1950000000000003E-2</v>
      </c>
      <c r="AN3" s="26" t="s">
        <v>331</v>
      </c>
      <c r="AO3">
        <v>1.6990000000000002E-2</v>
      </c>
      <c r="AP3">
        <v>2.5999999999999998E-4</v>
      </c>
      <c r="AQ3" t="s">
        <v>332</v>
      </c>
      <c r="AR3">
        <v>10.470840000000001</v>
      </c>
      <c r="AS3">
        <v>0.43680999999999998</v>
      </c>
      <c r="AT3" s="26" t="s">
        <v>331</v>
      </c>
      <c r="AU3">
        <v>2.4590000000000001E-2</v>
      </c>
      <c r="AV3">
        <v>3.0000000000000001E-5</v>
      </c>
      <c r="AW3" t="s">
        <v>332</v>
      </c>
      <c r="AX3">
        <v>2.375E-2</v>
      </c>
      <c r="AY3">
        <v>9.0000000000000006E-5</v>
      </c>
      <c r="AZ3" t="s">
        <v>332</v>
      </c>
      <c r="BA3">
        <v>2.3890000000000002E-2</v>
      </c>
      <c r="BB3">
        <v>2.1000000000000001E-4</v>
      </c>
      <c r="BC3" t="s">
        <v>332</v>
      </c>
      <c r="BD3">
        <v>2.794E-2</v>
      </c>
      <c r="BE3">
        <v>5.0000000000000002E-5</v>
      </c>
      <c r="BF3" t="s">
        <v>332</v>
      </c>
      <c r="BG3">
        <v>2.827E-2</v>
      </c>
      <c r="BH3">
        <v>1.7000000000000001E-4</v>
      </c>
      <c r="BI3" t="s">
        <v>332</v>
      </c>
      <c r="BJ3">
        <v>3.0599999999999998E-3</v>
      </c>
      <c r="BK3">
        <v>5.0000000000000002E-5</v>
      </c>
      <c r="BL3" t="s">
        <v>332</v>
      </c>
      <c r="BM3">
        <v>3.8879999999999998E-2</v>
      </c>
      <c r="BN3">
        <v>2.5000000000000001E-4</v>
      </c>
      <c r="BO3" t="s">
        <v>332</v>
      </c>
      <c r="BP3">
        <v>-2.3230000000000001E-2</v>
      </c>
      <c r="BQ3">
        <v>8.4000000000000003E-4</v>
      </c>
      <c r="BR3" t="s">
        <v>333</v>
      </c>
      <c r="BS3"/>
      <c r="BT3"/>
      <c r="BU3" t="s">
        <v>328</v>
      </c>
      <c r="BV3">
        <v>-0.6361</v>
      </c>
      <c r="BW3">
        <v>5.024E-2</v>
      </c>
      <c r="BX3" t="s">
        <v>333</v>
      </c>
      <c r="BY3">
        <v>8.8200000000000001E-2</v>
      </c>
      <c r="BZ3">
        <v>6.43E-3</v>
      </c>
      <c r="CA3" s="26" t="s">
        <v>331</v>
      </c>
      <c r="CB3">
        <v>0.30879000000000001</v>
      </c>
      <c r="CC3">
        <v>2.564E-2</v>
      </c>
      <c r="CD3" s="26" t="s">
        <v>331</v>
      </c>
      <c r="CE3">
        <v>0.31680000000000003</v>
      </c>
      <c r="CF3">
        <v>1.788E-2</v>
      </c>
      <c r="CG3" s="26" t="s">
        <v>331</v>
      </c>
      <c r="CH3">
        <v>0.32516</v>
      </c>
      <c r="CI3">
        <v>2.1839999999999998E-2</v>
      </c>
      <c r="CJ3" s="26" t="s">
        <v>331</v>
      </c>
      <c r="CK3">
        <v>0.21654999999999999</v>
      </c>
      <c r="CL3">
        <v>1.274E-2</v>
      </c>
      <c r="CM3" t="s">
        <v>332</v>
      </c>
      <c r="CN3">
        <v>366.88718999999998</v>
      </c>
      <c r="CO3">
        <v>7.3193200000000003</v>
      </c>
      <c r="CP3" s="26" t="s">
        <v>331</v>
      </c>
      <c r="CQ3">
        <v>139.39391000000001</v>
      </c>
      <c r="CR3">
        <v>5.8228400000000002</v>
      </c>
      <c r="CS3" s="26" t="s">
        <v>331</v>
      </c>
      <c r="CT3">
        <v>2.75549</v>
      </c>
      <c r="CU3">
        <v>0.13148000000000001</v>
      </c>
      <c r="CV3" s="26" t="s">
        <v>331</v>
      </c>
      <c r="CW3">
        <v>4.5298400000000001</v>
      </c>
      <c r="CX3">
        <v>0.46155000000000002</v>
      </c>
      <c r="CY3" s="26" t="s">
        <v>331</v>
      </c>
      <c r="CZ3">
        <v>3.6740000000000002E-2</v>
      </c>
      <c r="DA3">
        <v>1.1050000000000001E-2</v>
      </c>
      <c r="DB3" t="s">
        <v>333</v>
      </c>
      <c r="DC3">
        <v>1.1175299999999999</v>
      </c>
      <c r="DD3">
        <v>0.17949999999999999</v>
      </c>
      <c r="DE3" t="s">
        <v>333</v>
      </c>
      <c r="DF3">
        <v>587.90066999999999</v>
      </c>
      <c r="DG3">
        <v>17.71001</v>
      </c>
      <c r="DH3" s="26" t="s">
        <v>331</v>
      </c>
      <c r="DI3">
        <v>2.8709999999999999E-2</v>
      </c>
      <c r="DJ3">
        <v>1.5299999999999999E-3</v>
      </c>
      <c r="DK3" t="s">
        <v>332</v>
      </c>
      <c r="DL3">
        <v>0.75905999999999996</v>
      </c>
      <c r="DM3">
        <v>3.0419999999999999E-2</v>
      </c>
      <c r="DN3" s="26" t="s">
        <v>331</v>
      </c>
      <c r="DO3">
        <v>0.41566999999999998</v>
      </c>
      <c r="DP3">
        <v>1.4409999999999999E-2</v>
      </c>
      <c r="DQ3" s="26" t="s">
        <v>331</v>
      </c>
      <c r="DR3">
        <v>0.78552</v>
      </c>
      <c r="DS3">
        <v>3.3860000000000001E-2</v>
      </c>
      <c r="DT3" s="26" t="s">
        <v>331</v>
      </c>
      <c r="DU3">
        <v>2.0012400000000001</v>
      </c>
      <c r="DV3">
        <v>4.1459999999999997E-2</v>
      </c>
      <c r="DW3" s="26" t="s">
        <v>331</v>
      </c>
      <c r="DX3">
        <v>0.55140999999999996</v>
      </c>
      <c r="DY3">
        <v>5.5999999999999999E-3</v>
      </c>
      <c r="DZ3" s="26" t="s">
        <v>331</v>
      </c>
      <c r="EA3">
        <v>1.25135</v>
      </c>
      <c r="EB3">
        <v>3.635E-2</v>
      </c>
      <c r="EC3" s="26" t="s">
        <v>331</v>
      </c>
      <c r="ED3">
        <v>0.4798</v>
      </c>
      <c r="EE3">
        <v>8.5599999999999999E-3</v>
      </c>
      <c r="EF3" s="26" t="s">
        <v>331</v>
      </c>
      <c r="EG3">
        <v>1.7260800000000001</v>
      </c>
      <c r="EH3">
        <v>4.7050000000000002E-2</v>
      </c>
      <c r="EI3" s="26" t="s">
        <v>331</v>
      </c>
      <c r="EJ3"/>
      <c r="EK3"/>
      <c r="EL3" t="s">
        <v>328</v>
      </c>
      <c r="EM3">
        <v>3.977E-2</v>
      </c>
      <c r="EN3">
        <v>1.0200000000000001E-3</v>
      </c>
      <c r="EO3" t="s">
        <v>332</v>
      </c>
      <c r="EP3"/>
      <c r="EQ3"/>
      <c r="ER3" t="s">
        <v>328</v>
      </c>
      <c r="ES3">
        <v>40.198889999999999</v>
      </c>
      <c r="ET3">
        <v>0.92400000000000004</v>
      </c>
      <c r="EU3" s="26" t="s">
        <v>331</v>
      </c>
      <c r="EV3">
        <v>2.1600000000000001E-2</v>
      </c>
      <c r="EW3">
        <v>7.6999999999999996E-4</v>
      </c>
      <c r="EX3" t="s">
        <v>332</v>
      </c>
      <c r="EY3">
        <v>1.2169700000000001</v>
      </c>
      <c r="EZ3">
        <v>1.4579999999999999E-2</v>
      </c>
      <c r="FA3" s="26" t="s">
        <v>331</v>
      </c>
      <c r="FB3">
        <v>0.22364000000000001</v>
      </c>
      <c r="FC3">
        <v>6.88E-2</v>
      </c>
      <c r="FD3" s="26" t="s">
        <v>334</v>
      </c>
      <c r="FE3">
        <v>0.77186999999999995</v>
      </c>
      <c r="FF3">
        <v>0.16572000000000001</v>
      </c>
      <c r="FG3" s="26" t="s">
        <v>331</v>
      </c>
      <c r="FH3"/>
      <c r="FI3"/>
      <c r="FJ3" t="s">
        <v>328</v>
      </c>
      <c r="FK3"/>
      <c r="FL3"/>
      <c r="FM3" t="s">
        <v>328</v>
      </c>
      <c r="FN3">
        <v>1.6840000000000001E-2</v>
      </c>
      <c r="FO3">
        <v>1.15E-3</v>
      </c>
      <c r="FP3" t="s">
        <v>332</v>
      </c>
      <c r="FQ3"/>
      <c r="FR3"/>
      <c r="FS3" t="s">
        <v>328</v>
      </c>
      <c r="FT3">
        <v>1</v>
      </c>
      <c r="FU3"/>
      <c r="FV3"/>
      <c r="FW3">
        <v>11</v>
      </c>
    </row>
    <row r="4" spans="1:179">
      <c r="A4" t="s">
        <v>79</v>
      </c>
      <c r="B4">
        <v>17.866689999999998</v>
      </c>
      <c r="C4">
        <v>0.27494000000000002</v>
      </c>
      <c r="D4" t="s">
        <v>335</v>
      </c>
      <c r="E4">
        <v>14.52861</v>
      </c>
      <c r="F4">
        <v>0.35531000000000001</v>
      </c>
      <c r="G4" t="s">
        <v>335</v>
      </c>
      <c r="H4">
        <v>13.544700000000001</v>
      </c>
      <c r="I4">
        <v>0.19098000000000001</v>
      </c>
      <c r="J4" t="s">
        <v>335</v>
      </c>
      <c r="K4">
        <v>331.50355000000002</v>
      </c>
      <c r="L4">
        <v>7.2999299999999998</v>
      </c>
      <c r="M4" t="s">
        <v>335</v>
      </c>
      <c r="N4">
        <v>4.437E-2</v>
      </c>
      <c r="O4">
        <v>7.9000000000000001E-4</v>
      </c>
      <c r="P4" t="s">
        <v>332</v>
      </c>
      <c r="Q4">
        <v>120.70795</v>
      </c>
      <c r="R4">
        <v>2.1248200000000002</v>
      </c>
      <c r="S4" t="s">
        <v>335</v>
      </c>
      <c r="T4">
        <v>2.341E-2</v>
      </c>
      <c r="U4">
        <v>4.2999999999999999E-4</v>
      </c>
      <c r="V4" t="s">
        <v>332</v>
      </c>
      <c r="W4">
        <v>0.18546000000000001</v>
      </c>
      <c r="X4">
        <v>2E-3</v>
      </c>
      <c r="Y4" t="s">
        <v>332</v>
      </c>
      <c r="Z4">
        <v>0.13419</v>
      </c>
      <c r="AA4">
        <v>3.14E-3</v>
      </c>
      <c r="AB4" s="26" t="s">
        <v>331</v>
      </c>
      <c r="AC4">
        <v>6.6945800000000002</v>
      </c>
      <c r="AD4">
        <v>0.13852</v>
      </c>
      <c r="AE4" t="s">
        <v>335</v>
      </c>
      <c r="AF4"/>
      <c r="AG4"/>
      <c r="AH4" t="s">
        <v>328</v>
      </c>
      <c r="AI4">
        <v>4.7219999999999998E-2</v>
      </c>
      <c r="AJ4">
        <v>5.1000000000000004E-4</v>
      </c>
      <c r="AK4" t="s">
        <v>332</v>
      </c>
      <c r="AL4">
        <v>54.454599999999999</v>
      </c>
      <c r="AM4">
        <v>0.85485</v>
      </c>
      <c r="AN4" t="s">
        <v>335</v>
      </c>
      <c r="AO4">
        <v>1.831E-2</v>
      </c>
      <c r="AP4">
        <v>3.8000000000000002E-4</v>
      </c>
      <c r="AQ4" t="s">
        <v>332</v>
      </c>
      <c r="AR4">
        <v>520.56605000000002</v>
      </c>
      <c r="AS4">
        <v>12.505280000000001</v>
      </c>
      <c r="AT4" t="s">
        <v>335</v>
      </c>
      <c r="AU4">
        <v>4.3880000000000002E-2</v>
      </c>
      <c r="AV4">
        <v>5.9000000000000003E-4</v>
      </c>
      <c r="AW4" t="s">
        <v>332</v>
      </c>
      <c r="AX4">
        <v>3.6420000000000001E-2</v>
      </c>
      <c r="AY4">
        <v>4.4999999999999999E-4</v>
      </c>
      <c r="AZ4" t="s">
        <v>332</v>
      </c>
      <c r="BA4">
        <v>3.4790000000000001E-2</v>
      </c>
      <c r="BB4">
        <v>3.6000000000000002E-4</v>
      </c>
      <c r="BC4" t="s">
        <v>332</v>
      </c>
      <c r="BD4">
        <v>3.0030000000000001E-2</v>
      </c>
      <c r="BE4">
        <v>2.9E-4</v>
      </c>
      <c r="BF4" t="s">
        <v>332</v>
      </c>
      <c r="BG4">
        <v>3.6560000000000002E-2</v>
      </c>
      <c r="BH4">
        <v>8.1999999999999998E-4</v>
      </c>
      <c r="BI4" t="s">
        <v>332</v>
      </c>
      <c r="BJ4">
        <v>2.6199999999999999E-3</v>
      </c>
      <c r="BK4">
        <v>6.0000000000000002E-5</v>
      </c>
      <c r="BL4" t="s">
        <v>332</v>
      </c>
      <c r="BM4">
        <v>3.8339999999999999E-2</v>
      </c>
      <c r="BN4">
        <v>1.2E-4</v>
      </c>
      <c r="BO4" t="s">
        <v>332</v>
      </c>
      <c r="BP4">
        <v>-2.5400000000000002E-3</v>
      </c>
      <c r="BQ4">
        <v>1.97E-3</v>
      </c>
      <c r="BR4" t="s">
        <v>333</v>
      </c>
      <c r="BS4"/>
      <c r="BT4"/>
      <c r="BU4" t="s">
        <v>328</v>
      </c>
      <c r="BV4">
        <v>-1.1736800000000001</v>
      </c>
      <c r="BW4">
        <v>1.2E-4</v>
      </c>
      <c r="BX4" t="s">
        <v>333</v>
      </c>
      <c r="BY4">
        <v>6.8947000000000003</v>
      </c>
      <c r="BZ4">
        <v>0.21792</v>
      </c>
      <c r="CA4" t="s">
        <v>335</v>
      </c>
      <c r="CB4">
        <v>17.50339</v>
      </c>
      <c r="CC4">
        <v>0.36018</v>
      </c>
      <c r="CD4" t="s">
        <v>335</v>
      </c>
      <c r="CE4">
        <v>17.798469999999998</v>
      </c>
      <c r="CF4">
        <v>0.38812999999999998</v>
      </c>
      <c r="CG4" t="s">
        <v>335</v>
      </c>
      <c r="CH4">
        <v>17.76276</v>
      </c>
      <c r="CI4">
        <v>0.26629999999999998</v>
      </c>
      <c r="CJ4" t="s">
        <v>335</v>
      </c>
      <c r="CK4">
        <v>11.4541</v>
      </c>
      <c r="CL4">
        <v>0.18135999999999999</v>
      </c>
      <c r="CM4" t="s">
        <v>332</v>
      </c>
      <c r="CN4">
        <v>18002.432919999999</v>
      </c>
      <c r="CO4">
        <v>623.59099000000003</v>
      </c>
      <c r="CP4" t="s">
        <v>335</v>
      </c>
      <c r="CQ4">
        <v>6549.7156199999999</v>
      </c>
      <c r="CR4">
        <v>337.34728000000001</v>
      </c>
      <c r="CS4" t="s">
        <v>335</v>
      </c>
      <c r="CT4">
        <v>126.59177</v>
      </c>
      <c r="CU4">
        <v>5.2245299999999997</v>
      </c>
      <c r="CV4" t="s">
        <v>335</v>
      </c>
      <c r="CW4">
        <v>24.42839</v>
      </c>
      <c r="CX4">
        <v>0.66876999999999998</v>
      </c>
      <c r="CY4" s="26" t="s">
        <v>331</v>
      </c>
      <c r="CZ4">
        <v>1.3243400000000001</v>
      </c>
      <c r="DA4">
        <v>2.5229999999999999E-2</v>
      </c>
      <c r="DB4" t="s">
        <v>332</v>
      </c>
      <c r="DC4">
        <v>8.3853000000000009</v>
      </c>
      <c r="DD4">
        <v>0.38950000000000001</v>
      </c>
      <c r="DE4" t="s">
        <v>332</v>
      </c>
      <c r="DF4">
        <v>29772.40019</v>
      </c>
      <c r="DG4">
        <v>967.99744999999996</v>
      </c>
      <c r="DH4" t="s">
        <v>335</v>
      </c>
      <c r="DI4">
        <v>8.9069999999999996E-2</v>
      </c>
      <c r="DJ4">
        <v>1.468E-2</v>
      </c>
      <c r="DK4" t="s">
        <v>332</v>
      </c>
      <c r="DL4">
        <v>38.688040000000001</v>
      </c>
      <c r="DM4">
        <v>1.2147600000000001</v>
      </c>
      <c r="DN4" t="s">
        <v>335</v>
      </c>
      <c r="DO4">
        <v>18.234290000000001</v>
      </c>
      <c r="DP4">
        <v>0.85324</v>
      </c>
      <c r="DQ4" t="s">
        <v>335</v>
      </c>
      <c r="DR4">
        <v>37.314100000000003</v>
      </c>
      <c r="DS4">
        <v>1.53823</v>
      </c>
      <c r="DT4" t="s">
        <v>335</v>
      </c>
      <c r="DU4">
        <v>89.987579999999994</v>
      </c>
      <c r="DV4">
        <v>2.9772699999999999</v>
      </c>
      <c r="DW4" t="s">
        <v>335</v>
      </c>
      <c r="DX4">
        <v>25.58099</v>
      </c>
      <c r="DY4">
        <v>0.76778999999999997</v>
      </c>
      <c r="DZ4" t="s">
        <v>335</v>
      </c>
      <c r="EA4">
        <v>57.40119</v>
      </c>
      <c r="EB4">
        <v>1.4802500000000001</v>
      </c>
      <c r="EC4" t="s">
        <v>335</v>
      </c>
      <c r="ED4">
        <v>19.32028</v>
      </c>
      <c r="EE4">
        <v>0.23619999999999999</v>
      </c>
      <c r="EF4" t="s">
        <v>335</v>
      </c>
      <c r="EG4">
        <v>70.296030000000002</v>
      </c>
      <c r="EH4">
        <v>0.80384999999999995</v>
      </c>
      <c r="EI4" t="s">
        <v>335</v>
      </c>
      <c r="EJ4"/>
      <c r="EK4"/>
      <c r="EL4" t="s">
        <v>328</v>
      </c>
      <c r="EM4">
        <v>0.10162</v>
      </c>
      <c r="EN4">
        <v>5.5900000000000004E-3</v>
      </c>
      <c r="EO4" t="s">
        <v>332</v>
      </c>
      <c r="EP4"/>
      <c r="EQ4"/>
      <c r="ER4" t="s">
        <v>328</v>
      </c>
      <c r="ES4">
        <v>2035.83671</v>
      </c>
      <c r="ET4">
        <v>96.982879999999994</v>
      </c>
      <c r="EU4" t="s">
        <v>335</v>
      </c>
      <c r="EV4">
        <v>2.3980000000000001E-2</v>
      </c>
      <c r="EW4">
        <v>4.0999999999999999E-4</v>
      </c>
      <c r="EX4" t="s">
        <v>332</v>
      </c>
      <c r="EY4">
        <v>38.297139999999999</v>
      </c>
      <c r="EZ4">
        <v>1.6288199999999999</v>
      </c>
      <c r="FA4" s="26" t="s">
        <v>331</v>
      </c>
      <c r="FB4">
        <v>6.8506600000000004</v>
      </c>
      <c r="FC4">
        <v>0.31680000000000003</v>
      </c>
      <c r="FD4" s="26" t="s">
        <v>331</v>
      </c>
      <c r="FE4">
        <v>7.2463899999999999</v>
      </c>
      <c r="FF4">
        <v>0.39144000000000001</v>
      </c>
      <c r="FG4" s="26" t="s">
        <v>331</v>
      </c>
      <c r="FH4"/>
      <c r="FI4"/>
      <c r="FJ4" t="s">
        <v>328</v>
      </c>
      <c r="FK4"/>
      <c r="FL4"/>
      <c r="FM4" t="s">
        <v>328</v>
      </c>
      <c r="FN4">
        <v>8.0159999999999995E-2</v>
      </c>
      <c r="FO4">
        <v>4.0400000000000002E-3</v>
      </c>
      <c r="FP4" t="s">
        <v>332</v>
      </c>
      <c r="FQ4"/>
      <c r="FR4"/>
      <c r="FS4" t="s">
        <v>328</v>
      </c>
      <c r="FT4">
        <v>1</v>
      </c>
      <c r="FU4"/>
      <c r="FV4"/>
      <c r="FW4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Raw_ICPMS</vt:lpstr>
      <vt:lpstr>Lookup</vt:lpstr>
      <vt:lpstr>Processed</vt:lpstr>
      <vt:lpstr>IS_Check</vt:lpstr>
      <vt:lpstr>QC</vt:lpstr>
    </vt:vector>
  </TitlesOfParts>
  <Company>U.S. EPA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EPA User or Contractor</dc:creator>
  <cp:lastModifiedBy>U.S. EPA User or Contractor</cp:lastModifiedBy>
  <dcterms:created xsi:type="dcterms:W3CDTF">2024-11-26T18:37:17Z</dcterms:created>
  <dcterms:modified xsi:type="dcterms:W3CDTF">2024-11-26T18:37:17Z</dcterms:modified>
</cp:coreProperties>
</file>