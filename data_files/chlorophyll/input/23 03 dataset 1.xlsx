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ms\data_files\chlorophyll\input\"/>
    </mc:Choice>
  </mc:AlternateContent>
  <xr:revisionPtr revIDLastSave="0" documentId="13_ncr:1_{5C8CD025-A3F6-4C1B-B740-262814BA4A41}" xr6:coauthVersionLast="47" xr6:coauthVersionMax="47" xr10:uidLastSave="{00000000-0000-0000-0000-000000000000}"/>
  <bookViews>
    <workbookView xWindow="7080" yWindow="1695" windowWidth="20865" windowHeight="11385" xr2:uid="{00000000-000D-0000-FFFF-FFFF00000000}"/>
  </bookViews>
  <sheets>
    <sheet name="compiled" sheetId="2" r:id="rId1"/>
    <sheet name="Sample Table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Q4" i="1"/>
  <c r="R4" i="1"/>
  <c r="S4" i="1"/>
  <c r="T4" i="1"/>
  <c r="U4" i="1"/>
  <c r="M5" i="1"/>
  <c r="N5" i="1"/>
  <c r="O5" i="1"/>
  <c r="P5" i="1"/>
  <c r="Q5" i="1"/>
  <c r="R5" i="1"/>
  <c r="S5" i="1"/>
  <c r="T5" i="1"/>
  <c r="U5" i="1"/>
  <c r="M6" i="1"/>
  <c r="N6" i="1"/>
  <c r="O6" i="1"/>
  <c r="P6" i="1"/>
  <c r="Q6" i="1"/>
  <c r="R6" i="1"/>
  <c r="S6" i="1"/>
  <c r="T6" i="1"/>
  <c r="U6" i="1"/>
  <c r="M7" i="1"/>
  <c r="N7" i="1"/>
  <c r="O7" i="1"/>
  <c r="P7" i="1"/>
  <c r="Q7" i="1"/>
  <c r="R7" i="1"/>
  <c r="S7" i="1"/>
  <c r="T7" i="1"/>
  <c r="U7" i="1"/>
  <c r="M8" i="1"/>
  <c r="N8" i="1"/>
  <c r="O8" i="1"/>
  <c r="P8" i="1"/>
  <c r="Q8" i="1"/>
  <c r="R8" i="1"/>
  <c r="S8" i="1"/>
  <c r="T8" i="1"/>
  <c r="U8" i="1"/>
  <c r="M9" i="1"/>
  <c r="N9" i="1"/>
  <c r="O9" i="1"/>
  <c r="P9" i="1"/>
  <c r="Q9" i="1"/>
  <c r="R9" i="1"/>
  <c r="S9" i="1"/>
  <c r="T9" i="1"/>
  <c r="U9" i="1"/>
  <c r="M10" i="1"/>
  <c r="N10" i="1"/>
  <c r="O10" i="1"/>
  <c r="P10" i="1"/>
  <c r="Q10" i="1"/>
  <c r="R10" i="1"/>
  <c r="S10" i="1"/>
  <c r="T10" i="1"/>
  <c r="U10" i="1"/>
  <c r="M11" i="1"/>
  <c r="N11" i="1"/>
  <c r="O11" i="1"/>
  <c r="P11" i="1"/>
  <c r="Q11" i="1"/>
  <c r="R11" i="1"/>
  <c r="S11" i="1"/>
  <c r="T11" i="1"/>
  <c r="U11" i="1"/>
  <c r="M12" i="1"/>
  <c r="N12" i="1"/>
  <c r="O12" i="1"/>
  <c r="P12" i="1"/>
  <c r="Q12" i="1"/>
  <c r="R12" i="1"/>
  <c r="S12" i="1"/>
  <c r="T12" i="1"/>
  <c r="U12" i="1"/>
  <c r="M13" i="1"/>
  <c r="N13" i="1"/>
  <c r="O13" i="1"/>
  <c r="P13" i="1"/>
  <c r="Q13" i="1"/>
  <c r="R13" i="1"/>
  <c r="S13" i="1"/>
  <c r="T13" i="1"/>
  <c r="U13" i="1"/>
  <c r="M14" i="1"/>
  <c r="N14" i="1"/>
  <c r="O14" i="1"/>
  <c r="P14" i="1"/>
  <c r="Q14" i="1"/>
  <c r="R14" i="1"/>
  <c r="S14" i="1"/>
  <c r="T14" i="1"/>
  <c r="U14" i="1"/>
  <c r="M15" i="1"/>
  <c r="N15" i="1"/>
  <c r="O15" i="1"/>
  <c r="P15" i="1"/>
  <c r="Q15" i="1"/>
  <c r="R15" i="1"/>
  <c r="S15" i="1"/>
  <c r="T15" i="1"/>
  <c r="U15" i="1"/>
  <c r="M16" i="1"/>
  <c r="N16" i="1"/>
  <c r="O16" i="1"/>
  <c r="P16" i="1"/>
  <c r="Q16" i="1"/>
  <c r="R16" i="1"/>
  <c r="S16" i="1"/>
  <c r="T16" i="1"/>
  <c r="U16" i="1"/>
  <c r="M17" i="1"/>
  <c r="N17" i="1"/>
  <c r="O17" i="1"/>
  <c r="P17" i="1"/>
  <c r="Q17" i="1"/>
  <c r="R17" i="1"/>
  <c r="S17" i="1"/>
  <c r="T17" i="1"/>
  <c r="U17" i="1"/>
  <c r="M18" i="1"/>
  <c r="N18" i="1"/>
  <c r="O18" i="1"/>
  <c r="P18" i="1"/>
  <c r="Q18" i="1"/>
  <c r="R18" i="1"/>
  <c r="S18" i="1"/>
  <c r="T18" i="1"/>
  <c r="U18" i="1"/>
  <c r="M19" i="1"/>
  <c r="N19" i="1"/>
  <c r="O19" i="1"/>
  <c r="P19" i="1"/>
  <c r="Q19" i="1"/>
  <c r="R19" i="1"/>
  <c r="S19" i="1"/>
  <c r="T19" i="1"/>
  <c r="U19" i="1"/>
  <c r="M20" i="1"/>
  <c r="N20" i="1"/>
  <c r="O20" i="1"/>
  <c r="P20" i="1"/>
  <c r="Q20" i="1"/>
  <c r="R20" i="1"/>
  <c r="S20" i="1"/>
  <c r="T20" i="1"/>
  <c r="U20" i="1"/>
  <c r="M21" i="1"/>
  <c r="N21" i="1"/>
  <c r="O21" i="1"/>
  <c r="P21" i="1"/>
  <c r="Q21" i="1"/>
  <c r="R21" i="1"/>
  <c r="S21" i="1"/>
  <c r="T21" i="1"/>
  <c r="U21" i="1"/>
  <c r="M22" i="1"/>
  <c r="N22" i="1"/>
  <c r="O22" i="1"/>
  <c r="P22" i="1"/>
  <c r="Q22" i="1"/>
  <c r="R22" i="1"/>
  <c r="S22" i="1"/>
  <c r="T22" i="1"/>
  <c r="U22" i="1"/>
  <c r="M23" i="1"/>
  <c r="N23" i="1"/>
  <c r="O23" i="1"/>
  <c r="P23" i="1"/>
  <c r="Q23" i="1"/>
  <c r="R23" i="1"/>
  <c r="S23" i="1"/>
  <c r="T23" i="1"/>
  <c r="U23" i="1"/>
  <c r="M24" i="1"/>
  <c r="N24" i="1"/>
  <c r="O24" i="1"/>
  <c r="P24" i="1"/>
  <c r="Q24" i="1"/>
  <c r="R24" i="1"/>
  <c r="S24" i="1"/>
  <c r="T24" i="1"/>
  <c r="U24" i="1"/>
  <c r="M25" i="1"/>
  <c r="N25" i="1"/>
  <c r="O25" i="1"/>
  <c r="P25" i="1"/>
  <c r="Q25" i="1"/>
  <c r="R25" i="1"/>
  <c r="S25" i="1"/>
  <c r="T25" i="1"/>
  <c r="U25" i="1"/>
  <c r="M26" i="1"/>
  <c r="N26" i="1"/>
  <c r="O26" i="1"/>
  <c r="P26" i="1"/>
  <c r="Q26" i="1"/>
  <c r="R26" i="1"/>
  <c r="S26" i="1"/>
  <c r="T26" i="1"/>
  <c r="U26" i="1"/>
  <c r="M27" i="1"/>
  <c r="N27" i="1"/>
  <c r="O27" i="1"/>
  <c r="P27" i="1"/>
  <c r="Q27" i="1"/>
  <c r="R27" i="1"/>
  <c r="S27" i="1"/>
  <c r="T27" i="1"/>
  <c r="U27" i="1"/>
  <c r="M28" i="1"/>
  <c r="N28" i="1"/>
  <c r="O28" i="1"/>
  <c r="P28" i="1"/>
  <c r="Q28" i="1"/>
  <c r="R28" i="1"/>
  <c r="S28" i="1"/>
  <c r="T28" i="1"/>
  <c r="U28" i="1"/>
  <c r="M29" i="1"/>
  <c r="N29" i="1"/>
  <c r="O29" i="1"/>
  <c r="P29" i="1"/>
  <c r="Q29" i="1"/>
  <c r="R29" i="1"/>
  <c r="S29" i="1"/>
  <c r="T29" i="1"/>
  <c r="U29" i="1"/>
  <c r="M30" i="1"/>
  <c r="N30" i="1"/>
  <c r="O30" i="1"/>
  <c r="P30" i="1"/>
  <c r="Q30" i="1"/>
  <c r="R30" i="1"/>
  <c r="S30" i="1"/>
  <c r="T30" i="1"/>
  <c r="U30" i="1"/>
  <c r="M31" i="1"/>
  <c r="N31" i="1"/>
  <c r="O31" i="1"/>
  <c r="P31" i="1"/>
  <c r="Q31" i="1"/>
  <c r="R31" i="1"/>
  <c r="S31" i="1"/>
  <c r="T31" i="1"/>
  <c r="U31" i="1"/>
  <c r="M32" i="1"/>
  <c r="N32" i="1"/>
  <c r="O32" i="1"/>
  <c r="P32" i="1"/>
  <c r="Q32" i="1"/>
  <c r="R32" i="1"/>
  <c r="S32" i="1"/>
  <c r="T32" i="1"/>
  <c r="U32" i="1"/>
  <c r="M33" i="1"/>
  <c r="N33" i="1"/>
  <c r="O33" i="1"/>
  <c r="P33" i="1"/>
  <c r="Q33" i="1"/>
  <c r="R33" i="1"/>
  <c r="S33" i="1"/>
  <c r="T33" i="1"/>
  <c r="U33" i="1"/>
  <c r="M34" i="1"/>
  <c r="N34" i="1"/>
  <c r="O34" i="1"/>
  <c r="P34" i="1"/>
  <c r="Q34" i="1"/>
  <c r="R34" i="1"/>
  <c r="S34" i="1"/>
  <c r="T34" i="1"/>
  <c r="U34" i="1"/>
  <c r="M35" i="1"/>
  <c r="N35" i="1"/>
  <c r="O35" i="1"/>
  <c r="P35" i="1"/>
  <c r="Q35" i="1"/>
  <c r="R35" i="1"/>
  <c r="S35" i="1"/>
  <c r="T35" i="1"/>
  <c r="U35" i="1"/>
  <c r="M36" i="1"/>
  <c r="N36" i="1"/>
  <c r="O36" i="1"/>
  <c r="P36" i="1"/>
  <c r="Q36" i="1"/>
  <c r="R36" i="1"/>
  <c r="S36" i="1"/>
  <c r="T36" i="1"/>
  <c r="U36" i="1"/>
  <c r="M37" i="1"/>
  <c r="N37" i="1"/>
  <c r="O37" i="1"/>
  <c r="P37" i="1"/>
  <c r="Q37" i="1"/>
  <c r="R37" i="1"/>
  <c r="S37" i="1"/>
  <c r="T37" i="1"/>
  <c r="U37" i="1"/>
  <c r="M38" i="1"/>
  <c r="N38" i="1"/>
  <c r="O38" i="1"/>
  <c r="P38" i="1"/>
  <c r="Q38" i="1"/>
  <c r="R38" i="1"/>
  <c r="S38" i="1"/>
  <c r="T38" i="1"/>
  <c r="U38" i="1"/>
  <c r="M39" i="1"/>
  <c r="N39" i="1"/>
  <c r="O39" i="1"/>
  <c r="P39" i="1"/>
  <c r="Q39" i="1"/>
  <c r="R39" i="1"/>
  <c r="S39" i="1"/>
  <c r="T39" i="1"/>
  <c r="U39" i="1"/>
  <c r="M40" i="1"/>
  <c r="N40" i="1"/>
  <c r="O40" i="1"/>
  <c r="P40" i="1"/>
  <c r="Q40" i="1"/>
  <c r="R40" i="1"/>
  <c r="S40" i="1"/>
  <c r="T40" i="1"/>
  <c r="U40" i="1"/>
  <c r="M41" i="1"/>
  <c r="N41" i="1"/>
  <c r="O41" i="1"/>
  <c r="P41" i="1"/>
  <c r="Q41" i="1"/>
  <c r="R41" i="1"/>
  <c r="S41" i="1"/>
  <c r="T41" i="1"/>
  <c r="U41" i="1"/>
  <c r="M42" i="1"/>
  <c r="N42" i="1"/>
  <c r="O42" i="1"/>
  <c r="P42" i="1"/>
  <c r="Q42" i="1"/>
  <c r="R42" i="1"/>
  <c r="S42" i="1"/>
  <c r="T42" i="1"/>
  <c r="U42" i="1"/>
  <c r="M43" i="1"/>
  <c r="N43" i="1"/>
  <c r="O43" i="1"/>
  <c r="P43" i="1"/>
  <c r="Q43" i="1"/>
  <c r="R43" i="1"/>
  <c r="S43" i="1"/>
  <c r="T43" i="1"/>
  <c r="U43" i="1"/>
  <c r="M44" i="1"/>
  <c r="N44" i="1"/>
  <c r="O44" i="1"/>
  <c r="P44" i="1"/>
  <c r="Q44" i="1"/>
  <c r="R44" i="1"/>
  <c r="S44" i="1"/>
  <c r="T44" i="1"/>
  <c r="U44" i="1"/>
  <c r="M45" i="1"/>
  <c r="N45" i="1"/>
  <c r="O45" i="1"/>
  <c r="P45" i="1"/>
  <c r="Q45" i="1"/>
  <c r="R45" i="1"/>
  <c r="S45" i="1"/>
  <c r="T45" i="1"/>
  <c r="U45" i="1"/>
  <c r="M46" i="1"/>
  <c r="N46" i="1"/>
  <c r="O46" i="1"/>
  <c r="P46" i="1"/>
  <c r="Q46" i="1"/>
  <c r="R46" i="1"/>
  <c r="S46" i="1"/>
  <c r="T46" i="1"/>
  <c r="U46" i="1"/>
  <c r="M47" i="1"/>
  <c r="N47" i="1"/>
  <c r="O47" i="1"/>
  <c r="P47" i="1"/>
  <c r="Q47" i="1"/>
  <c r="R47" i="1"/>
  <c r="S47" i="1"/>
  <c r="T47" i="1"/>
  <c r="U47" i="1"/>
  <c r="M48" i="1"/>
  <c r="N48" i="1"/>
  <c r="O48" i="1"/>
  <c r="P48" i="1"/>
  <c r="Q48" i="1"/>
  <c r="R48" i="1"/>
  <c r="S48" i="1"/>
  <c r="T48" i="1"/>
  <c r="U48" i="1"/>
  <c r="M49" i="1"/>
  <c r="N49" i="1"/>
  <c r="O49" i="1"/>
  <c r="P49" i="1"/>
  <c r="Q49" i="1"/>
  <c r="R49" i="1"/>
  <c r="S49" i="1"/>
  <c r="T49" i="1"/>
  <c r="U49" i="1"/>
  <c r="M50" i="1"/>
  <c r="N50" i="1"/>
  <c r="O50" i="1"/>
  <c r="P50" i="1"/>
  <c r="Q50" i="1"/>
  <c r="R50" i="1"/>
  <c r="S50" i="1"/>
  <c r="T50" i="1"/>
  <c r="U50" i="1"/>
  <c r="M51" i="1"/>
  <c r="N51" i="1"/>
  <c r="O51" i="1"/>
  <c r="P51" i="1"/>
  <c r="Q51" i="1"/>
  <c r="R51" i="1"/>
  <c r="S51" i="1"/>
  <c r="T51" i="1"/>
  <c r="U51" i="1"/>
  <c r="M52" i="1"/>
  <c r="N52" i="1"/>
  <c r="O52" i="1"/>
  <c r="P52" i="1"/>
  <c r="Q52" i="1"/>
  <c r="R52" i="1"/>
  <c r="S52" i="1"/>
  <c r="T52" i="1"/>
  <c r="U52" i="1"/>
  <c r="M53" i="1"/>
  <c r="N53" i="1"/>
  <c r="O53" i="1"/>
  <c r="P53" i="1"/>
  <c r="Q53" i="1"/>
  <c r="R53" i="1"/>
  <c r="S53" i="1"/>
  <c r="T53" i="1"/>
  <c r="U53" i="1"/>
  <c r="M54" i="1"/>
  <c r="N54" i="1"/>
  <c r="O54" i="1"/>
  <c r="P54" i="1"/>
  <c r="Q54" i="1"/>
  <c r="R54" i="1"/>
  <c r="S54" i="1"/>
  <c r="T54" i="1"/>
  <c r="U54" i="1"/>
  <c r="M55" i="1"/>
  <c r="N55" i="1"/>
  <c r="O55" i="1"/>
  <c r="P55" i="1"/>
  <c r="Q55" i="1"/>
  <c r="R55" i="1"/>
  <c r="S55" i="1"/>
  <c r="T55" i="1"/>
  <c r="U55" i="1"/>
  <c r="M56" i="1"/>
  <c r="N56" i="1"/>
  <c r="O56" i="1"/>
  <c r="P56" i="1"/>
  <c r="Q56" i="1"/>
  <c r="R56" i="1"/>
  <c r="S56" i="1"/>
  <c r="T56" i="1"/>
  <c r="U56" i="1"/>
  <c r="M57" i="1"/>
  <c r="N57" i="1"/>
  <c r="O57" i="1"/>
  <c r="P57" i="1"/>
  <c r="Q57" i="1"/>
  <c r="R57" i="1"/>
  <c r="S57" i="1"/>
  <c r="T57" i="1"/>
  <c r="U57" i="1"/>
  <c r="M58" i="1"/>
  <c r="N58" i="1"/>
  <c r="O58" i="1"/>
  <c r="P58" i="1"/>
  <c r="Q58" i="1"/>
  <c r="R58" i="1"/>
  <c r="S58" i="1"/>
  <c r="T58" i="1"/>
  <c r="U58" i="1"/>
  <c r="M59" i="1"/>
  <c r="N59" i="1"/>
  <c r="O59" i="1"/>
  <c r="P59" i="1"/>
  <c r="Q59" i="1"/>
  <c r="R59" i="1"/>
  <c r="S59" i="1"/>
  <c r="T59" i="1"/>
  <c r="U59" i="1"/>
  <c r="M60" i="1"/>
  <c r="N60" i="1"/>
  <c r="O60" i="1"/>
  <c r="P60" i="1"/>
  <c r="Q60" i="1"/>
  <c r="R60" i="1"/>
  <c r="S60" i="1"/>
  <c r="T60" i="1"/>
  <c r="U60" i="1"/>
  <c r="M61" i="1"/>
  <c r="N61" i="1"/>
  <c r="O61" i="1"/>
  <c r="P61" i="1"/>
  <c r="Q61" i="1"/>
  <c r="R61" i="1"/>
  <c r="S61" i="1"/>
  <c r="T61" i="1"/>
  <c r="U61" i="1"/>
  <c r="M62" i="1"/>
  <c r="N62" i="1"/>
  <c r="O62" i="1"/>
  <c r="P62" i="1"/>
  <c r="Q62" i="1"/>
  <c r="R62" i="1"/>
  <c r="S62" i="1"/>
  <c r="T62" i="1"/>
  <c r="U62" i="1"/>
  <c r="M3" i="1"/>
  <c r="N3" i="1"/>
  <c r="O3" i="1"/>
  <c r="P3" i="1"/>
  <c r="Q3" i="1"/>
  <c r="R3" i="1"/>
  <c r="S3" i="1"/>
  <c r="T3" i="1"/>
  <c r="U3" i="1"/>
  <c r="U2" i="1"/>
  <c r="T2" i="1"/>
  <c r="S2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<sst xmlns="http://schemas.openxmlformats.org/spreadsheetml/2006/main" count="706" uniqueCount="133">
  <si>
    <t>Analysis_ID</t>
  </si>
  <si>
    <t xml:space="preserve"> Spec_Seq</t>
  </si>
  <si>
    <t xml:space="preserve"> Accession</t>
  </si>
  <si>
    <t xml:space="preserve"> Set</t>
  </si>
  <si>
    <t xml:space="preserve"> Rep</t>
  </si>
  <si>
    <t xml:space="preserve"> Rep_N</t>
  </si>
  <si>
    <t xml:space="preserve"> Type</t>
  </si>
  <si>
    <t xml:space="preserve"> Description</t>
  </si>
  <si>
    <t xml:space="preserve"> Acidified</t>
  </si>
  <si>
    <t xml:space="preserve"> Dilution_X</t>
  </si>
  <si>
    <t xml:space="preserve"> Cell_Length_cm</t>
  </si>
  <si>
    <t>Ana_2023_001P</t>
  </si>
  <si>
    <t xml:space="preserve"> </t>
  </si>
  <si>
    <t xml:space="preserve"> Blank</t>
  </si>
  <si>
    <t xml:space="preserve"> FALSE</t>
  </si>
  <si>
    <t xml:space="preserve"> Control</t>
  </si>
  <si>
    <t xml:space="preserve"> Sample</t>
  </si>
  <si>
    <t xml:space="preserve"> TRUE</t>
  </si>
  <si>
    <t xml:space="preserve">Ana_2023_001P </t>
  </si>
  <si>
    <t>BAAS_1_1_3</t>
  </si>
  <si>
    <t>Sample ID</t>
  </si>
  <si>
    <t>BAAS_1_2_3</t>
  </si>
  <si>
    <t>BAAS_1_3_3</t>
  </si>
  <si>
    <t>GFC_1_1_3</t>
  </si>
  <si>
    <t>GFC_1_2_3</t>
  </si>
  <si>
    <t>GFC_1_3_3</t>
  </si>
  <si>
    <t>QCS_1_1_3</t>
  </si>
  <si>
    <t>QCS_1_2_3</t>
  </si>
  <si>
    <t>QCS_1_3_3</t>
  </si>
  <si>
    <t>KM 1_1_2</t>
  </si>
  <si>
    <t>KM 1_2_2</t>
  </si>
  <si>
    <t>KM 2_1_2</t>
  </si>
  <si>
    <t>KM 2_2_2</t>
  </si>
  <si>
    <t>KM 3_1_2</t>
  </si>
  <si>
    <t>KM 3_2_2</t>
  </si>
  <si>
    <t>KM 4_1_2</t>
  </si>
  <si>
    <t>KM 4_2_2</t>
  </si>
  <si>
    <t>KM 5_1_2</t>
  </si>
  <si>
    <t>KM 5_2_2</t>
  </si>
  <si>
    <t>KM 6_1_2</t>
  </si>
  <si>
    <t>KM 6_1_2_D0.5</t>
  </si>
  <si>
    <t>KM 6_2_2_Acid_D0.5</t>
  </si>
  <si>
    <t>KM 7_1_2</t>
  </si>
  <si>
    <t>KM 7_2_2</t>
  </si>
  <si>
    <t>KM 8_1_2</t>
  </si>
  <si>
    <t>KM 8_1_2_D0.5</t>
  </si>
  <si>
    <t>KM 8_2_2_Acid_D0.5</t>
  </si>
  <si>
    <t>KM 9_1_2</t>
  </si>
  <si>
    <t>KM 9_1_2_D0.5</t>
  </si>
  <si>
    <t>KM 9_2_2_Acid_D0.5</t>
  </si>
  <si>
    <t>KM 10_1_2</t>
  </si>
  <si>
    <t>KM 10_1_2_D0.5</t>
  </si>
  <si>
    <t>KM 10_2_2_Acid_D0.5</t>
  </si>
  <si>
    <t>QCS_2_1_1</t>
  </si>
  <si>
    <t>GFC_2_1_1</t>
  </si>
  <si>
    <t>BAAS_2_1_1</t>
  </si>
  <si>
    <t>KM 11_1_2</t>
  </si>
  <si>
    <t>KM 11_1_2_D0.5</t>
  </si>
  <si>
    <t>KM 11_2_2_Acid_D0.5</t>
  </si>
  <si>
    <t>KM 12_1_2</t>
  </si>
  <si>
    <t>KM 12_1_2_D0.5</t>
  </si>
  <si>
    <t>KM 12_2_2_Acid_D0.5</t>
  </si>
  <si>
    <t>KM 13_1_2</t>
  </si>
  <si>
    <t>KM 13_2_2_Acid</t>
  </si>
  <si>
    <t>KM 14_1_2</t>
  </si>
  <si>
    <t>KM 14_2_2_Acid</t>
  </si>
  <si>
    <t>KM 15_1_2</t>
  </si>
  <si>
    <t>KM 15_2_2_Acid</t>
  </si>
  <si>
    <t>KM 16_1_2</t>
  </si>
  <si>
    <t>KM 16_2_2_Acid</t>
  </si>
  <si>
    <t>KM 17_1_2</t>
  </si>
  <si>
    <t>KM 17_2_2_Acid</t>
  </si>
  <si>
    <t>KM 18_1_2</t>
  </si>
  <si>
    <t>KM 18_2_2_Acid</t>
  </si>
  <si>
    <t>KM Blank_1_2</t>
  </si>
  <si>
    <t>KM Blank_2_2_Acid</t>
  </si>
  <si>
    <t>KM LRB_1_2</t>
  </si>
  <si>
    <t>KM LRB_2_2_Acid</t>
  </si>
  <si>
    <t>QCS_3_1_1</t>
  </si>
  <si>
    <t>GFC_3_1_1</t>
  </si>
  <si>
    <t>BAAS_3_1_1</t>
  </si>
  <si>
    <t>AB-230301-01 BAAS 1</t>
  </si>
  <si>
    <t>AB-230301-01 BAAS 2</t>
  </si>
  <si>
    <t>AB-230301-01 BAAS 3</t>
  </si>
  <si>
    <t>AB-230301-01 GFC 1</t>
  </si>
  <si>
    <t>AB-230301-01 GFC 2</t>
  </si>
  <si>
    <t>AB-230301-01 GFC 3</t>
  </si>
  <si>
    <t>AB-230301-01 QCS (CHL a) 1</t>
  </si>
  <si>
    <t>AB-230301-01 QCS (CHL a) 2</t>
  </si>
  <si>
    <t>AB-230301-01 QCS (CHL a) 3</t>
  </si>
  <si>
    <t>WO-23023-01-A-2</t>
  </si>
  <si>
    <t>WO-23023-02-A-2</t>
  </si>
  <si>
    <t>WO-23023-03-A-2</t>
  </si>
  <si>
    <t>WO-23023-04-A-2</t>
  </si>
  <si>
    <t>WO-23023-05-A-2</t>
  </si>
  <si>
    <t>WO-23023-07-A-2</t>
  </si>
  <si>
    <t>AB-230301-01 QCSD (CHL a) 1</t>
  </si>
  <si>
    <t>AB-230301-01 GFCD 1</t>
  </si>
  <si>
    <t>AB-230301-01 BAAS DUP 1</t>
  </si>
  <si>
    <t>WO-23023-13-A-2</t>
  </si>
  <si>
    <t>WO-23023-14-A-2</t>
  </si>
  <si>
    <t>WO-23023-15-A-2</t>
  </si>
  <si>
    <t>WO-23023-16-A-2</t>
  </si>
  <si>
    <t>WO-23023-17-A-2</t>
  </si>
  <si>
    <t>WO-23023-18-A-2</t>
  </si>
  <si>
    <t>WO-23023-19-A-2</t>
  </si>
  <si>
    <t>PB-230222-01 LRB(Ch a) 1</t>
  </si>
  <si>
    <t>AB-230301-01 QCSD (CHL a) 2</t>
  </si>
  <si>
    <t>AB-230301-01 GFCD 2</t>
  </si>
  <si>
    <t>AB-230301-01 BAAS DUP 2</t>
  </si>
  <si>
    <t>WO-23023-06-A-2</t>
  </si>
  <si>
    <t>WO-23023-06-A-2B</t>
  </si>
  <si>
    <t>WO-23023-08-A-2B</t>
  </si>
  <si>
    <t>WO-23023-09-A-2B</t>
  </si>
  <si>
    <t>WO-23023-10-A-2B</t>
  </si>
  <si>
    <t>WO-23023-11-A-2B</t>
  </si>
  <si>
    <t>WO-23023-12-A-2B</t>
  </si>
  <si>
    <t>WO-23023-08-A-2</t>
  </si>
  <si>
    <t>WO-23023-09-A-2</t>
  </si>
  <si>
    <t>WO-23023-10-A-2</t>
  </si>
  <si>
    <t>WO-23023-11-A-2</t>
  </si>
  <si>
    <t>WO-23023-12-A-2</t>
  </si>
  <si>
    <t>Project</t>
  </si>
  <si>
    <t>ab_400</t>
  </si>
  <si>
    <t>abs_630</t>
  </si>
  <si>
    <t>abs_647</t>
  </si>
  <si>
    <t>abs_664</t>
  </si>
  <si>
    <t>abs_665</t>
  </si>
  <si>
    <t>abs_745</t>
  </si>
  <si>
    <t>abs_750</t>
  </si>
  <si>
    <t>abs_755</t>
  </si>
  <si>
    <t>abs_760</t>
  </si>
  <si>
    <t>Spec_Sample_ID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</si>
</sst>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2">
          <cell r="B2" t="str">
            <v>100% or 0 Absorbance Baseline.Correction.Raw.csv</v>
          </cell>
          <cell r="C2">
            <v>-4.0200000000000001E-3</v>
          </cell>
          <cell r="D2">
            <v>-9.2300000000000004E-3</v>
          </cell>
          <cell r="E2">
            <v>-9.5149999999999992E-3</v>
          </cell>
          <cell r="F2">
            <v>-1.047E-2</v>
          </cell>
          <cell r="G2">
            <v>-1.0508E-2</v>
          </cell>
          <cell r="H2">
            <v>-2.0153999999999998E-2</v>
          </cell>
          <cell r="I2">
            <v>-2.1065E-2</v>
          </cell>
          <cell r="J2">
            <v>-2.2131000000000001E-2</v>
          </cell>
          <cell r="K2">
            <v>-2.3178000000000001E-2</v>
          </cell>
        </row>
        <row r="3">
          <cell r="B3" t="str">
            <v>BAAS_1_1_3</v>
          </cell>
          <cell r="C3">
            <v>4.1286000000000003E-2</v>
          </cell>
          <cell r="D3">
            <v>3.8135000000000002E-2</v>
          </cell>
          <cell r="E3">
            <v>3.6609000000000003E-2</v>
          </cell>
          <cell r="F3">
            <v>3.6898E-2</v>
          </cell>
          <cell r="G3">
            <v>3.6493999999999999E-2</v>
          </cell>
          <cell r="H3">
            <v>5.3046000000000003E-2</v>
          </cell>
          <cell r="I3">
            <v>4.8381E-2</v>
          </cell>
          <cell r="J3">
            <v>4.6084E-2</v>
          </cell>
          <cell r="K3">
            <v>4.5107000000000001E-2</v>
          </cell>
        </row>
        <row r="4">
          <cell r="B4" t="str">
            <v>BAAS_1_2_3</v>
          </cell>
          <cell r="C4">
            <v>4.1413999999999999E-2</v>
          </cell>
          <cell r="D4">
            <v>3.8163000000000002E-2</v>
          </cell>
          <cell r="E4">
            <v>3.6706000000000003E-2</v>
          </cell>
          <cell r="F4">
            <v>3.6708999999999999E-2</v>
          </cell>
          <cell r="G4">
            <v>3.6803000000000002E-2</v>
          </cell>
          <cell r="H4">
            <v>5.3172999999999998E-2</v>
          </cell>
          <cell r="I4">
            <v>4.8284000000000001E-2</v>
          </cell>
          <cell r="J4">
            <v>4.5845999999999998E-2</v>
          </cell>
          <cell r="K4">
            <v>4.4706000000000003E-2</v>
          </cell>
        </row>
        <row r="5">
          <cell r="B5" t="str">
            <v>BAAS_1_3_3</v>
          </cell>
          <cell r="C5">
            <v>4.1607999999999999E-2</v>
          </cell>
          <cell r="D5">
            <v>3.7926000000000001E-2</v>
          </cell>
          <cell r="E5">
            <v>3.6353999999999997E-2</v>
          </cell>
          <cell r="F5">
            <v>3.6963000000000003E-2</v>
          </cell>
          <cell r="G5">
            <v>3.6614000000000001E-2</v>
          </cell>
          <cell r="H5">
            <v>5.3130999999999998E-2</v>
          </cell>
          <cell r="I5">
            <v>4.8418000000000003E-2</v>
          </cell>
          <cell r="J5">
            <v>4.5955999999999997E-2</v>
          </cell>
          <cell r="K5">
            <v>4.4669E-2</v>
          </cell>
        </row>
        <row r="6">
          <cell r="B6" t="str">
            <v>BAAS_2_1_1</v>
          </cell>
          <cell r="C6">
            <v>3.9167E-2</v>
          </cell>
          <cell r="D6">
            <v>3.5742000000000003E-2</v>
          </cell>
          <cell r="E6">
            <v>3.4335999999999998E-2</v>
          </cell>
          <cell r="F6">
            <v>3.4729999999999997E-2</v>
          </cell>
          <cell r="G6">
            <v>3.4667000000000003E-2</v>
          </cell>
          <cell r="H6">
            <v>5.0971000000000002E-2</v>
          </cell>
          <cell r="I6">
            <v>4.6135000000000002E-2</v>
          </cell>
          <cell r="J6">
            <v>4.3727000000000002E-2</v>
          </cell>
          <cell r="K6">
            <v>4.2548000000000002E-2</v>
          </cell>
        </row>
        <row r="7">
          <cell r="B7" t="str">
            <v>BAAS_3_1_1</v>
          </cell>
          <cell r="C7">
            <v>3.9426000000000003E-2</v>
          </cell>
          <cell r="D7">
            <v>3.5875999999999998E-2</v>
          </cell>
          <cell r="E7">
            <v>3.4445999999999997E-2</v>
          </cell>
          <cell r="F7">
            <v>3.4854000000000003E-2</v>
          </cell>
          <cell r="G7">
            <v>3.4846000000000002E-2</v>
          </cell>
          <cell r="H7">
            <v>5.1110999999999997E-2</v>
          </cell>
          <cell r="I7">
            <v>4.6314000000000001E-2</v>
          </cell>
          <cell r="J7">
            <v>4.3895999999999998E-2</v>
          </cell>
          <cell r="K7">
            <v>4.2798000000000003E-2</v>
          </cell>
        </row>
        <row r="8">
          <cell r="B8" t="str">
            <v>GFC_1_1_3</v>
          </cell>
          <cell r="C8">
            <v>0.41356900000000002</v>
          </cell>
          <cell r="D8">
            <v>0.31436999999999998</v>
          </cell>
          <cell r="E8">
            <v>0.31313200000000002</v>
          </cell>
          <cell r="F8">
            <v>0.31149100000000002</v>
          </cell>
          <cell r="G8">
            <v>0.31138100000000002</v>
          </cell>
          <cell r="H8">
            <v>0.32336100000000001</v>
          </cell>
          <cell r="I8">
            <v>0.32576699999999997</v>
          </cell>
          <cell r="J8">
            <v>0.32851000000000002</v>
          </cell>
          <cell r="K8">
            <v>0.33131899999999997</v>
          </cell>
        </row>
        <row r="9">
          <cell r="B9" t="str">
            <v>GFC_1_2_3</v>
          </cell>
          <cell r="C9">
            <v>0.41374699999999998</v>
          </cell>
          <cell r="D9">
            <v>0.31430900000000001</v>
          </cell>
          <cell r="E9">
            <v>0.31305300000000003</v>
          </cell>
          <cell r="F9">
            <v>0.31146499999999999</v>
          </cell>
          <cell r="G9">
            <v>0.31134699999999998</v>
          </cell>
          <cell r="H9">
            <v>0.32336999999999999</v>
          </cell>
          <cell r="I9">
            <v>0.32575900000000002</v>
          </cell>
          <cell r="J9">
            <v>0.32849200000000001</v>
          </cell>
          <cell r="K9">
            <v>0.33124900000000002</v>
          </cell>
        </row>
        <row r="10">
          <cell r="B10" t="str">
            <v>GFC_1_3_3</v>
          </cell>
          <cell r="C10">
            <v>0.41383599999999998</v>
          </cell>
          <cell r="D10">
            <v>0.31425599999999998</v>
          </cell>
          <cell r="E10">
            <v>0.31305300000000003</v>
          </cell>
          <cell r="F10">
            <v>0.31142999999999998</v>
          </cell>
          <cell r="G10">
            <v>0.31138100000000002</v>
          </cell>
          <cell r="H10">
            <v>0.32338699999999998</v>
          </cell>
          <cell r="I10">
            <v>0.32579399999999997</v>
          </cell>
          <cell r="J10">
            <v>0.32851900000000001</v>
          </cell>
          <cell r="K10">
            <v>0.331293</v>
          </cell>
        </row>
        <row r="11">
          <cell r="B11" t="str">
            <v>GFC_2_1_1</v>
          </cell>
          <cell r="C11">
            <v>0.41513299999999997</v>
          </cell>
          <cell r="D11">
            <v>0.31575799999999998</v>
          </cell>
          <cell r="E11">
            <v>0.31452400000000003</v>
          </cell>
          <cell r="F11">
            <v>0.31293500000000002</v>
          </cell>
          <cell r="G11">
            <v>0.312782</v>
          </cell>
          <cell r="H11">
            <v>0.324795</v>
          </cell>
          <cell r="I11">
            <v>0.32724999999999999</v>
          </cell>
          <cell r="J11">
            <v>0.33010400000000001</v>
          </cell>
          <cell r="K11">
            <v>0.33287600000000001</v>
          </cell>
        </row>
        <row r="12">
          <cell r="B12" t="str">
            <v>GFC_3_1_1</v>
          </cell>
          <cell r="C12">
            <v>0.41490899999999997</v>
          </cell>
          <cell r="D12">
            <v>0.31573200000000001</v>
          </cell>
          <cell r="E12">
            <v>0.31455899999999998</v>
          </cell>
          <cell r="F12">
            <v>0.31302200000000002</v>
          </cell>
          <cell r="G12">
            <v>0.31286900000000001</v>
          </cell>
          <cell r="H12">
            <v>0.32488299999999998</v>
          </cell>
          <cell r="I12">
            <v>0.32731199999999999</v>
          </cell>
          <cell r="J12">
            <v>0.33007799999999998</v>
          </cell>
          <cell r="K12">
            <v>0.33288499999999999</v>
          </cell>
        </row>
        <row r="13">
          <cell r="B13" t="str">
            <v>KM 10_1_2</v>
          </cell>
          <cell r="C13">
            <v>2.609569</v>
          </cell>
          <cell r="D13">
            <v>0.76032500000000003</v>
          </cell>
          <cell r="E13">
            <v>1.477908</v>
          </cell>
          <cell r="F13">
            <v>2.5333480000000002</v>
          </cell>
          <cell r="G13">
            <v>2.526208</v>
          </cell>
          <cell r="H13">
            <v>5.0589000000000002E-2</v>
          </cell>
          <cell r="I13">
            <v>4.4985999999999998E-2</v>
          </cell>
          <cell r="J13">
            <v>4.2195999999999997E-2</v>
          </cell>
          <cell r="K13">
            <v>4.0816999999999999E-2</v>
          </cell>
        </row>
        <row r="14">
          <cell r="B14" t="str">
            <v>KM 10_1_2_D0.5</v>
          </cell>
          <cell r="C14">
            <v>2.0507439999999999</v>
          </cell>
          <cell r="D14">
            <v>0.376722</v>
          </cell>
          <cell r="E14">
            <v>0.68406100000000003</v>
          </cell>
          <cell r="F14">
            <v>1.80176</v>
          </cell>
          <cell r="G14">
            <v>1.7687120000000001</v>
          </cell>
          <cell r="H14">
            <v>5.6314000000000003E-2</v>
          </cell>
          <cell r="I14">
            <v>5.1621E-2</v>
          </cell>
          <cell r="J14">
            <v>4.9193000000000001E-2</v>
          </cell>
          <cell r="K14">
            <v>4.8684999999999999E-2</v>
          </cell>
        </row>
        <row r="15">
          <cell r="B15" t="str">
            <v>KM 10_2_2_Acid_D0.5</v>
          </cell>
          <cell r="C15">
            <v>2.4636909999999999</v>
          </cell>
          <cell r="D15">
            <v>0.19548199999999999</v>
          </cell>
          <cell r="E15">
            <v>0.42729200000000001</v>
          </cell>
          <cell r="F15">
            <v>1.102843</v>
          </cell>
          <cell r="G15">
            <v>1.1111249999999999</v>
          </cell>
          <cell r="H15">
            <v>5.8624000000000002E-2</v>
          </cell>
          <cell r="I15">
            <v>5.3839999999999999E-2</v>
          </cell>
          <cell r="J15">
            <v>5.1478000000000003E-2</v>
          </cell>
          <cell r="K15">
            <v>5.0105999999999998E-2</v>
          </cell>
        </row>
        <row r="16">
          <cell r="B16" t="str">
            <v>KM 11_1_2</v>
          </cell>
          <cell r="C16">
            <v>2.5840649999999998</v>
          </cell>
          <cell r="D16">
            <v>0.61787099999999995</v>
          </cell>
          <cell r="E16">
            <v>1.1665939999999999</v>
          </cell>
          <cell r="F16">
            <v>2.466402</v>
          </cell>
          <cell r="G16">
            <v>2.4494060000000002</v>
          </cell>
          <cell r="H16">
            <v>5.6008000000000002E-2</v>
          </cell>
          <cell r="I16">
            <v>5.0652999999999997E-2</v>
          </cell>
          <cell r="J16">
            <v>4.7900999999999999E-2</v>
          </cell>
          <cell r="K16">
            <v>4.6535E-2</v>
          </cell>
        </row>
        <row r="17">
          <cell r="B17" t="str">
            <v>KM 11_1_2_D0.5</v>
          </cell>
          <cell r="C17">
            <v>1.880822</v>
          </cell>
          <cell r="D17">
            <v>0.32481500000000002</v>
          </cell>
          <cell r="E17">
            <v>0.59317399999999998</v>
          </cell>
          <cell r="F17">
            <v>1.5808789999999999</v>
          </cell>
          <cell r="G17">
            <v>1.5494600000000001</v>
          </cell>
          <cell r="H17">
            <v>5.5890000000000002E-2</v>
          </cell>
          <cell r="I17">
            <v>4.9454999999999999E-2</v>
          </cell>
          <cell r="J17">
            <v>4.6709000000000001E-2</v>
          </cell>
          <cell r="K17">
            <v>4.5203E-2</v>
          </cell>
        </row>
        <row r="18">
          <cell r="B18" t="str">
            <v>KM 11_2_2_Acid_D0.5</v>
          </cell>
          <cell r="C18">
            <v>2.3695430000000002</v>
          </cell>
          <cell r="D18">
            <v>0.17266500000000001</v>
          </cell>
          <cell r="E18">
            <v>0.37128499999999998</v>
          </cell>
          <cell r="F18">
            <v>0.95947099999999996</v>
          </cell>
          <cell r="G18">
            <v>0.96636</v>
          </cell>
          <cell r="H18">
            <v>5.7107999999999999E-2</v>
          </cell>
          <cell r="I18">
            <v>5.2218000000000001E-2</v>
          </cell>
          <cell r="J18">
            <v>4.9688000000000003E-2</v>
          </cell>
          <cell r="K18">
            <v>4.8238999999999997E-2</v>
          </cell>
        </row>
        <row r="19">
          <cell r="B19" t="str">
            <v>KM 12_1_2</v>
          </cell>
          <cell r="C19">
            <v>2.5002300000000002</v>
          </cell>
          <cell r="D19">
            <v>0.54726600000000003</v>
          </cell>
          <cell r="E19">
            <v>1.0039480000000001</v>
          </cell>
          <cell r="F19">
            <v>2.3553310000000001</v>
          </cell>
          <cell r="G19">
            <v>2.3338139999999998</v>
          </cell>
          <cell r="H19">
            <v>5.5337999999999998E-2</v>
          </cell>
          <cell r="I19">
            <v>5.0383999999999998E-2</v>
          </cell>
          <cell r="J19">
            <v>4.7835999999999997E-2</v>
          </cell>
          <cell r="K19">
            <v>4.6530000000000002E-2</v>
          </cell>
        </row>
        <row r="20">
          <cell r="B20" t="str">
            <v>KM 12_1_2_D0.5</v>
          </cell>
          <cell r="C20">
            <v>1.691208</v>
          </cell>
          <cell r="D20">
            <v>0.29850300000000002</v>
          </cell>
          <cell r="E20">
            <v>0.54425100000000004</v>
          </cell>
          <cell r="F20">
            <v>1.4539260000000001</v>
          </cell>
          <cell r="G20">
            <v>1.4227970000000001</v>
          </cell>
          <cell r="H20">
            <v>5.2970999999999997E-2</v>
          </cell>
          <cell r="I20">
            <v>4.8201000000000001E-2</v>
          </cell>
          <cell r="J20">
            <v>4.5364000000000002E-2</v>
          </cell>
          <cell r="K20">
            <v>4.3688999999999999E-2</v>
          </cell>
        </row>
        <row r="21">
          <cell r="B21" t="str">
            <v>KM 12_2_2_Acid_D0.5</v>
          </cell>
          <cell r="C21">
            <v>2.227319</v>
          </cell>
          <cell r="D21">
            <v>0.15953999999999999</v>
          </cell>
          <cell r="E21">
            <v>0.34127800000000003</v>
          </cell>
          <cell r="F21">
            <v>0.87587800000000005</v>
          </cell>
          <cell r="G21">
            <v>0.88282000000000005</v>
          </cell>
          <cell r="H21">
            <v>5.5884999999999997E-2</v>
          </cell>
          <cell r="I21">
            <v>5.1015999999999999E-2</v>
          </cell>
          <cell r="J21">
            <v>4.8462999999999999E-2</v>
          </cell>
          <cell r="K21">
            <v>4.7035E-2</v>
          </cell>
        </row>
        <row r="22">
          <cell r="B22" t="str">
            <v>KM 13_1_2</v>
          </cell>
          <cell r="C22">
            <v>1.945594</v>
          </cell>
          <cell r="D22">
            <v>0.33917000000000003</v>
          </cell>
          <cell r="E22">
            <v>0.62937600000000005</v>
          </cell>
          <cell r="F22">
            <v>1.672212</v>
          </cell>
          <cell r="G22">
            <v>1.6359429999999999</v>
          </cell>
          <cell r="H22">
            <v>5.1166999999999997E-2</v>
          </cell>
          <cell r="I22">
            <v>4.5716E-2</v>
          </cell>
          <cell r="J22">
            <v>4.3083999999999997E-2</v>
          </cell>
          <cell r="K22">
            <v>4.1898999999999999E-2</v>
          </cell>
        </row>
        <row r="23">
          <cell r="B23" t="str">
            <v>KM 13_2_2_Acid</v>
          </cell>
          <cell r="C23">
            <v>2.40523</v>
          </cell>
          <cell r="D23">
            <v>0.17633199999999999</v>
          </cell>
          <cell r="E23">
            <v>0.38691700000000001</v>
          </cell>
          <cell r="F23">
            <v>1.006578</v>
          </cell>
          <cell r="G23">
            <v>1.0143899999999999</v>
          </cell>
          <cell r="H23">
            <v>5.389E-2</v>
          </cell>
          <cell r="I23">
            <v>4.9001000000000003E-2</v>
          </cell>
          <cell r="J23">
            <v>4.6478999999999999E-2</v>
          </cell>
          <cell r="K23">
            <v>4.5121000000000001E-2</v>
          </cell>
        </row>
        <row r="24">
          <cell r="B24" t="str">
            <v>KM 14_1_2</v>
          </cell>
          <cell r="C24">
            <v>0.44203700000000001</v>
          </cell>
          <cell r="D24">
            <v>0.103191</v>
          </cell>
          <cell r="E24">
            <v>0.15837899999999999</v>
          </cell>
          <cell r="F24">
            <v>0.392202</v>
          </cell>
          <cell r="G24">
            <v>0.38660699999999998</v>
          </cell>
          <cell r="H24">
            <v>5.3763999999999999E-2</v>
          </cell>
          <cell r="I24">
            <v>4.9482999999999999E-2</v>
          </cell>
          <cell r="J24">
            <v>4.7376000000000001E-2</v>
          </cell>
          <cell r="K24">
            <v>4.6246000000000002E-2</v>
          </cell>
        </row>
        <row r="25">
          <cell r="B25" t="str">
            <v>KM 14_2_2_Acid</v>
          </cell>
          <cell r="C25">
            <v>0.62078</v>
          </cell>
          <cell r="D25">
            <v>6.9196999999999995E-2</v>
          </cell>
          <cell r="E25">
            <v>0.112718</v>
          </cell>
          <cell r="F25">
            <v>0.24321000000000001</v>
          </cell>
          <cell r="G25">
            <v>0.24490600000000001</v>
          </cell>
          <cell r="H25">
            <v>5.7433999999999999E-2</v>
          </cell>
          <cell r="I25">
            <v>5.3452E-2</v>
          </cell>
          <cell r="J25">
            <v>5.1496E-2</v>
          </cell>
          <cell r="K25">
            <v>5.042E-2</v>
          </cell>
        </row>
        <row r="26">
          <cell r="B26" t="str">
            <v>KM 15_1_2</v>
          </cell>
          <cell r="C26">
            <v>0.21751699999999999</v>
          </cell>
          <cell r="D26">
            <v>6.1703000000000001E-2</v>
          </cell>
          <cell r="E26">
            <v>8.7240999999999999E-2</v>
          </cell>
          <cell r="F26">
            <v>0.18526400000000001</v>
          </cell>
          <cell r="G26">
            <v>0.18113299999999999</v>
          </cell>
          <cell r="H26">
            <v>4.8113000000000003E-2</v>
          </cell>
          <cell r="I26">
            <v>4.2825000000000002E-2</v>
          </cell>
          <cell r="J26">
            <v>4.0212999999999999E-2</v>
          </cell>
          <cell r="K26">
            <v>3.8983999999999998E-2</v>
          </cell>
        </row>
        <row r="27">
          <cell r="B27" t="str">
            <v>KM 15_2_2_Acid</v>
          </cell>
          <cell r="C27">
            <v>0.30038500000000001</v>
          </cell>
          <cell r="D27">
            <v>5.1291999999999997E-2</v>
          </cell>
          <cell r="E27">
            <v>6.8595000000000003E-2</v>
          </cell>
          <cell r="F27">
            <v>0.125357</v>
          </cell>
          <cell r="G27">
            <v>0.12601799999999999</v>
          </cell>
          <cell r="H27">
            <v>5.3580999999999997E-2</v>
          </cell>
          <cell r="I27">
            <v>4.8648999999999998E-2</v>
          </cell>
          <cell r="J27">
            <v>4.6167E-2</v>
          </cell>
          <cell r="K27">
            <v>4.4937999999999999E-2</v>
          </cell>
        </row>
        <row r="28">
          <cell r="B28" t="str">
            <v>KM 16_1_2</v>
          </cell>
          <cell r="C28">
            <v>0.11642</v>
          </cell>
          <cell r="D28">
            <v>4.8821000000000003E-2</v>
          </cell>
          <cell r="E28">
            <v>5.7401000000000001E-2</v>
          </cell>
          <cell r="F28">
            <v>9.8629999999999995E-2</v>
          </cell>
          <cell r="G28">
            <v>9.7605999999999998E-2</v>
          </cell>
          <cell r="H28">
            <v>5.4885999999999997E-2</v>
          </cell>
          <cell r="I28">
            <v>5.0480999999999998E-2</v>
          </cell>
          <cell r="J28">
            <v>4.8379999999999999E-2</v>
          </cell>
          <cell r="K28">
            <v>4.7287000000000003E-2</v>
          </cell>
        </row>
        <row r="29">
          <cell r="B29" t="str">
            <v>KM 16_2_2_Acid</v>
          </cell>
          <cell r="C29">
            <v>0.14438400000000001</v>
          </cell>
          <cell r="D29">
            <v>4.1116E-2</v>
          </cell>
          <cell r="E29">
            <v>4.7670999999999998E-2</v>
          </cell>
          <cell r="F29">
            <v>7.0786000000000002E-2</v>
          </cell>
          <cell r="G29">
            <v>7.1068000000000006E-2</v>
          </cell>
          <cell r="H29">
            <v>5.4857999999999997E-2</v>
          </cell>
          <cell r="I29">
            <v>5.0764999999999998E-2</v>
          </cell>
          <cell r="J29">
            <v>4.8772999999999997E-2</v>
          </cell>
          <cell r="K29">
            <v>4.7718999999999998E-2</v>
          </cell>
        </row>
        <row r="30">
          <cell r="B30" t="str">
            <v>KM 17_1_2</v>
          </cell>
          <cell r="C30">
            <v>8.6556999999999995E-2</v>
          </cell>
          <cell r="D30">
            <v>4.1869000000000003E-2</v>
          </cell>
          <cell r="E30">
            <v>4.5982000000000002E-2</v>
          </cell>
          <cell r="F30">
            <v>6.8983000000000003E-2</v>
          </cell>
          <cell r="G30">
            <v>6.8285999999999999E-2</v>
          </cell>
          <cell r="H30">
            <v>5.0798999999999997E-2</v>
          </cell>
          <cell r="I30">
            <v>4.6056E-2</v>
          </cell>
          <cell r="J30">
            <v>4.3672000000000002E-2</v>
          </cell>
          <cell r="K30">
            <v>4.2525E-2</v>
          </cell>
        </row>
        <row r="31">
          <cell r="B31" t="str">
            <v>KM 17_2_2_Acid</v>
          </cell>
          <cell r="C31">
            <v>0.104309</v>
          </cell>
          <cell r="D31">
            <v>4.0531999999999999E-2</v>
          </cell>
          <cell r="E31">
            <v>4.3246E-2</v>
          </cell>
          <cell r="F31">
            <v>5.6131E-2</v>
          </cell>
          <cell r="G31">
            <v>5.6279999999999997E-2</v>
          </cell>
          <cell r="H31">
            <v>5.4571000000000001E-2</v>
          </cell>
          <cell r="I31">
            <v>5.0207000000000002E-2</v>
          </cell>
          <cell r="J31">
            <v>4.8010999999999998E-2</v>
          </cell>
          <cell r="K31">
            <v>4.6878999999999997E-2</v>
          </cell>
        </row>
        <row r="32">
          <cell r="B32" t="str">
            <v>KM 18_1_2</v>
          </cell>
          <cell r="C32">
            <v>0.27655200000000002</v>
          </cell>
          <cell r="D32">
            <v>7.6400999999999997E-2</v>
          </cell>
          <cell r="E32">
            <v>0.106903</v>
          </cell>
          <cell r="F32">
            <v>0.23805999999999999</v>
          </cell>
          <cell r="G32">
            <v>0.23474400000000001</v>
          </cell>
          <cell r="H32">
            <v>5.6262E-2</v>
          </cell>
          <cell r="I32">
            <v>5.1859000000000002E-2</v>
          </cell>
          <cell r="J32">
            <v>4.9651000000000001E-2</v>
          </cell>
          <cell r="K32">
            <v>4.8561E-2</v>
          </cell>
        </row>
        <row r="33">
          <cell r="B33" t="str">
            <v>KM 18_2_2_Acid</v>
          </cell>
          <cell r="C33">
            <v>0.36952299999999999</v>
          </cell>
          <cell r="D33">
            <v>5.3700999999999999E-2</v>
          </cell>
          <cell r="E33">
            <v>7.7102000000000004E-2</v>
          </cell>
          <cell r="F33">
            <v>0.14973600000000001</v>
          </cell>
          <cell r="G33">
            <v>0.15063699999999999</v>
          </cell>
          <cell r="H33">
            <v>5.5084000000000001E-2</v>
          </cell>
          <cell r="I33">
            <v>5.0886000000000001E-2</v>
          </cell>
          <cell r="J33">
            <v>4.8836999999999998E-2</v>
          </cell>
          <cell r="K33">
            <v>4.7737000000000002E-2</v>
          </cell>
        </row>
        <row r="34">
          <cell r="B34" t="str">
            <v>KM 1_1_2</v>
          </cell>
          <cell r="C34">
            <v>0.91263499999999997</v>
          </cell>
          <cell r="D34">
            <v>0.17241200000000001</v>
          </cell>
          <cell r="E34">
            <v>0.30964199999999997</v>
          </cell>
          <cell r="F34">
            <v>0.80730100000000005</v>
          </cell>
          <cell r="G34">
            <v>0.78636300000000003</v>
          </cell>
          <cell r="H34">
            <v>5.0282E-2</v>
          </cell>
          <cell r="I34">
            <v>4.4902999999999998E-2</v>
          </cell>
          <cell r="J34">
            <v>4.2283000000000001E-2</v>
          </cell>
          <cell r="K34">
            <v>4.1174000000000002E-2</v>
          </cell>
        </row>
        <row r="35">
          <cell r="B35" t="str">
            <v>KM 1_2_2</v>
          </cell>
          <cell r="C35">
            <v>1.3162240000000001</v>
          </cell>
          <cell r="D35">
            <v>9.9219000000000002E-2</v>
          </cell>
          <cell r="E35">
            <v>0.19245200000000001</v>
          </cell>
          <cell r="F35">
            <v>0.48431099999999999</v>
          </cell>
          <cell r="G35">
            <v>0.48786800000000002</v>
          </cell>
          <cell r="H35">
            <v>5.2727999999999997E-2</v>
          </cell>
          <cell r="I35">
            <v>4.7702000000000001E-2</v>
          </cell>
          <cell r="J35">
            <v>4.5102999999999997E-2</v>
          </cell>
          <cell r="K35">
            <v>4.3811999999999997E-2</v>
          </cell>
        </row>
        <row r="36">
          <cell r="B36" t="str">
            <v>KM 2_1_2</v>
          </cell>
          <cell r="C36">
            <v>0.80330699999999999</v>
          </cell>
          <cell r="D36">
            <v>0.16561100000000001</v>
          </cell>
          <cell r="E36">
            <v>0.271646</v>
          </cell>
          <cell r="F36">
            <v>0.70909199999999994</v>
          </cell>
          <cell r="G36">
            <v>0.69839399999999996</v>
          </cell>
          <cell r="H36">
            <v>5.8733E-2</v>
          </cell>
          <cell r="I36">
            <v>5.4359999999999999E-2</v>
          </cell>
          <cell r="J36">
            <v>5.2171000000000002E-2</v>
          </cell>
          <cell r="K36">
            <v>5.1049999999999998E-2</v>
          </cell>
        </row>
        <row r="37">
          <cell r="B37" t="str">
            <v>KM 2_2_2</v>
          </cell>
          <cell r="C37">
            <v>1.1372009999999999</v>
          </cell>
          <cell r="D37">
            <v>9.7609000000000001E-2</v>
          </cell>
          <cell r="E37">
            <v>0.181893</v>
          </cell>
          <cell r="F37">
            <v>0.42891800000000002</v>
          </cell>
          <cell r="G37">
            <v>0.43194900000000003</v>
          </cell>
          <cell r="H37">
            <v>5.8841999999999998E-2</v>
          </cell>
          <cell r="I37">
            <v>5.4664999999999998E-2</v>
          </cell>
          <cell r="J37">
            <v>5.2557E-2</v>
          </cell>
          <cell r="K37">
            <v>5.1434000000000001E-2</v>
          </cell>
        </row>
        <row r="38">
          <cell r="B38" t="str">
            <v>KM 3_1_2</v>
          </cell>
          <cell r="C38">
            <v>2.0610210000000002</v>
          </cell>
          <cell r="D38">
            <v>0.36201299999999997</v>
          </cell>
          <cell r="E38">
            <v>0.70627499999999999</v>
          </cell>
          <cell r="F38">
            <v>1.831493</v>
          </cell>
          <cell r="G38">
            <v>1.7846820000000001</v>
          </cell>
          <cell r="H38">
            <v>4.7364000000000003E-2</v>
          </cell>
          <cell r="I38">
            <v>4.1771999999999997E-2</v>
          </cell>
          <cell r="J38">
            <v>3.8979E-2</v>
          </cell>
          <cell r="K38">
            <v>3.7769999999999998E-2</v>
          </cell>
        </row>
        <row r="39">
          <cell r="B39" t="str">
            <v>KM 3_2_2</v>
          </cell>
          <cell r="C39">
            <v>2.4725410000000001</v>
          </cell>
          <cell r="D39">
            <v>0.18385599999999999</v>
          </cell>
          <cell r="E39">
            <v>0.41389700000000001</v>
          </cell>
          <cell r="F39">
            <v>1.122852</v>
          </cell>
          <cell r="G39">
            <v>1.1309530000000001</v>
          </cell>
          <cell r="H39">
            <v>5.1306999999999998E-2</v>
          </cell>
          <cell r="I39">
            <v>4.6001E-2</v>
          </cell>
          <cell r="J39">
            <v>4.3256999999999997E-2</v>
          </cell>
          <cell r="K39">
            <v>4.1848999999999997E-2</v>
          </cell>
        </row>
        <row r="40">
          <cell r="B40" t="str">
            <v>KM 4_1_2</v>
          </cell>
          <cell r="C40">
            <v>1.738966</v>
          </cell>
          <cell r="D40">
            <v>0.30969600000000003</v>
          </cell>
          <cell r="E40">
            <v>0.56656499999999999</v>
          </cell>
          <cell r="F40">
            <v>1.517849</v>
          </cell>
          <cell r="G40">
            <v>1.487152</v>
          </cell>
          <cell r="H40">
            <v>5.1451999999999998E-2</v>
          </cell>
          <cell r="I40">
            <v>4.6448000000000003E-2</v>
          </cell>
          <cell r="J40">
            <v>4.3914000000000002E-2</v>
          </cell>
          <cell r="K40">
            <v>4.2720000000000001E-2</v>
          </cell>
        </row>
        <row r="41">
          <cell r="B41" t="str">
            <v>KM 4_2_2</v>
          </cell>
          <cell r="C41">
            <v>2.2700209999999998</v>
          </cell>
          <cell r="D41">
            <v>0.163301</v>
          </cell>
          <cell r="E41">
            <v>0.35447200000000001</v>
          </cell>
          <cell r="F41">
            <v>0.91158399999999995</v>
          </cell>
          <cell r="G41">
            <v>0.91887600000000003</v>
          </cell>
          <cell r="H41">
            <v>5.3754000000000003E-2</v>
          </cell>
          <cell r="I41">
            <v>4.8954999999999999E-2</v>
          </cell>
          <cell r="J41">
            <v>4.6478999999999999E-2</v>
          </cell>
          <cell r="K41">
            <v>4.5176000000000001E-2</v>
          </cell>
        </row>
        <row r="42">
          <cell r="B42" t="str">
            <v>KM 5_1_2</v>
          </cell>
          <cell r="C42">
            <v>1.710658</v>
          </cell>
          <cell r="D42">
            <v>0.300792</v>
          </cell>
          <cell r="E42">
            <v>0.553392</v>
          </cell>
          <cell r="F42">
            <v>1.476952</v>
          </cell>
          <cell r="G42">
            <v>1.4457230000000001</v>
          </cell>
          <cell r="H42">
            <v>5.1021999999999998E-2</v>
          </cell>
          <cell r="I42">
            <v>4.5877000000000001E-2</v>
          </cell>
          <cell r="J42">
            <v>4.3289000000000001E-2</v>
          </cell>
          <cell r="K42">
            <v>4.2012000000000001E-2</v>
          </cell>
        </row>
        <row r="43">
          <cell r="B43" t="str">
            <v>KM 5_2_2</v>
          </cell>
          <cell r="C43">
            <v>2.2398440000000002</v>
          </cell>
          <cell r="D43">
            <v>0.15949099999999999</v>
          </cell>
          <cell r="E43">
            <v>0.34342699999999998</v>
          </cell>
          <cell r="F43">
            <v>0.88203799999999999</v>
          </cell>
          <cell r="G43">
            <v>0.88901399999999997</v>
          </cell>
          <cell r="H43">
            <v>5.5267999999999998E-2</v>
          </cell>
          <cell r="I43">
            <v>5.0452999999999998E-2</v>
          </cell>
          <cell r="J43">
            <v>4.7969999999999999E-2</v>
          </cell>
          <cell r="K43">
            <v>4.6644999999999999E-2</v>
          </cell>
        </row>
        <row r="44">
          <cell r="B44" t="str">
            <v>KM 6_1_2</v>
          </cell>
          <cell r="C44">
            <v>2.4699939999999998</v>
          </cell>
          <cell r="D44">
            <v>0.516567</v>
          </cell>
          <cell r="E44">
            <v>0.93160200000000004</v>
          </cell>
          <cell r="F44">
            <v>2.278076</v>
          </cell>
          <cell r="G44">
            <v>2.255395</v>
          </cell>
          <cell r="H44">
            <v>5.6598000000000002E-2</v>
          </cell>
          <cell r="I44">
            <v>5.1695999999999999E-2</v>
          </cell>
          <cell r="J44">
            <v>4.9096000000000001E-2</v>
          </cell>
          <cell r="K44">
            <v>4.7746999999999998E-2</v>
          </cell>
        </row>
        <row r="45">
          <cell r="B45" t="str">
            <v>KM 6_1_2_D0.5</v>
          </cell>
          <cell r="C45">
            <v>1.616452</v>
          </cell>
          <cell r="D45">
            <v>0.28323700000000002</v>
          </cell>
          <cell r="E45">
            <v>0.50890800000000003</v>
          </cell>
          <cell r="F45">
            <v>1.3563890000000001</v>
          </cell>
          <cell r="G45">
            <v>1.329086</v>
          </cell>
          <cell r="H45">
            <v>5.4241999999999999E-2</v>
          </cell>
          <cell r="I45">
            <v>4.9576000000000002E-2</v>
          </cell>
          <cell r="J45">
            <v>4.6947999999999997E-2</v>
          </cell>
          <cell r="K45">
            <v>4.5852999999999998E-2</v>
          </cell>
        </row>
        <row r="46">
          <cell r="B46" t="str">
            <v>KM 6_2_2_Acid_D0.5</v>
          </cell>
          <cell r="C46">
            <v>2.158922</v>
          </cell>
          <cell r="D46">
            <v>0.15456</v>
          </cell>
          <cell r="E46">
            <v>0.32355800000000001</v>
          </cell>
          <cell r="F46">
            <v>0.81737300000000002</v>
          </cell>
          <cell r="G46">
            <v>0.82414500000000002</v>
          </cell>
          <cell r="H46">
            <v>5.9607E-2</v>
          </cell>
          <cell r="I46">
            <v>5.4650999999999998E-2</v>
          </cell>
          <cell r="J46">
            <v>5.2059000000000001E-2</v>
          </cell>
          <cell r="K46">
            <v>5.0712E-2</v>
          </cell>
        </row>
        <row r="47">
          <cell r="B47" t="str">
            <v>KM 7_1_2</v>
          </cell>
          <cell r="C47">
            <v>0.58557000000000003</v>
          </cell>
          <cell r="D47">
            <v>0.12027</v>
          </cell>
          <cell r="E47">
            <v>0.19428200000000001</v>
          </cell>
          <cell r="F47">
            <v>0.47687499999999999</v>
          </cell>
          <cell r="G47">
            <v>0.46698600000000001</v>
          </cell>
          <cell r="H47">
            <v>5.6498E-2</v>
          </cell>
          <cell r="I47">
            <v>5.1267E-2</v>
          </cell>
          <cell r="J47">
            <v>4.8670999999999999E-2</v>
          </cell>
          <cell r="K47">
            <v>4.7433999999999997E-2</v>
          </cell>
        </row>
        <row r="48">
          <cell r="B48" t="str">
            <v>KM 7_2_2</v>
          </cell>
          <cell r="C48">
            <v>0.810145</v>
          </cell>
          <cell r="D48">
            <v>7.4353000000000002E-2</v>
          </cell>
          <cell r="E48">
            <v>0.127719</v>
          </cell>
          <cell r="F48">
            <v>0.28836200000000001</v>
          </cell>
          <cell r="G48">
            <v>0.29047299999999998</v>
          </cell>
          <cell r="H48">
            <v>5.4871999999999997E-2</v>
          </cell>
          <cell r="I48">
            <v>5.0183999999999999E-2</v>
          </cell>
          <cell r="J48">
            <v>4.7799000000000001E-2</v>
          </cell>
          <cell r="K48">
            <v>4.6561999999999999E-2</v>
          </cell>
        </row>
        <row r="49">
          <cell r="B49" t="str">
            <v>KM 8_1_2</v>
          </cell>
          <cell r="C49">
            <v>2.451352</v>
          </cell>
          <cell r="D49">
            <v>0.49777399999999999</v>
          </cell>
          <cell r="E49">
            <v>0.920458</v>
          </cell>
          <cell r="F49">
            <v>2.2584209999999998</v>
          </cell>
          <cell r="G49">
            <v>2.2301899999999999</v>
          </cell>
          <cell r="H49">
            <v>5.3673999999999999E-2</v>
          </cell>
          <cell r="I49">
            <v>4.8673000000000001E-2</v>
          </cell>
          <cell r="J49">
            <v>4.6052000000000003E-2</v>
          </cell>
          <cell r="K49">
            <v>4.4783000000000003E-2</v>
          </cell>
        </row>
        <row r="50">
          <cell r="B50" t="str">
            <v>KM 8_1_2_D0.5</v>
          </cell>
          <cell r="C50">
            <v>1.5635840000000001</v>
          </cell>
          <cell r="D50">
            <v>0.27346300000000001</v>
          </cell>
          <cell r="E50">
            <v>0.49299199999999999</v>
          </cell>
          <cell r="F50">
            <v>1.312195</v>
          </cell>
          <cell r="G50">
            <v>1.285086</v>
          </cell>
          <cell r="H50">
            <v>5.7643E-2</v>
          </cell>
          <cell r="I50">
            <v>5.1663000000000001E-2</v>
          </cell>
          <cell r="J50">
            <v>4.8975999999999999E-2</v>
          </cell>
          <cell r="K50">
            <v>4.7856999999999997E-2</v>
          </cell>
        </row>
        <row r="51">
          <cell r="B51" t="str">
            <v>KM 8_2_2_Acid_D0.5</v>
          </cell>
          <cell r="C51">
            <v>2.1063930000000002</v>
          </cell>
          <cell r="D51">
            <v>0.146902</v>
          </cell>
          <cell r="E51">
            <v>0.309062</v>
          </cell>
          <cell r="F51">
            <v>0.78728500000000001</v>
          </cell>
          <cell r="G51">
            <v>0.79336600000000002</v>
          </cell>
          <cell r="H51">
            <v>5.5573999999999998E-2</v>
          </cell>
          <cell r="I51">
            <v>5.0680999999999997E-2</v>
          </cell>
          <cell r="J51">
            <v>4.8210000000000003E-2</v>
          </cell>
          <cell r="K51">
            <v>4.6887999999999999E-2</v>
          </cell>
        </row>
        <row r="52">
          <cell r="B52" t="str">
            <v>KM 9_1_2</v>
          </cell>
          <cell r="C52">
            <v>2.507091</v>
          </cell>
          <cell r="D52">
            <v>0.54861800000000005</v>
          </cell>
          <cell r="E52">
            <v>0.98090299999999997</v>
          </cell>
          <cell r="F52">
            <v>2.345828</v>
          </cell>
          <cell r="G52">
            <v>2.328363</v>
          </cell>
          <cell r="H52">
            <v>5.4420999999999997E-2</v>
          </cell>
          <cell r="I52">
            <v>4.9807999999999998E-2</v>
          </cell>
          <cell r="J52">
            <v>4.7384999999999997E-2</v>
          </cell>
          <cell r="K52">
            <v>4.6168000000000001E-2</v>
          </cell>
        </row>
        <row r="53">
          <cell r="B53" t="str">
            <v>KM 9_1_2_D0.5</v>
          </cell>
          <cell r="C53">
            <v>1.7326429999999999</v>
          </cell>
          <cell r="D53">
            <v>0.30052000000000001</v>
          </cell>
          <cell r="E53">
            <v>0.54224700000000003</v>
          </cell>
          <cell r="F53">
            <v>1.461344</v>
          </cell>
          <cell r="G53">
            <v>1.4323269999999999</v>
          </cell>
          <cell r="H53">
            <v>5.2433E-2</v>
          </cell>
          <cell r="I53">
            <v>4.7536000000000002E-2</v>
          </cell>
          <cell r="J53">
            <v>4.5235999999999998E-2</v>
          </cell>
          <cell r="K53">
            <v>4.4391E-2</v>
          </cell>
        </row>
        <row r="54">
          <cell r="B54" t="str">
            <v>KM 9_2_2_Acid_D0.5</v>
          </cell>
          <cell r="C54">
            <v>2.2620809999999998</v>
          </cell>
          <cell r="D54">
            <v>0.160493</v>
          </cell>
          <cell r="E54">
            <v>0.34259400000000001</v>
          </cell>
          <cell r="F54">
            <v>0.88142500000000001</v>
          </cell>
          <cell r="G54">
            <v>0.88793100000000003</v>
          </cell>
          <cell r="H54">
            <v>5.6087999999999999E-2</v>
          </cell>
          <cell r="I54">
            <v>5.1229999999999998E-2</v>
          </cell>
          <cell r="J54">
            <v>4.8819000000000001E-2</v>
          </cell>
          <cell r="K54">
            <v>4.7397000000000002E-2</v>
          </cell>
        </row>
        <row r="55">
          <cell r="B55" t="str">
            <v>KM Blank_1_2</v>
          </cell>
          <cell r="C55">
            <v>4.7788999999999998E-2</v>
          </cell>
          <cell r="D55">
            <v>3.5096000000000002E-2</v>
          </cell>
          <cell r="E55">
            <v>3.3343999999999999E-2</v>
          </cell>
          <cell r="F55">
            <v>3.3683999999999999E-2</v>
          </cell>
          <cell r="G55">
            <v>3.3634999999999998E-2</v>
          </cell>
          <cell r="H55">
            <v>5.0249000000000002E-2</v>
          </cell>
          <cell r="I55">
            <v>4.5540999999999998E-2</v>
          </cell>
          <cell r="J55">
            <v>4.3193000000000002E-2</v>
          </cell>
          <cell r="K55">
            <v>4.2016999999999999E-2</v>
          </cell>
        </row>
        <row r="56">
          <cell r="B56" t="str">
            <v>KM Blank_2_2_Acid</v>
          </cell>
          <cell r="C56">
            <v>4.7073999999999998E-2</v>
          </cell>
          <cell r="D56">
            <v>3.5986999999999998E-2</v>
          </cell>
          <cell r="E56">
            <v>3.4293999999999998E-2</v>
          </cell>
          <cell r="F56">
            <v>3.4735000000000002E-2</v>
          </cell>
          <cell r="G56">
            <v>3.4680999999999997E-2</v>
          </cell>
          <cell r="H56">
            <v>5.2783999999999998E-2</v>
          </cell>
          <cell r="I56">
            <v>4.8437000000000001E-2</v>
          </cell>
          <cell r="J56">
            <v>4.6259000000000002E-2</v>
          </cell>
          <cell r="K56">
            <v>4.5130000000000003E-2</v>
          </cell>
        </row>
        <row r="57">
          <cell r="B57" t="str">
            <v>KM LRB_1_2</v>
          </cell>
          <cell r="C57">
            <v>5.6801999999999998E-2</v>
          </cell>
          <cell r="D57">
            <v>3.9310999999999999E-2</v>
          </cell>
          <cell r="E57">
            <v>3.7872000000000003E-2</v>
          </cell>
          <cell r="F57">
            <v>3.841E-2</v>
          </cell>
          <cell r="G57">
            <v>3.8356000000000001E-2</v>
          </cell>
          <cell r="H57">
            <v>5.1679999999999997E-2</v>
          </cell>
          <cell r="I57">
            <v>4.6448000000000003E-2</v>
          </cell>
          <cell r="J57">
            <v>4.3804999999999997E-2</v>
          </cell>
          <cell r="K57">
            <v>4.2597999999999997E-2</v>
          </cell>
        </row>
        <row r="58">
          <cell r="B58" t="str">
            <v>KM LRB_2_2_Acid</v>
          </cell>
          <cell r="C58">
            <v>5.2463999999999997E-2</v>
          </cell>
          <cell r="D58">
            <v>3.7157000000000003E-2</v>
          </cell>
          <cell r="E58">
            <v>3.5730999999999999E-2</v>
          </cell>
          <cell r="F58">
            <v>3.6179000000000003E-2</v>
          </cell>
          <cell r="G58">
            <v>3.6143000000000002E-2</v>
          </cell>
          <cell r="H58">
            <v>5.1461E-2</v>
          </cell>
          <cell r="I58">
            <v>4.6563E-2</v>
          </cell>
          <cell r="J58">
            <v>4.4041999999999998E-2</v>
          </cell>
          <cell r="K58">
            <v>4.2819999999999997E-2</v>
          </cell>
        </row>
        <row r="59">
          <cell r="B59" t="str">
            <v>QCS_1_1_3</v>
          </cell>
          <cell r="C59">
            <v>0.58748</v>
          </cell>
          <cell r="D59">
            <v>0.15534899999999999</v>
          </cell>
          <cell r="E59">
            <v>0.23278399999999999</v>
          </cell>
          <cell r="F59">
            <v>0.81845999999999997</v>
          </cell>
          <cell r="G59">
            <v>0.80169000000000001</v>
          </cell>
          <cell r="H59">
            <v>5.3012999999999998E-2</v>
          </cell>
          <cell r="I59">
            <v>4.7808000000000003E-2</v>
          </cell>
          <cell r="J59">
            <v>4.5758E-2</v>
          </cell>
          <cell r="K59">
            <v>4.4318000000000003E-2</v>
          </cell>
        </row>
        <row r="60">
          <cell r="B60" t="str">
            <v>QCS_1_2_3</v>
          </cell>
          <cell r="C60">
            <v>0.58668100000000001</v>
          </cell>
          <cell r="D60">
            <v>0.15526400000000001</v>
          </cell>
          <cell r="E60">
            <v>0.23225499999999999</v>
          </cell>
          <cell r="F60">
            <v>0.81562199999999996</v>
          </cell>
          <cell r="G60">
            <v>0.79957400000000001</v>
          </cell>
          <cell r="H60">
            <v>5.2746000000000001E-2</v>
          </cell>
          <cell r="I60">
            <v>4.7927999999999998E-2</v>
          </cell>
          <cell r="J60">
            <v>4.5515E-2</v>
          </cell>
          <cell r="K60">
            <v>4.4304000000000003E-2</v>
          </cell>
        </row>
        <row r="61">
          <cell r="B61" t="str">
            <v>QCS_1_3_3</v>
          </cell>
          <cell r="C61">
            <v>0.58638299999999999</v>
          </cell>
          <cell r="D61">
            <v>0.15516099999999999</v>
          </cell>
          <cell r="E61">
            <v>0.232436</v>
          </cell>
          <cell r="F61">
            <v>0.81462500000000004</v>
          </cell>
          <cell r="G61">
            <v>0.79856000000000005</v>
          </cell>
          <cell r="H61">
            <v>5.2807E-2</v>
          </cell>
          <cell r="I61">
            <v>4.7996999999999998E-2</v>
          </cell>
          <cell r="J61">
            <v>4.5621000000000002E-2</v>
          </cell>
          <cell r="K61">
            <v>4.4417999999999999E-2</v>
          </cell>
        </row>
        <row r="62">
          <cell r="B62" t="str">
            <v>QCS_2_1_1</v>
          </cell>
          <cell r="C62">
            <v>0.58684800000000004</v>
          </cell>
          <cell r="D62">
            <v>0.15384999999999999</v>
          </cell>
          <cell r="E62">
            <v>0.23133400000000001</v>
          </cell>
          <cell r="F62">
            <v>0.81726100000000002</v>
          </cell>
          <cell r="G62">
            <v>0.80064400000000002</v>
          </cell>
          <cell r="H62">
            <v>5.1133999999999999E-2</v>
          </cell>
          <cell r="I62">
            <v>4.6309000000000003E-2</v>
          </cell>
          <cell r="J62">
            <v>4.3955000000000001E-2</v>
          </cell>
          <cell r="K62">
            <v>4.2710999999999999E-2</v>
          </cell>
        </row>
        <row r="63">
          <cell r="B63" t="str">
            <v>QCS_3_1_1</v>
          </cell>
          <cell r="C63">
            <v>0.58807900000000002</v>
          </cell>
          <cell r="D63">
            <v>0.15499099999999999</v>
          </cell>
          <cell r="E63">
            <v>0.234072</v>
          </cell>
          <cell r="F63">
            <v>0.81963399999999997</v>
          </cell>
          <cell r="G63">
            <v>0.80201299999999998</v>
          </cell>
          <cell r="H63">
            <v>5.1908999999999997E-2</v>
          </cell>
          <cell r="I63">
            <v>4.7065000000000003E-2</v>
          </cell>
          <cell r="J63">
            <v>4.4609000000000003E-2</v>
          </cell>
          <cell r="K63">
            <v>4.3492999999999997E-2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topLeftCell="A48" workbookViewId="0">
      <selection activeCell="C62" sqref="C62"/>
    </sheetView>
  </sheetViews>
  <sheetFormatPr defaultRowHeight="15" x14ac:dyDescent="0.25"/>
  <cols>
    <col min="1" max="1" width="16.85546875" bestFit="1" customWidth="1"/>
    <col min="2" max="2" width="26.7109375" customWidth="1"/>
    <col min="3" max="3" width="22.42578125" customWidth="1"/>
  </cols>
  <sheetData>
    <row r="1" spans="1:23" x14ac:dyDescent="0.25">
      <c r="A1" t="s">
        <v>122</v>
      </c>
      <c r="B1" t="s">
        <v>20</v>
      </c>
      <c r="C1" t="s">
        <v>0</v>
      </c>
      <c r="D1" t="s">
        <v>1</v>
      </c>
      <c r="E1" t="s">
        <v>2</v>
      </c>
      <c r="F1" t="s">
        <v>132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</row>
    <row r="2" spans="1:23" x14ac:dyDescent="0.25">
      <c r="B2" s="2" t="s">
        <v>81</v>
      </c>
      <c r="C2" t="s">
        <v>11</v>
      </c>
      <c r="D2">
        <v>1</v>
      </c>
      <c r="E2" t="s">
        <v>12</v>
      </c>
      <c r="G2">
        <v>1</v>
      </c>
      <c r="H2">
        <v>1</v>
      </c>
      <c r="I2">
        <v>1</v>
      </c>
      <c r="J2" t="s">
        <v>13</v>
      </c>
      <c r="K2" t="s">
        <v>12</v>
      </c>
      <c r="L2" s="2">
        <v>0</v>
      </c>
      <c r="M2">
        <v>1</v>
      </c>
      <c r="N2">
        <v>5</v>
      </c>
      <c r="O2">
        <v>4.1286000000000003E-2</v>
      </c>
      <c r="P2">
        <v>3.8135000000000002E-2</v>
      </c>
      <c r="Q2">
        <v>3.6609000000000003E-2</v>
      </c>
      <c r="R2">
        <v>3.6898E-2</v>
      </c>
      <c r="S2">
        <v>3.6493999999999999E-2</v>
      </c>
      <c r="T2">
        <v>5.3046000000000003E-2</v>
      </c>
      <c r="U2">
        <v>4.8381E-2</v>
      </c>
      <c r="V2">
        <v>4.6084E-2</v>
      </c>
      <c r="W2">
        <v>4.5107000000000001E-2</v>
      </c>
    </row>
    <row r="3" spans="1:23" x14ac:dyDescent="0.25">
      <c r="B3" s="2" t="s">
        <v>82</v>
      </c>
      <c r="C3" t="s">
        <v>11</v>
      </c>
      <c r="D3">
        <v>2</v>
      </c>
      <c r="E3" t="s">
        <v>12</v>
      </c>
      <c r="G3">
        <v>1</v>
      </c>
      <c r="H3">
        <v>1</v>
      </c>
      <c r="I3">
        <v>1</v>
      </c>
      <c r="J3" t="s">
        <v>13</v>
      </c>
      <c r="K3" t="s">
        <v>12</v>
      </c>
      <c r="L3" s="2">
        <v>0</v>
      </c>
      <c r="M3">
        <v>1</v>
      </c>
      <c r="N3">
        <v>5</v>
      </c>
      <c r="O3">
        <v>4.1413999999999999E-2</v>
      </c>
      <c r="P3">
        <v>3.8163000000000002E-2</v>
      </c>
      <c r="Q3">
        <v>3.6706000000000003E-2</v>
      </c>
      <c r="R3">
        <v>3.6708999999999999E-2</v>
      </c>
      <c r="S3">
        <v>3.6803000000000002E-2</v>
      </c>
      <c r="T3">
        <v>5.3172999999999998E-2</v>
      </c>
      <c r="U3">
        <v>4.8284000000000001E-2</v>
      </c>
      <c r="V3">
        <v>4.5845999999999998E-2</v>
      </c>
      <c r="W3">
        <v>4.4706000000000003E-2</v>
      </c>
    </row>
    <row r="4" spans="1:23" x14ac:dyDescent="0.25">
      <c r="B4" s="2" t="s">
        <v>83</v>
      </c>
      <c r="C4" t="s">
        <v>11</v>
      </c>
      <c r="D4">
        <v>3</v>
      </c>
      <c r="E4" t="s">
        <v>12</v>
      </c>
      <c r="G4">
        <v>1</v>
      </c>
      <c r="H4">
        <v>1</v>
      </c>
      <c r="I4">
        <v>1</v>
      </c>
      <c r="J4" t="s">
        <v>13</v>
      </c>
      <c r="K4" t="s">
        <v>12</v>
      </c>
      <c r="L4" s="2">
        <v>0</v>
      </c>
      <c r="M4">
        <v>1</v>
      </c>
      <c r="N4">
        <v>5</v>
      </c>
      <c r="O4">
        <v>4.1607999999999999E-2</v>
      </c>
      <c r="P4">
        <v>3.7926000000000001E-2</v>
      </c>
      <c r="Q4">
        <v>3.6353999999999997E-2</v>
      </c>
      <c r="R4">
        <v>3.6963000000000003E-2</v>
      </c>
      <c r="S4">
        <v>3.6614000000000001E-2</v>
      </c>
      <c r="T4">
        <v>5.3130999999999998E-2</v>
      </c>
      <c r="U4">
        <v>4.8418000000000003E-2</v>
      </c>
      <c r="V4">
        <v>4.5955999999999997E-2</v>
      </c>
      <c r="W4">
        <v>4.4669E-2</v>
      </c>
    </row>
    <row r="5" spans="1:23" x14ac:dyDescent="0.25">
      <c r="B5" s="2" t="s">
        <v>84</v>
      </c>
      <c r="C5" t="s">
        <v>11</v>
      </c>
      <c r="D5">
        <v>4</v>
      </c>
      <c r="E5" t="s">
        <v>12</v>
      </c>
      <c r="G5">
        <v>1</v>
      </c>
      <c r="H5">
        <v>1</v>
      </c>
      <c r="I5">
        <v>1</v>
      </c>
      <c r="J5" t="s">
        <v>15</v>
      </c>
      <c r="K5" t="s">
        <v>12</v>
      </c>
      <c r="L5" s="2">
        <v>0</v>
      </c>
      <c r="M5">
        <v>1</v>
      </c>
      <c r="N5">
        <v>5</v>
      </c>
      <c r="O5">
        <v>0.41356900000000002</v>
      </c>
      <c r="P5">
        <v>0.31436999999999998</v>
      </c>
      <c r="Q5">
        <v>0.31313200000000002</v>
      </c>
      <c r="R5">
        <v>0.31149100000000002</v>
      </c>
      <c r="S5">
        <v>0.31138100000000002</v>
      </c>
      <c r="T5">
        <v>0.32336100000000001</v>
      </c>
      <c r="U5">
        <v>0.32576699999999997</v>
      </c>
      <c r="V5">
        <v>0.32851000000000002</v>
      </c>
      <c r="W5">
        <v>0.33131899999999997</v>
      </c>
    </row>
    <row r="6" spans="1:23" x14ac:dyDescent="0.25">
      <c r="B6" s="2" t="s">
        <v>85</v>
      </c>
      <c r="C6" t="s">
        <v>11</v>
      </c>
      <c r="D6">
        <v>5</v>
      </c>
      <c r="E6" t="s">
        <v>12</v>
      </c>
      <c r="G6">
        <v>1</v>
      </c>
      <c r="H6">
        <v>1</v>
      </c>
      <c r="I6">
        <v>1</v>
      </c>
      <c r="J6" t="s">
        <v>15</v>
      </c>
      <c r="K6" t="s">
        <v>12</v>
      </c>
      <c r="L6" s="2">
        <v>0</v>
      </c>
      <c r="M6">
        <v>1</v>
      </c>
      <c r="N6">
        <v>5</v>
      </c>
      <c r="O6">
        <v>0.41374699999999998</v>
      </c>
      <c r="P6">
        <v>0.31430900000000001</v>
      </c>
      <c r="Q6">
        <v>0.31305300000000003</v>
      </c>
      <c r="R6">
        <v>0.31146499999999999</v>
      </c>
      <c r="S6">
        <v>0.31134699999999998</v>
      </c>
      <c r="T6">
        <v>0.32336999999999999</v>
      </c>
      <c r="U6">
        <v>0.32575900000000002</v>
      </c>
      <c r="V6">
        <v>0.32849200000000001</v>
      </c>
      <c r="W6">
        <v>0.33124900000000002</v>
      </c>
    </row>
    <row r="7" spans="1:23" x14ac:dyDescent="0.25">
      <c r="B7" s="2" t="s">
        <v>86</v>
      </c>
      <c r="C7" t="s">
        <v>11</v>
      </c>
      <c r="D7">
        <v>6</v>
      </c>
      <c r="E7" t="s">
        <v>12</v>
      </c>
      <c r="G7">
        <v>1</v>
      </c>
      <c r="H7">
        <v>1</v>
      </c>
      <c r="I7">
        <v>1</v>
      </c>
      <c r="J7" t="s">
        <v>15</v>
      </c>
      <c r="K7" t="s">
        <v>12</v>
      </c>
      <c r="L7" s="2">
        <v>0</v>
      </c>
      <c r="M7">
        <v>1</v>
      </c>
      <c r="N7">
        <v>5</v>
      </c>
      <c r="O7">
        <v>0.41383599999999998</v>
      </c>
      <c r="P7">
        <v>0.31425599999999998</v>
      </c>
      <c r="Q7">
        <v>0.31305300000000003</v>
      </c>
      <c r="R7">
        <v>0.31142999999999998</v>
      </c>
      <c r="S7">
        <v>0.31138100000000002</v>
      </c>
      <c r="T7">
        <v>0.32338699999999998</v>
      </c>
      <c r="U7">
        <v>0.32579399999999997</v>
      </c>
      <c r="V7">
        <v>0.32851900000000001</v>
      </c>
      <c r="W7">
        <v>0.331293</v>
      </c>
    </row>
    <row r="8" spans="1:23" x14ac:dyDescent="0.25">
      <c r="B8" s="2" t="s">
        <v>87</v>
      </c>
      <c r="C8" t="s">
        <v>11</v>
      </c>
      <c r="D8">
        <v>7</v>
      </c>
      <c r="E8" t="s">
        <v>12</v>
      </c>
      <c r="G8">
        <v>1</v>
      </c>
      <c r="H8">
        <v>1</v>
      </c>
      <c r="I8">
        <v>1</v>
      </c>
      <c r="J8" t="s">
        <v>15</v>
      </c>
      <c r="K8" t="s">
        <v>12</v>
      </c>
      <c r="L8" s="2">
        <v>0</v>
      </c>
      <c r="M8">
        <v>1</v>
      </c>
      <c r="N8">
        <v>5</v>
      </c>
      <c r="O8">
        <v>0.58748</v>
      </c>
      <c r="P8">
        <v>0.15534899999999999</v>
      </c>
      <c r="Q8">
        <v>0.23278399999999999</v>
      </c>
      <c r="R8">
        <v>0.81845999999999997</v>
      </c>
      <c r="S8">
        <v>0.80169000000000001</v>
      </c>
      <c r="T8">
        <v>5.3012999999999998E-2</v>
      </c>
      <c r="U8">
        <v>4.7808000000000003E-2</v>
      </c>
      <c r="V8">
        <v>4.5758E-2</v>
      </c>
      <c r="W8">
        <v>4.4318000000000003E-2</v>
      </c>
    </row>
    <row r="9" spans="1:23" x14ac:dyDescent="0.25">
      <c r="B9" s="2" t="s">
        <v>88</v>
      </c>
      <c r="C9" t="s">
        <v>11</v>
      </c>
      <c r="D9">
        <v>8</v>
      </c>
      <c r="E9" t="s">
        <v>12</v>
      </c>
      <c r="G9">
        <v>1</v>
      </c>
      <c r="H9">
        <v>1</v>
      </c>
      <c r="I9">
        <v>1</v>
      </c>
      <c r="J9" t="s">
        <v>15</v>
      </c>
      <c r="K9" t="s">
        <v>12</v>
      </c>
      <c r="L9" s="2">
        <v>0</v>
      </c>
      <c r="M9">
        <v>1</v>
      </c>
      <c r="N9">
        <v>5</v>
      </c>
      <c r="O9">
        <v>0.58668100000000001</v>
      </c>
      <c r="P9">
        <v>0.15526400000000001</v>
      </c>
      <c r="Q9">
        <v>0.23225499999999999</v>
      </c>
      <c r="R9">
        <v>0.81562199999999996</v>
      </c>
      <c r="S9">
        <v>0.79957400000000001</v>
      </c>
      <c r="T9">
        <v>5.2746000000000001E-2</v>
      </c>
      <c r="U9">
        <v>4.7927999999999998E-2</v>
      </c>
      <c r="V9">
        <v>4.5515E-2</v>
      </c>
      <c r="W9">
        <v>4.4304000000000003E-2</v>
      </c>
    </row>
    <row r="10" spans="1:23" x14ac:dyDescent="0.25">
      <c r="B10" s="2" t="s">
        <v>89</v>
      </c>
      <c r="C10" t="s">
        <v>11</v>
      </c>
      <c r="D10">
        <v>9</v>
      </c>
      <c r="E10" t="s">
        <v>12</v>
      </c>
      <c r="G10">
        <v>1</v>
      </c>
      <c r="H10">
        <v>1</v>
      </c>
      <c r="I10">
        <v>1</v>
      </c>
      <c r="J10" t="s">
        <v>15</v>
      </c>
      <c r="K10" t="s">
        <v>12</v>
      </c>
      <c r="L10" s="2">
        <v>0</v>
      </c>
      <c r="M10">
        <v>1</v>
      </c>
      <c r="N10">
        <v>5</v>
      </c>
      <c r="O10">
        <v>0.58638299999999999</v>
      </c>
      <c r="P10">
        <v>0.15516099999999999</v>
      </c>
      <c r="Q10">
        <v>0.232436</v>
      </c>
      <c r="R10">
        <v>0.81462500000000004</v>
      </c>
      <c r="S10">
        <v>0.79856000000000005</v>
      </c>
      <c r="T10">
        <v>5.2807E-2</v>
      </c>
      <c r="U10">
        <v>4.7996999999999998E-2</v>
      </c>
      <c r="V10">
        <v>4.5621000000000002E-2</v>
      </c>
      <c r="W10">
        <v>4.4417999999999999E-2</v>
      </c>
    </row>
    <row r="11" spans="1:23" x14ac:dyDescent="0.25">
      <c r="B11" s="2" t="s">
        <v>90</v>
      </c>
      <c r="C11" t="s">
        <v>11</v>
      </c>
      <c r="D11">
        <v>10</v>
      </c>
      <c r="E11" t="s">
        <v>12</v>
      </c>
      <c r="G11">
        <v>1</v>
      </c>
      <c r="H11">
        <v>1</v>
      </c>
      <c r="I11">
        <v>1</v>
      </c>
      <c r="J11" t="s">
        <v>16</v>
      </c>
      <c r="K11" t="s">
        <v>12</v>
      </c>
      <c r="L11" s="2">
        <v>0</v>
      </c>
      <c r="M11">
        <v>1</v>
      </c>
      <c r="N11">
        <v>5</v>
      </c>
      <c r="O11">
        <v>0.91263499999999997</v>
      </c>
      <c r="P11">
        <v>0.17241200000000001</v>
      </c>
      <c r="Q11">
        <v>0.30964199999999997</v>
      </c>
      <c r="R11">
        <v>0.80730100000000005</v>
      </c>
      <c r="S11">
        <v>0.78636300000000003</v>
      </c>
      <c r="T11">
        <v>5.0282E-2</v>
      </c>
      <c r="U11">
        <v>4.4902999999999998E-2</v>
      </c>
      <c r="V11">
        <v>4.2283000000000001E-2</v>
      </c>
      <c r="W11">
        <v>4.1174000000000002E-2</v>
      </c>
    </row>
    <row r="12" spans="1:23" x14ac:dyDescent="0.25">
      <c r="B12" s="2" t="s">
        <v>90</v>
      </c>
      <c r="C12" t="s">
        <v>11</v>
      </c>
      <c r="D12">
        <v>11</v>
      </c>
      <c r="E12" t="s">
        <v>12</v>
      </c>
      <c r="G12">
        <v>1</v>
      </c>
      <c r="H12">
        <v>1</v>
      </c>
      <c r="I12">
        <v>1</v>
      </c>
      <c r="J12" t="s">
        <v>16</v>
      </c>
      <c r="K12" t="s">
        <v>12</v>
      </c>
      <c r="L12" s="2">
        <v>1</v>
      </c>
      <c r="M12">
        <v>1</v>
      </c>
      <c r="N12">
        <v>5</v>
      </c>
      <c r="O12">
        <v>1.3162240000000001</v>
      </c>
      <c r="P12">
        <v>9.9219000000000002E-2</v>
      </c>
      <c r="Q12">
        <v>0.19245200000000001</v>
      </c>
      <c r="R12">
        <v>0.48431099999999999</v>
      </c>
      <c r="S12">
        <v>0.48786800000000002</v>
      </c>
      <c r="T12">
        <v>5.2727999999999997E-2</v>
      </c>
      <c r="U12">
        <v>4.7702000000000001E-2</v>
      </c>
      <c r="V12">
        <v>4.5102999999999997E-2</v>
      </c>
      <c r="W12">
        <v>4.3811999999999997E-2</v>
      </c>
    </row>
    <row r="13" spans="1:23" x14ac:dyDescent="0.25">
      <c r="B13" s="2" t="s">
        <v>91</v>
      </c>
      <c r="C13" t="s">
        <v>11</v>
      </c>
      <c r="D13">
        <v>12</v>
      </c>
      <c r="E13" t="s">
        <v>12</v>
      </c>
      <c r="G13">
        <v>1</v>
      </c>
      <c r="H13">
        <v>1</v>
      </c>
      <c r="I13">
        <v>1</v>
      </c>
      <c r="J13" t="s">
        <v>16</v>
      </c>
      <c r="K13" t="s">
        <v>12</v>
      </c>
      <c r="L13" s="2">
        <v>0</v>
      </c>
      <c r="M13">
        <v>1</v>
      </c>
      <c r="N13">
        <v>5</v>
      </c>
      <c r="O13">
        <v>0.80330699999999999</v>
      </c>
      <c r="P13">
        <v>0.16561100000000001</v>
      </c>
      <c r="Q13">
        <v>0.271646</v>
      </c>
      <c r="R13">
        <v>0.70909199999999994</v>
      </c>
      <c r="S13">
        <v>0.69839399999999996</v>
      </c>
      <c r="T13">
        <v>5.8733E-2</v>
      </c>
      <c r="U13">
        <v>5.4359999999999999E-2</v>
      </c>
      <c r="V13">
        <v>5.2171000000000002E-2</v>
      </c>
      <c r="W13">
        <v>5.1049999999999998E-2</v>
      </c>
    </row>
    <row r="14" spans="1:23" x14ac:dyDescent="0.25">
      <c r="B14" s="2" t="s">
        <v>91</v>
      </c>
      <c r="C14" t="s">
        <v>11</v>
      </c>
      <c r="D14">
        <v>13</v>
      </c>
      <c r="E14" t="s">
        <v>12</v>
      </c>
      <c r="G14">
        <v>1</v>
      </c>
      <c r="H14">
        <v>1</v>
      </c>
      <c r="I14">
        <v>1</v>
      </c>
      <c r="J14" t="s">
        <v>16</v>
      </c>
      <c r="K14" t="s">
        <v>12</v>
      </c>
      <c r="L14" s="2">
        <v>1</v>
      </c>
      <c r="M14">
        <v>1</v>
      </c>
      <c r="N14">
        <v>5</v>
      </c>
      <c r="O14">
        <v>1.1372009999999999</v>
      </c>
      <c r="P14">
        <v>9.7609000000000001E-2</v>
      </c>
      <c r="Q14">
        <v>0.181893</v>
      </c>
      <c r="R14">
        <v>0.42891800000000002</v>
      </c>
      <c r="S14">
        <v>0.43194900000000003</v>
      </c>
      <c r="T14">
        <v>5.8841999999999998E-2</v>
      </c>
      <c r="U14">
        <v>5.4664999999999998E-2</v>
      </c>
      <c r="V14">
        <v>5.2557E-2</v>
      </c>
      <c r="W14">
        <v>5.1434000000000001E-2</v>
      </c>
    </row>
    <row r="15" spans="1:23" x14ac:dyDescent="0.25">
      <c r="B15" s="2" t="s">
        <v>92</v>
      </c>
      <c r="C15" t="s">
        <v>11</v>
      </c>
      <c r="D15">
        <v>14</v>
      </c>
      <c r="E15" t="s">
        <v>12</v>
      </c>
      <c r="G15">
        <v>1</v>
      </c>
      <c r="H15">
        <v>1</v>
      </c>
      <c r="I15">
        <v>1</v>
      </c>
      <c r="J15" t="s">
        <v>16</v>
      </c>
      <c r="K15" t="s">
        <v>12</v>
      </c>
      <c r="L15" s="2">
        <v>0</v>
      </c>
      <c r="M15">
        <v>1</v>
      </c>
      <c r="N15">
        <v>5</v>
      </c>
      <c r="O15">
        <v>2.0610210000000002</v>
      </c>
      <c r="P15">
        <v>0.36201299999999997</v>
      </c>
      <c r="Q15">
        <v>0.70627499999999999</v>
      </c>
      <c r="R15">
        <v>1.831493</v>
      </c>
      <c r="S15">
        <v>1.7846820000000001</v>
      </c>
      <c r="T15">
        <v>4.7364000000000003E-2</v>
      </c>
      <c r="U15">
        <v>4.1771999999999997E-2</v>
      </c>
      <c r="V15">
        <v>3.8979E-2</v>
      </c>
      <c r="W15">
        <v>3.7769999999999998E-2</v>
      </c>
    </row>
    <row r="16" spans="1:23" x14ac:dyDescent="0.25">
      <c r="B16" s="2" t="s">
        <v>92</v>
      </c>
      <c r="C16" t="s">
        <v>11</v>
      </c>
      <c r="D16">
        <v>15</v>
      </c>
      <c r="E16" t="s">
        <v>12</v>
      </c>
      <c r="G16">
        <v>1</v>
      </c>
      <c r="H16">
        <v>1</v>
      </c>
      <c r="I16">
        <v>1</v>
      </c>
      <c r="J16" t="s">
        <v>16</v>
      </c>
      <c r="K16" t="s">
        <v>12</v>
      </c>
      <c r="L16" s="2">
        <v>1</v>
      </c>
      <c r="M16">
        <v>1</v>
      </c>
      <c r="N16">
        <v>5</v>
      </c>
      <c r="O16">
        <v>2.4725410000000001</v>
      </c>
      <c r="P16">
        <v>0.18385599999999999</v>
      </c>
      <c r="Q16">
        <v>0.41389700000000001</v>
      </c>
      <c r="R16">
        <v>1.122852</v>
      </c>
      <c r="S16">
        <v>1.1309530000000001</v>
      </c>
      <c r="T16">
        <v>5.1306999999999998E-2</v>
      </c>
      <c r="U16">
        <v>4.6001E-2</v>
      </c>
      <c r="V16">
        <v>4.3256999999999997E-2</v>
      </c>
      <c r="W16">
        <v>4.1848999999999997E-2</v>
      </c>
    </row>
    <row r="17" spans="2:23" x14ac:dyDescent="0.25">
      <c r="B17" s="2" t="s">
        <v>93</v>
      </c>
      <c r="C17" t="s">
        <v>11</v>
      </c>
      <c r="D17">
        <v>16</v>
      </c>
      <c r="E17" t="s">
        <v>12</v>
      </c>
      <c r="G17">
        <v>1</v>
      </c>
      <c r="H17">
        <v>1</v>
      </c>
      <c r="I17">
        <v>1</v>
      </c>
      <c r="J17" t="s">
        <v>16</v>
      </c>
      <c r="K17" t="s">
        <v>12</v>
      </c>
      <c r="L17" s="2">
        <v>0</v>
      </c>
      <c r="M17">
        <v>1</v>
      </c>
      <c r="N17">
        <v>5</v>
      </c>
      <c r="O17">
        <v>1.738966</v>
      </c>
      <c r="P17">
        <v>0.30969600000000003</v>
      </c>
      <c r="Q17">
        <v>0.56656499999999999</v>
      </c>
      <c r="R17">
        <v>1.517849</v>
      </c>
      <c r="S17">
        <v>1.487152</v>
      </c>
      <c r="T17">
        <v>5.1451999999999998E-2</v>
      </c>
      <c r="U17">
        <v>4.6448000000000003E-2</v>
      </c>
      <c r="V17">
        <v>4.3914000000000002E-2</v>
      </c>
      <c r="W17">
        <v>4.2720000000000001E-2</v>
      </c>
    </row>
    <row r="18" spans="2:23" x14ac:dyDescent="0.25">
      <c r="B18" s="2" t="s">
        <v>93</v>
      </c>
      <c r="C18" t="s">
        <v>11</v>
      </c>
      <c r="D18">
        <v>17</v>
      </c>
      <c r="E18" t="s">
        <v>12</v>
      </c>
      <c r="G18">
        <v>1</v>
      </c>
      <c r="H18">
        <v>1</v>
      </c>
      <c r="I18">
        <v>1</v>
      </c>
      <c r="J18" t="s">
        <v>16</v>
      </c>
      <c r="K18" t="s">
        <v>12</v>
      </c>
      <c r="L18" s="2">
        <v>1</v>
      </c>
      <c r="M18">
        <v>1</v>
      </c>
      <c r="N18">
        <v>5</v>
      </c>
      <c r="O18">
        <v>2.2700209999999998</v>
      </c>
      <c r="P18">
        <v>0.163301</v>
      </c>
      <c r="Q18">
        <v>0.35447200000000001</v>
      </c>
      <c r="R18">
        <v>0.91158399999999995</v>
      </c>
      <c r="S18">
        <v>0.91887600000000003</v>
      </c>
      <c r="T18">
        <v>5.3754000000000003E-2</v>
      </c>
      <c r="U18">
        <v>4.8954999999999999E-2</v>
      </c>
      <c r="V18">
        <v>4.6478999999999999E-2</v>
      </c>
      <c r="W18">
        <v>4.5176000000000001E-2</v>
      </c>
    </row>
    <row r="19" spans="2:23" x14ac:dyDescent="0.25">
      <c r="B19" s="2" t="s">
        <v>94</v>
      </c>
      <c r="C19" t="s">
        <v>11</v>
      </c>
      <c r="D19">
        <v>18</v>
      </c>
      <c r="E19" t="s">
        <v>12</v>
      </c>
      <c r="G19">
        <v>1</v>
      </c>
      <c r="H19">
        <v>1</v>
      </c>
      <c r="I19">
        <v>1</v>
      </c>
      <c r="J19" t="s">
        <v>16</v>
      </c>
      <c r="K19" t="s">
        <v>12</v>
      </c>
      <c r="L19" s="2">
        <v>0</v>
      </c>
      <c r="M19">
        <v>1</v>
      </c>
      <c r="N19">
        <v>5</v>
      </c>
      <c r="O19">
        <v>1.710658</v>
      </c>
      <c r="P19">
        <v>0.300792</v>
      </c>
      <c r="Q19">
        <v>0.553392</v>
      </c>
      <c r="R19">
        <v>1.476952</v>
      </c>
      <c r="S19">
        <v>1.4457230000000001</v>
      </c>
      <c r="T19">
        <v>5.1021999999999998E-2</v>
      </c>
      <c r="U19">
        <v>4.5877000000000001E-2</v>
      </c>
      <c r="V19">
        <v>4.3289000000000001E-2</v>
      </c>
      <c r="W19">
        <v>4.2012000000000001E-2</v>
      </c>
    </row>
    <row r="20" spans="2:23" x14ac:dyDescent="0.25">
      <c r="B20" s="2" t="s">
        <v>94</v>
      </c>
      <c r="C20" t="s">
        <v>11</v>
      </c>
      <c r="D20">
        <v>19</v>
      </c>
      <c r="E20" t="s">
        <v>12</v>
      </c>
      <c r="G20">
        <v>1</v>
      </c>
      <c r="H20">
        <v>1</v>
      </c>
      <c r="I20">
        <v>1</v>
      </c>
      <c r="J20" t="s">
        <v>16</v>
      </c>
      <c r="K20" t="s">
        <v>12</v>
      </c>
      <c r="L20" s="2">
        <v>1</v>
      </c>
      <c r="M20">
        <v>1</v>
      </c>
      <c r="N20">
        <v>5</v>
      </c>
      <c r="O20">
        <v>2.2398440000000002</v>
      </c>
      <c r="P20">
        <v>0.15949099999999999</v>
      </c>
      <c r="Q20">
        <v>0.34342699999999998</v>
      </c>
      <c r="R20">
        <v>0.88203799999999999</v>
      </c>
      <c r="S20">
        <v>0.88901399999999997</v>
      </c>
      <c r="T20">
        <v>5.5267999999999998E-2</v>
      </c>
      <c r="U20">
        <v>5.0452999999999998E-2</v>
      </c>
      <c r="V20">
        <v>4.7969999999999999E-2</v>
      </c>
      <c r="W20">
        <v>4.6644999999999999E-2</v>
      </c>
    </row>
    <row r="21" spans="2:23" x14ac:dyDescent="0.25">
      <c r="B21" s="2" t="s">
        <v>110</v>
      </c>
      <c r="C21" t="s">
        <v>11</v>
      </c>
      <c r="D21">
        <v>20</v>
      </c>
      <c r="E21" t="s">
        <v>12</v>
      </c>
      <c r="G21">
        <v>1</v>
      </c>
      <c r="H21">
        <v>1</v>
      </c>
      <c r="I21">
        <v>1</v>
      </c>
      <c r="J21" t="s">
        <v>16</v>
      </c>
      <c r="K21" t="s">
        <v>12</v>
      </c>
      <c r="L21" s="2">
        <v>0</v>
      </c>
      <c r="M21">
        <v>1</v>
      </c>
      <c r="N21">
        <v>5</v>
      </c>
      <c r="O21">
        <v>2.4699939999999998</v>
      </c>
      <c r="P21">
        <v>0.516567</v>
      </c>
      <c r="Q21">
        <v>0.93160200000000004</v>
      </c>
      <c r="R21">
        <v>2.278076</v>
      </c>
      <c r="S21">
        <v>2.255395</v>
      </c>
      <c r="T21">
        <v>5.6598000000000002E-2</v>
      </c>
      <c r="U21">
        <v>5.1695999999999999E-2</v>
      </c>
      <c r="V21">
        <v>4.9096000000000001E-2</v>
      </c>
      <c r="W21">
        <v>4.7746999999999998E-2</v>
      </c>
    </row>
    <row r="22" spans="2:23" x14ac:dyDescent="0.25">
      <c r="B22" s="3" t="s">
        <v>111</v>
      </c>
      <c r="C22" t="s">
        <v>11</v>
      </c>
      <c r="D22">
        <v>20.100000000000001</v>
      </c>
      <c r="E22" t="s">
        <v>12</v>
      </c>
      <c r="G22">
        <v>1</v>
      </c>
      <c r="H22">
        <v>1</v>
      </c>
      <c r="I22">
        <v>1</v>
      </c>
      <c r="J22" t="s">
        <v>16</v>
      </c>
      <c r="K22" t="s">
        <v>12</v>
      </c>
      <c r="L22" s="2">
        <v>0</v>
      </c>
      <c r="M22" s="2">
        <v>2</v>
      </c>
      <c r="N22">
        <v>5</v>
      </c>
      <c r="O22">
        <v>1.616452</v>
      </c>
      <c r="P22">
        <v>0.28323700000000002</v>
      </c>
      <c r="Q22">
        <v>0.50890800000000003</v>
      </c>
      <c r="R22">
        <v>1.3563890000000001</v>
      </c>
      <c r="S22">
        <v>1.329086</v>
      </c>
      <c r="T22">
        <v>5.4241999999999999E-2</v>
      </c>
      <c r="U22">
        <v>4.9576000000000002E-2</v>
      </c>
      <c r="V22">
        <v>4.6947999999999997E-2</v>
      </c>
      <c r="W22">
        <v>4.5852999999999998E-2</v>
      </c>
    </row>
    <row r="23" spans="2:23" x14ac:dyDescent="0.25">
      <c r="B23" s="3" t="s">
        <v>111</v>
      </c>
      <c r="C23" t="s">
        <v>11</v>
      </c>
      <c r="D23">
        <v>21</v>
      </c>
      <c r="E23" t="s">
        <v>12</v>
      </c>
      <c r="G23">
        <v>1</v>
      </c>
      <c r="H23">
        <v>1</v>
      </c>
      <c r="I23">
        <v>1</v>
      </c>
      <c r="J23" t="s">
        <v>16</v>
      </c>
      <c r="K23" t="s">
        <v>12</v>
      </c>
      <c r="L23" s="2">
        <v>1</v>
      </c>
      <c r="M23" s="2">
        <v>2</v>
      </c>
      <c r="N23">
        <v>5</v>
      </c>
      <c r="O23">
        <v>2.158922</v>
      </c>
      <c r="P23">
        <v>0.15456</v>
      </c>
      <c r="Q23">
        <v>0.32355800000000001</v>
      </c>
      <c r="R23">
        <v>0.81737300000000002</v>
      </c>
      <c r="S23">
        <v>0.82414500000000002</v>
      </c>
      <c r="T23">
        <v>5.9607E-2</v>
      </c>
      <c r="U23">
        <v>5.4650999999999998E-2</v>
      </c>
      <c r="V23">
        <v>5.2059000000000001E-2</v>
      </c>
      <c r="W23">
        <v>5.0712E-2</v>
      </c>
    </row>
    <row r="24" spans="2:23" x14ac:dyDescent="0.25">
      <c r="B24" s="2" t="s">
        <v>95</v>
      </c>
      <c r="C24" t="s">
        <v>11</v>
      </c>
      <c r="D24">
        <v>22</v>
      </c>
      <c r="E24" t="s">
        <v>12</v>
      </c>
      <c r="G24">
        <v>1</v>
      </c>
      <c r="H24">
        <v>1</v>
      </c>
      <c r="I24">
        <v>1</v>
      </c>
      <c r="J24" t="s">
        <v>16</v>
      </c>
      <c r="K24" t="s">
        <v>12</v>
      </c>
      <c r="L24" s="2">
        <v>0</v>
      </c>
      <c r="M24">
        <v>1</v>
      </c>
      <c r="N24">
        <v>5</v>
      </c>
      <c r="O24">
        <v>0.58557000000000003</v>
      </c>
      <c r="P24">
        <v>0.12027</v>
      </c>
      <c r="Q24">
        <v>0.19428200000000001</v>
      </c>
      <c r="R24">
        <v>0.47687499999999999</v>
      </c>
      <c r="S24">
        <v>0.46698600000000001</v>
      </c>
      <c r="T24">
        <v>5.6498E-2</v>
      </c>
      <c r="U24">
        <v>5.1267E-2</v>
      </c>
      <c r="V24">
        <v>4.8670999999999999E-2</v>
      </c>
      <c r="W24">
        <v>4.7433999999999997E-2</v>
      </c>
    </row>
    <row r="25" spans="2:23" x14ac:dyDescent="0.25">
      <c r="B25" s="2" t="s">
        <v>95</v>
      </c>
      <c r="C25" t="s">
        <v>11</v>
      </c>
      <c r="D25">
        <v>23</v>
      </c>
      <c r="E25" t="s">
        <v>12</v>
      </c>
      <c r="G25">
        <v>1</v>
      </c>
      <c r="H25">
        <v>1</v>
      </c>
      <c r="I25">
        <v>1</v>
      </c>
      <c r="J25" t="s">
        <v>16</v>
      </c>
      <c r="K25" t="s">
        <v>12</v>
      </c>
      <c r="L25" s="2">
        <v>1</v>
      </c>
      <c r="M25">
        <v>1</v>
      </c>
      <c r="N25">
        <v>5</v>
      </c>
      <c r="O25">
        <v>0.810145</v>
      </c>
      <c r="P25">
        <v>7.4353000000000002E-2</v>
      </c>
      <c r="Q25">
        <v>0.127719</v>
      </c>
      <c r="R25">
        <v>0.28836200000000001</v>
      </c>
      <c r="S25">
        <v>0.29047299999999998</v>
      </c>
      <c r="T25">
        <v>5.4871999999999997E-2</v>
      </c>
      <c r="U25">
        <v>5.0183999999999999E-2</v>
      </c>
      <c r="V25">
        <v>4.7799000000000001E-2</v>
      </c>
      <c r="W25">
        <v>4.6561999999999999E-2</v>
      </c>
    </row>
    <row r="26" spans="2:23" x14ac:dyDescent="0.25">
      <c r="B26" s="2" t="s">
        <v>117</v>
      </c>
      <c r="C26" t="s">
        <v>11</v>
      </c>
      <c r="D26">
        <v>24</v>
      </c>
      <c r="E26" t="s">
        <v>12</v>
      </c>
      <c r="G26">
        <v>1</v>
      </c>
      <c r="H26">
        <v>1</v>
      </c>
      <c r="I26">
        <v>1</v>
      </c>
      <c r="J26" t="s">
        <v>16</v>
      </c>
      <c r="K26" t="s">
        <v>12</v>
      </c>
      <c r="L26" s="2">
        <v>0</v>
      </c>
      <c r="M26">
        <v>1</v>
      </c>
      <c r="N26">
        <v>5</v>
      </c>
      <c r="O26">
        <v>2.451352</v>
      </c>
      <c r="P26">
        <v>0.49777399999999999</v>
      </c>
      <c r="Q26">
        <v>0.920458</v>
      </c>
      <c r="R26">
        <v>2.2584209999999998</v>
      </c>
      <c r="S26">
        <v>2.2301899999999999</v>
      </c>
      <c r="T26">
        <v>5.3673999999999999E-2</v>
      </c>
      <c r="U26">
        <v>4.8673000000000001E-2</v>
      </c>
      <c r="V26">
        <v>4.6052000000000003E-2</v>
      </c>
      <c r="W26">
        <v>4.4783000000000003E-2</v>
      </c>
    </row>
    <row r="27" spans="2:23" x14ac:dyDescent="0.25">
      <c r="B27" s="3" t="s">
        <v>112</v>
      </c>
      <c r="C27" t="s">
        <v>11</v>
      </c>
      <c r="D27">
        <v>24.1</v>
      </c>
      <c r="E27" t="s">
        <v>12</v>
      </c>
      <c r="G27">
        <v>1</v>
      </c>
      <c r="H27">
        <v>1</v>
      </c>
      <c r="I27">
        <v>1</v>
      </c>
      <c r="J27" t="s">
        <v>16</v>
      </c>
      <c r="K27" t="s">
        <v>12</v>
      </c>
      <c r="L27" s="2">
        <v>0</v>
      </c>
      <c r="M27" s="2">
        <v>2</v>
      </c>
      <c r="N27">
        <v>5</v>
      </c>
      <c r="O27">
        <v>1.5635840000000001</v>
      </c>
      <c r="P27">
        <v>0.27346300000000001</v>
      </c>
      <c r="Q27">
        <v>0.49299199999999999</v>
      </c>
      <c r="R27">
        <v>1.312195</v>
      </c>
      <c r="S27">
        <v>1.285086</v>
      </c>
      <c r="T27">
        <v>5.7643E-2</v>
      </c>
      <c r="U27">
        <v>5.1663000000000001E-2</v>
      </c>
      <c r="V27">
        <v>4.8975999999999999E-2</v>
      </c>
      <c r="W27">
        <v>4.7856999999999997E-2</v>
      </c>
    </row>
    <row r="28" spans="2:23" x14ac:dyDescent="0.25">
      <c r="B28" s="3" t="s">
        <v>112</v>
      </c>
      <c r="C28" t="s">
        <v>11</v>
      </c>
      <c r="D28">
        <v>25</v>
      </c>
      <c r="E28" t="s">
        <v>12</v>
      </c>
      <c r="G28">
        <v>1</v>
      </c>
      <c r="H28">
        <v>1</v>
      </c>
      <c r="I28">
        <v>1</v>
      </c>
      <c r="J28" t="s">
        <v>16</v>
      </c>
      <c r="K28" t="s">
        <v>12</v>
      </c>
      <c r="L28" s="2">
        <v>1</v>
      </c>
      <c r="M28" s="2">
        <v>2</v>
      </c>
      <c r="N28">
        <v>5</v>
      </c>
      <c r="O28">
        <v>2.1063930000000002</v>
      </c>
      <c r="P28">
        <v>0.146902</v>
      </c>
      <c r="Q28">
        <v>0.309062</v>
      </c>
      <c r="R28">
        <v>0.78728500000000001</v>
      </c>
      <c r="S28">
        <v>0.79336600000000002</v>
      </c>
      <c r="T28">
        <v>5.5573999999999998E-2</v>
      </c>
      <c r="U28">
        <v>5.0680999999999997E-2</v>
      </c>
      <c r="V28">
        <v>4.8210000000000003E-2</v>
      </c>
      <c r="W28">
        <v>4.6887999999999999E-2</v>
      </c>
    </row>
    <row r="29" spans="2:23" x14ac:dyDescent="0.25">
      <c r="B29" s="2" t="s">
        <v>118</v>
      </c>
      <c r="C29" t="s">
        <v>11</v>
      </c>
      <c r="D29">
        <v>26</v>
      </c>
      <c r="E29" t="s">
        <v>12</v>
      </c>
      <c r="G29">
        <v>1</v>
      </c>
      <c r="H29">
        <v>1</v>
      </c>
      <c r="I29">
        <v>1</v>
      </c>
      <c r="J29" t="s">
        <v>16</v>
      </c>
      <c r="K29" t="s">
        <v>12</v>
      </c>
      <c r="L29" s="2">
        <v>0</v>
      </c>
      <c r="M29">
        <v>1</v>
      </c>
      <c r="N29">
        <v>5</v>
      </c>
      <c r="O29">
        <v>2.507091</v>
      </c>
      <c r="P29">
        <v>0.54861800000000005</v>
      </c>
      <c r="Q29">
        <v>0.98090299999999997</v>
      </c>
      <c r="R29">
        <v>2.345828</v>
      </c>
      <c r="S29">
        <v>2.328363</v>
      </c>
      <c r="T29">
        <v>5.4420999999999997E-2</v>
      </c>
      <c r="U29">
        <v>4.9807999999999998E-2</v>
      </c>
      <c r="V29">
        <v>4.7384999999999997E-2</v>
      </c>
      <c r="W29">
        <v>4.6168000000000001E-2</v>
      </c>
    </row>
    <row r="30" spans="2:23" x14ac:dyDescent="0.25">
      <c r="B30" s="3" t="s">
        <v>113</v>
      </c>
      <c r="C30" t="s">
        <v>11</v>
      </c>
      <c r="D30">
        <v>26.1</v>
      </c>
      <c r="E30" t="s">
        <v>12</v>
      </c>
      <c r="G30">
        <v>1</v>
      </c>
      <c r="H30">
        <v>1</v>
      </c>
      <c r="I30">
        <v>1</v>
      </c>
      <c r="J30" t="s">
        <v>16</v>
      </c>
      <c r="K30" t="s">
        <v>12</v>
      </c>
      <c r="L30" s="2">
        <v>0</v>
      </c>
      <c r="M30" s="2">
        <v>2</v>
      </c>
      <c r="N30">
        <v>5</v>
      </c>
      <c r="O30">
        <v>1.7326429999999999</v>
      </c>
      <c r="P30">
        <v>0.30052000000000001</v>
      </c>
      <c r="Q30">
        <v>0.54224700000000003</v>
      </c>
      <c r="R30">
        <v>1.461344</v>
      </c>
      <c r="S30">
        <v>1.4323269999999999</v>
      </c>
      <c r="T30">
        <v>5.2433E-2</v>
      </c>
      <c r="U30">
        <v>4.7536000000000002E-2</v>
      </c>
      <c r="V30">
        <v>4.5235999999999998E-2</v>
      </c>
      <c r="W30">
        <v>4.4391E-2</v>
      </c>
    </row>
    <row r="31" spans="2:23" x14ac:dyDescent="0.25">
      <c r="B31" s="3" t="s">
        <v>113</v>
      </c>
      <c r="C31" t="s">
        <v>11</v>
      </c>
      <c r="D31">
        <v>27</v>
      </c>
      <c r="E31" t="s">
        <v>12</v>
      </c>
      <c r="G31">
        <v>1</v>
      </c>
      <c r="H31">
        <v>1</v>
      </c>
      <c r="I31">
        <v>1</v>
      </c>
      <c r="J31" t="s">
        <v>16</v>
      </c>
      <c r="K31" t="s">
        <v>12</v>
      </c>
      <c r="L31" s="2">
        <v>1</v>
      </c>
      <c r="M31" s="2">
        <v>2</v>
      </c>
      <c r="N31">
        <v>5</v>
      </c>
      <c r="O31">
        <v>2.2620809999999998</v>
      </c>
      <c r="P31">
        <v>0.160493</v>
      </c>
      <c r="Q31">
        <v>0.34259400000000001</v>
      </c>
      <c r="R31">
        <v>0.88142500000000001</v>
      </c>
      <c r="S31">
        <v>0.88793100000000003</v>
      </c>
      <c r="T31">
        <v>5.6087999999999999E-2</v>
      </c>
      <c r="U31">
        <v>5.1229999999999998E-2</v>
      </c>
      <c r="V31">
        <v>4.8819000000000001E-2</v>
      </c>
      <c r="W31">
        <v>4.7397000000000002E-2</v>
      </c>
    </row>
    <row r="32" spans="2:23" x14ac:dyDescent="0.25">
      <c r="B32" s="2" t="s">
        <v>119</v>
      </c>
      <c r="C32" t="s">
        <v>11</v>
      </c>
      <c r="D32">
        <v>28</v>
      </c>
      <c r="E32" t="s">
        <v>12</v>
      </c>
      <c r="G32">
        <v>1</v>
      </c>
      <c r="H32">
        <v>1</v>
      </c>
      <c r="I32">
        <v>1</v>
      </c>
      <c r="J32" t="s">
        <v>16</v>
      </c>
      <c r="K32" t="s">
        <v>12</v>
      </c>
      <c r="L32" s="2">
        <v>0</v>
      </c>
      <c r="M32">
        <v>1</v>
      </c>
      <c r="N32">
        <v>5</v>
      </c>
      <c r="O32">
        <v>2.609569</v>
      </c>
      <c r="P32">
        <v>0.76032500000000003</v>
      </c>
      <c r="Q32">
        <v>1.477908</v>
      </c>
      <c r="R32">
        <v>2.5333480000000002</v>
      </c>
      <c r="S32">
        <v>2.526208</v>
      </c>
      <c r="T32">
        <v>5.0589000000000002E-2</v>
      </c>
      <c r="U32">
        <v>4.4985999999999998E-2</v>
      </c>
      <c r="V32">
        <v>4.2195999999999997E-2</v>
      </c>
      <c r="W32">
        <v>4.0816999999999999E-2</v>
      </c>
    </row>
    <row r="33" spans="2:23" x14ac:dyDescent="0.25">
      <c r="B33" s="3" t="s">
        <v>114</v>
      </c>
      <c r="C33" t="s">
        <v>11</v>
      </c>
      <c r="D33">
        <v>28.1</v>
      </c>
      <c r="E33" t="s">
        <v>12</v>
      </c>
      <c r="G33">
        <v>1</v>
      </c>
      <c r="H33">
        <v>1</v>
      </c>
      <c r="I33">
        <v>1</v>
      </c>
      <c r="J33" t="s">
        <v>16</v>
      </c>
      <c r="K33" t="s">
        <v>12</v>
      </c>
      <c r="L33" s="2">
        <v>0</v>
      </c>
      <c r="M33" s="2">
        <v>2</v>
      </c>
      <c r="N33">
        <v>5</v>
      </c>
      <c r="O33">
        <v>2.0507439999999999</v>
      </c>
      <c r="P33">
        <v>0.376722</v>
      </c>
      <c r="Q33">
        <v>0.68406100000000003</v>
      </c>
      <c r="R33">
        <v>1.80176</v>
      </c>
      <c r="S33">
        <v>1.7687120000000001</v>
      </c>
      <c r="T33">
        <v>5.6314000000000003E-2</v>
      </c>
      <c r="U33">
        <v>5.1621E-2</v>
      </c>
      <c r="V33">
        <v>4.9193000000000001E-2</v>
      </c>
      <c r="W33">
        <v>4.8684999999999999E-2</v>
      </c>
    </row>
    <row r="34" spans="2:23" x14ac:dyDescent="0.25">
      <c r="B34" s="3" t="s">
        <v>114</v>
      </c>
      <c r="C34" t="s">
        <v>11</v>
      </c>
      <c r="D34">
        <v>29</v>
      </c>
      <c r="E34" t="s">
        <v>12</v>
      </c>
      <c r="G34">
        <v>1</v>
      </c>
      <c r="H34">
        <v>1</v>
      </c>
      <c r="I34">
        <v>1</v>
      </c>
      <c r="J34" t="s">
        <v>16</v>
      </c>
      <c r="K34" t="s">
        <v>12</v>
      </c>
      <c r="L34" s="2">
        <v>1</v>
      </c>
      <c r="M34" s="2">
        <v>2</v>
      </c>
      <c r="N34">
        <v>5</v>
      </c>
      <c r="O34">
        <v>2.4636909999999999</v>
      </c>
      <c r="P34">
        <v>0.19548199999999999</v>
      </c>
      <c r="Q34">
        <v>0.42729200000000001</v>
      </c>
      <c r="R34">
        <v>1.102843</v>
      </c>
      <c r="S34">
        <v>1.1111249999999999</v>
      </c>
      <c r="T34">
        <v>5.8624000000000002E-2</v>
      </c>
      <c r="U34">
        <v>5.3839999999999999E-2</v>
      </c>
      <c r="V34">
        <v>5.1478000000000003E-2</v>
      </c>
      <c r="W34">
        <v>5.0105999999999998E-2</v>
      </c>
    </row>
    <row r="35" spans="2:23" x14ac:dyDescent="0.25">
      <c r="B35" s="2" t="s">
        <v>96</v>
      </c>
      <c r="C35" t="s">
        <v>11</v>
      </c>
      <c r="D35">
        <v>30</v>
      </c>
      <c r="E35" t="s">
        <v>12</v>
      </c>
      <c r="G35">
        <v>1</v>
      </c>
      <c r="H35">
        <v>1</v>
      </c>
      <c r="I35">
        <v>1</v>
      </c>
      <c r="J35" t="s">
        <v>15</v>
      </c>
      <c r="K35" t="s">
        <v>12</v>
      </c>
      <c r="L35" s="2">
        <v>0</v>
      </c>
      <c r="M35">
        <v>1</v>
      </c>
      <c r="N35">
        <v>5</v>
      </c>
      <c r="O35">
        <v>0.58684800000000004</v>
      </c>
      <c r="P35">
        <v>0.15384999999999999</v>
      </c>
      <c r="Q35">
        <v>0.23133400000000001</v>
      </c>
      <c r="R35">
        <v>0.81726100000000002</v>
      </c>
      <c r="S35">
        <v>0.80064400000000002</v>
      </c>
      <c r="T35">
        <v>5.1133999999999999E-2</v>
      </c>
      <c r="U35">
        <v>4.6309000000000003E-2</v>
      </c>
      <c r="V35">
        <v>4.3955000000000001E-2</v>
      </c>
      <c r="W35">
        <v>4.2710999999999999E-2</v>
      </c>
    </row>
    <row r="36" spans="2:23" x14ac:dyDescent="0.25">
      <c r="B36" s="2" t="s">
        <v>97</v>
      </c>
      <c r="C36" t="s">
        <v>11</v>
      </c>
      <c r="D36">
        <v>31</v>
      </c>
      <c r="E36" t="s">
        <v>12</v>
      </c>
      <c r="G36">
        <v>1</v>
      </c>
      <c r="H36">
        <v>1</v>
      </c>
      <c r="I36">
        <v>1</v>
      </c>
      <c r="J36" t="s">
        <v>15</v>
      </c>
      <c r="K36" t="s">
        <v>12</v>
      </c>
      <c r="L36" s="2">
        <v>0</v>
      </c>
      <c r="M36">
        <v>1</v>
      </c>
      <c r="N36">
        <v>5</v>
      </c>
      <c r="O36">
        <v>0.41513299999999997</v>
      </c>
      <c r="P36">
        <v>0.31575799999999998</v>
      </c>
      <c r="Q36">
        <v>0.31452400000000003</v>
      </c>
      <c r="R36">
        <v>0.31293500000000002</v>
      </c>
      <c r="S36">
        <v>0.312782</v>
      </c>
      <c r="T36">
        <v>0.324795</v>
      </c>
      <c r="U36">
        <v>0.32724999999999999</v>
      </c>
      <c r="V36">
        <v>0.33010400000000001</v>
      </c>
      <c r="W36">
        <v>0.33287600000000001</v>
      </c>
    </row>
    <row r="37" spans="2:23" x14ac:dyDescent="0.25">
      <c r="B37" s="2" t="s">
        <v>98</v>
      </c>
      <c r="C37" t="s">
        <v>11</v>
      </c>
      <c r="D37">
        <v>32</v>
      </c>
      <c r="E37" t="s">
        <v>12</v>
      </c>
      <c r="G37">
        <v>1</v>
      </c>
      <c r="H37">
        <v>1</v>
      </c>
      <c r="I37">
        <v>1</v>
      </c>
      <c r="J37" t="s">
        <v>13</v>
      </c>
      <c r="K37" t="s">
        <v>12</v>
      </c>
      <c r="L37" s="2">
        <v>0</v>
      </c>
      <c r="M37">
        <v>1</v>
      </c>
      <c r="N37">
        <v>5</v>
      </c>
      <c r="O37">
        <v>3.9167E-2</v>
      </c>
      <c r="P37">
        <v>3.5742000000000003E-2</v>
      </c>
      <c r="Q37">
        <v>3.4335999999999998E-2</v>
      </c>
      <c r="R37">
        <v>3.4729999999999997E-2</v>
      </c>
      <c r="S37">
        <v>3.4667000000000003E-2</v>
      </c>
      <c r="T37">
        <v>5.0971000000000002E-2</v>
      </c>
      <c r="U37">
        <v>4.6135000000000002E-2</v>
      </c>
      <c r="V37">
        <v>4.3727000000000002E-2</v>
      </c>
      <c r="W37">
        <v>4.2548000000000002E-2</v>
      </c>
    </row>
    <row r="38" spans="2:23" x14ac:dyDescent="0.25">
      <c r="B38" s="2" t="s">
        <v>120</v>
      </c>
      <c r="C38" t="s">
        <v>11</v>
      </c>
      <c r="D38">
        <v>33</v>
      </c>
      <c r="E38" t="s">
        <v>12</v>
      </c>
      <c r="G38">
        <v>1</v>
      </c>
      <c r="H38">
        <v>1</v>
      </c>
      <c r="I38">
        <v>1</v>
      </c>
      <c r="J38" t="s">
        <v>16</v>
      </c>
      <c r="K38" t="s">
        <v>12</v>
      </c>
      <c r="L38" s="2">
        <v>0</v>
      </c>
      <c r="M38">
        <v>1</v>
      </c>
      <c r="N38">
        <v>5</v>
      </c>
      <c r="O38">
        <v>2.5840649999999998</v>
      </c>
      <c r="P38">
        <v>0.61787099999999995</v>
      </c>
      <c r="Q38">
        <v>1.1665939999999999</v>
      </c>
      <c r="R38">
        <v>2.466402</v>
      </c>
      <c r="S38">
        <v>2.4494060000000002</v>
      </c>
      <c r="T38">
        <v>5.6008000000000002E-2</v>
      </c>
      <c r="U38">
        <v>5.0652999999999997E-2</v>
      </c>
      <c r="V38">
        <v>4.7900999999999999E-2</v>
      </c>
      <c r="W38">
        <v>4.6535E-2</v>
      </c>
    </row>
    <row r="39" spans="2:23" x14ac:dyDescent="0.25">
      <c r="B39" s="3" t="s">
        <v>115</v>
      </c>
      <c r="C39" t="s">
        <v>11</v>
      </c>
      <c r="D39">
        <v>33.1</v>
      </c>
      <c r="E39" t="s">
        <v>12</v>
      </c>
      <c r="G39">
        <v>1</v>
      </c>
      <c r="H39">
        <v>1</v>
      </c>
      <c r="I39">
        <v>1</v>
      </c>
      <c r="J39" t="s">
        <v>16</v>
      </c>
      <c r="K39" t="s">
        <v>12</v>
      </c>
      <c r="L39" s="2">
        <v>0</v>
      </c>
      <c r="M39" s="2">
        <v>2</v>
      </c>
      <c r="N39">
        <v>5</v>
      </c>
      <c r="O39">
        <v>1.880822</v>
      </c>
      <c r="P39">
        <v>0.32481500000000002</v>
      </c>
      <c r="Q39">
        <v>0.59317399999999998</v>
      </c>
      <c r="R39">
        <v>1.5808789999999999</v>
      </c>
      <c r="S39">
        <v>1.5494600000000001</v>
      </c>
      <c r="T39">
        <v>5.5890000000000002E-2</v>
      </c>
      <c r="U39">
        <v>4.9454999999999999E-2</v>
      </c>
      <c r="V39">
        <v>4.6709000000000001E-2</v>
      </c>
      <c r="W39">
        <v>4.5203E-2</v>
      </c>
    </row>
    <row r="40" spans="2:23" x14ac:dyDescent="0.25">
      <c r="B40" s="3" t="s">
        <v>115</v>
      </c>
      <c r="C40" t="s">
        <v>11</v>
      </c>
      <c r="D40">
        <v>34</v>
      </c>
      <c r="E40" t="s">
        <v>12</v>
      </c>
      <c r="G40">
        <v>1</v>
      </c>
      <c r="H40">
        <v>1</v>
      </c>
      <c r="I40">
        <v>1</v>
      </c>
      <c r="J40" t="s">
        <v>16</v>
      </c>
      <c r="K40" t="s">
        <v>12</v>
      </c>
      <c r="L40" s="2">
        <v>1</v>
      </c>
      <c r="M40" s="2">
        <v>2</v>
      </c>
      <c r="N40">
        <v>5</v>
      </c>
      <c r="O40">
        <v>2.3695430000000002</v>
      </c>
      <c r="P40">
        <v>0.17266500000000001</v>
      </c>
      <c r="Q40">
        <v>0.37128499999999998</v>
      </c>
      <c r="R40">
        <v>0.95947099999999996</v>
      </c>
      <c r="S40">
        <v>0.96636</v>
      </c>
      <c r="T40">
        <v>5.7107999999999999E-2</v>
      </c>
      <c r="U40">
        <v>5.2218000000000001E-2</v>
      </c>
      <c r="V40">
        <v>4.9688000000000003E-2</v>
      </c>
      <c r="W40">
        <v>4.8238999999999997E-2</v>
      </c>
    </row>
    <row r="41" spans="2:23" x14ac:dyDescent="0.25">
      <c r="B41" s="2" t="s">
        <v>121</v>
      </c>
      <c r="C41" t="s">
        <v>11</v>
      </c>
      <c r="D41">
        <v>35</v>
      </c>
      <c r="E41" t="s">
        <v>12</v>
      </c>
      <c r="G41">
        <v>1</v>
      </c>
      <c r="H41">
        <v>1</v>
      </c>
      <c r="I41">
        <v>1</v>
      </c>
      <c r="J41" t="s">
        <v>16</v>
      </c>
      <c r="K41" t="s">
        <v>12</v>
      </c>
      <c r="L41" s="2">
        <v>0</v>
      </c>
      <c r="M41">
        <v>1</v>
      </c>
      <c r="N41">
        <v>5</v>
      </c>
      <c r="O41">
        <v>2.5002300000000002</v>
      </c>
      <c r="P41">
        <v>0.54726600000000003</v>
      </c>
      <c r="Q41">
        <v>1.0039480000000001</v>
      </c>
      <c r="R41">
        <v>2.3553310000000001</v>
      </c>
      <c r="S41">
        <v>2.3338139999999998</v>
      </c>
      <c r="T41">
        <v>5.5337999999999998E-2</v>
      </c>
      <c r="U41">
        <v>5.0383999999999998E-2</v>
      </c>
      <c r="V41">
        <v>4.7835999999999997E-2</v>
      </c>
      <c r="W41">
        <v>4.6530000000000002E-2</v>
      </c>
    </row>
    <row r="42" spans="2:23" x14ac:dyDescent="0.25">
      <c r="B42" s="3" t="s">
        <v>116</v>
      </c>
      <c r="C42" t="s">
        <v>11</v>
      </c>
      <c r="D42">
        <v>35.1</v>
      </c>
      <c r="E42" t="s">
        <v>12</v>
      </c>
      <c r="G42">
        <v>1</v>
      </c>
      <c r="H42">
        <v>1</v>
      </c>
      <c r="I42">
        <v>1</v>
      </c>
      <c r="J42" t="s">
        <v>16</v>
      </c>
      <c r="K42" t="s">
        <v>12</v>
      </c>
      <c r="L42" s="2">
        <v>0</v>
      </c>
      <c r="M42" s="2">
        <v>2</v>
      </c>
      <c r="N42">
        <v>5</v>
      </c>
      <c r="O42">
        <v>1.691208</v>
      </c>
      <c r="P42">
        <v>0.29850300000000002</v>
      </c>
      <c r="Q42">
        <v>0.54425100000000004</v>
      </c>
      <c r="R42">
        <v>1.4539260000000001</v>
      </c>
      <c r="S42">
        <v>1.4227970000000001</v>
      </c>
      <c r="T42">
        <v>5.2970999999999997E-2</v>
      </c>
      <c r="U42">
        <v>4.8201000000000001E-2</v>
      </c>
      <c r="V42">
        <v>4.5364000000000002E-2</v>
      </c>
      <c r="W42">
        <v>4.3688999999999999E-2</v>
      </c>
    </row>
    <row r="43" spans="2:23" x14ac:dyDescent="0.25">
      <c r="B43" s="3" t="s">
        <v>116</v>
      </c>
      <c r="C43" t="s">
        <v>11</v>
      </c>
      <c r="D43">
        <v>36</v>
      </c>
      <c r="E43" t="s">
        <v>12</v>
      </c>
      <c r="G43">
        <v>1</v>
      </c>
      <c r="H43">
        <v>1</v>
      </c>
      <c r="I43">
        <v>1</v>
      </c>
      <c r="J43" t="s">
        <v>16</v>
      </c>
      <c r="K43" t="s">
        <v>12</v>
      </c>
      <c r="L43" s="2">
        <v>1</v>
      </c>
      <c r="M43" s="2">
        <v>2</v>
      </c>
      <c r="N43">
        <v>5</v>
      </c>
      <c r="O43">
        <v>2.227319</v>
      </c>
      <c r="P43">
        <v>0.15953999999999999</v>
      </c>
      <c r="Q43">
        <v>0.34127800000000003</v>
      </c>
      <c r="R43">
        <v>0.87587800000000005</v>
      </c>
      <c r="S43">
        <v>0.88282000000000005</v>
      </c>
      <c r="T43">
        <v>5.5884999999999997E-2</v>
      </c>
      <c r="U43">
        <v>5.1015999999999999E-2</v>
      </c>
      <c r="V43">
        <v>4.8462999999999999E-2</v>
      </c>
      <c r="W43">
        <v>4.7035E-2</v>
      </c>
    </row>
    <row r="44" spans="2:23" x14ac:dyDescent="0.25">
      <c r="B44" s="2" t="s">
        <v>99</v>
      </c>
      <c r="C44" t="s">
        <v>11</v>
      </c>
      <c r="D44">
        <v>37</v>
      </c>
      <c r="E44" t="s">
        <v>12</v>
      </c>
      <c r="G44">
        <v>1</v>
      </c>
      <c r="H44">
        <v>1</v>
      </c>
      <c r="I44">
        <v>1</v>
      </c>
      <c r="J44" t="s">
        <v>16</v>
      </c>
      <c r="K44" t="s">
        <v>12</v>
      </c>
      <c r="L44" s="2">
        <v>0</v>
      </c>
      <c r="M44">
        <v>1</v>
      </c>
      <c r="N44">
        <v>5</v>
      </c>
      <c r="O44">
        <v>1.945594</v>
      </c>
      <c r="P44">
        <v>0.33917000000000003</v>
      </c>
      <c r="Q44">
        <v>0.62937600000000005</v>
      </c>
      <c r="R44">
        <v>1.672212</v>
      </c>
      <c r="S44">
        <v>1.6359429999999999</v>
      </c>
      <c r="T44">
        <v>5.1166999999999997E-2</v>
      </c>
      <c r="U44">
        <v>4.5716E-2</v>
      </c>
      <c r="V44">
        <v>4.3083999999999997E-2</v>
      </c>
      <c r="W44">
        <v>4.1898999999999999E-2</v>
      </c>
    </row>
    <row r="45" spans="2:23" x14ac:dyDescent="0.25">
      <c r="B45" s="2" t="s">
        <v>99</v>
      </c>
      <c r="C45" t="s">
        <v>11</v>
      </c>
      <c r="D45">
        <v>38</v>
      </c>
      <c r="E45" t="s">
        <v>12</v>
      </c>
      <c r="G45">
        <v>1</v>
      </c>
      <c r="H45">
        <v>1</v>
      </c>
      <c r="I45">
        <v>1</v>
      </c>
      <c r="J45" t="s">
        <v>16</v>
      </c>
      <c r="K45" t="s">
        <v>12</v>
      </c>
      <c r="L45" s="2">
        <v>1</v>
      </c>
      <c r="M45">
        <v>1</v>
      </c>
      <c r="N45">
        <v>5</v>
      </c>
      <c r="O45">
        <v>2.40523</v>
      </c>
      <c r="P45">
        <v>0.17633199999999999</v>
      </c>
      <c r="Q45">
        <v>0.38691700000000001</v>
      </c>
      <c r="R45">
        <v>1.006578</v>
      </c>
      <c r="S45">
        <v>1.0143899999999999</v>
      </c>
      <c r="T45">
        <v>5.389E-2</v>
      </c>
      <c r="U45">
        <v>4.9001000000000003E-2</v>
      </c>
      <c r="V45">
        <v>4.6478999999999999E-2</v>
      </c>
      <c r="W45">
        <v>4.5121000000000001E-2</v>
      </c>
    </row>
    <row r="46" spans="2:23" x14ac:dyDescent="0.25">
      <c r="B46" s="2" t="s">
        <v>100</v>
      </c>
      <c r="C46" t="s">
        <v>11</v>
      </c>
      <c r="D46">
        <v>39</v>
      </c>
      <c r="E46" t="s">
        <v>12</v>
      </c>
      <c r="G46">
        <v>1</v>
      </c>
      <c r="H46">
        <v>1</v>
      </c>
      <c r="I46">
        <v>1</v>
      </c>
      <c r="J46" t="s">
        <v>16</v>
      </c>
      <c r="K46" t="s">
        <v>12</v>
      </c>
      <c r="L46" s="2">
        <v>0</v>
      </c>
      <c r="M46">
        <v>1</v>
      </c>
      <c r="N46">
        <v>5</v>
      </c>
      <c r="O46">
        <v>0.44203700000000001</v>
      </c>
      <c r="P46">
        <v>0.103191</v>
      </c>
      <c r="Q46">
        <v>0.15837899999999999</v>
      </c>
      <c r="R46">
        <v>0.392202</v>
      </c>
      <c r="S46">
        <v>0.38660699999999998</v>
      </c>
      <c r="T46">
        <v>5.3763999999999999E-2</v>
      </c>
      <c r="U46">
        <v>4.9482999999999999E-2</v>
      </c>
      <c r="V46">
        <v>4.7376000000000001E-2</v>
      </c>
      <c r="W46">
        <v>4.6246000000000002E-2</v>
      </c>
    </row>
    <row r="47" spans="2:23" x14ac:dyDescent="0.25">
      <c r="B47" s="2" t="s">
        <v>100</v>
      </c>
      <c r="C47" t="s">
        <v>11</v>
      </c>
      <c r="D47">
        <v>40</v>
      </c>
      <c r="E47" t="s">
        <v>12</v>
      </c>
      <c r="G47">
        <v>1</v>
      </c>
      <c r="H47">
        <v>1</v>
      </c>
      <c r="I47">
        <v>1</v>
      </c>
      <c r="J47" t="s">
        <v>16</v>
      </c>
      <c r="K47" t="s">
        <v>12</v>
      </c>
      <c r="L47" s="2">
        <v>1</v>
      </c>
      <c r="M47">
        <v>1</v>
      </c>
      <c r="N47">
        <v>5</v>
      </c>
      <c r="O47">
        <v>0.62078</v>
      </c>
      <c r="P47">
        <v>6.9196999999999995E-2</v>
      </c>
      <c r="Q47">
        <v>0.112718</v>
      </c>
      <c r="R47">
        <v>0.24321000000000001</v>
      </c>
      <c r="S47">
        <v>0.24490600000000001</v>
      </c>
      <c r="T47">
        <v>5.7433999999999999E-2</v>
      </c>
      <c r="U47">
        <v>5.3452E-2</v>
      </c>
      <c r="V47">
        <v>5.1496E-2</v>
      </c>
      <c r="W47">
        <v>5.042E-2</v>
      </c>
    </row>
    <row r="48" spans="2:23" x14ac:dyDescent="0.25">
      <c r="B48" s="2" t="s">
        <v>101</v>
      </c>
      <c r="C48" t="s">
        <v>11</v>
      </c>
      <c r="D48">
        <v>41</v>
      </c>
      <c r="E48" t="s">
        <v>12</v>
      </c>
      <c r="G48">
        <v>1</v>
      </c>
      <c r="H48">
        <v>1</v>
      </c>
      <c r="I48">
        <v>1</v>
      </c>
      <c r="J48" t="s">
        <v>16</v>
      </c>
      <c r="K48" t="s">
        <v>12</v>
      </c>
      <c r="L48" s="2">
        <v>0</v>
      </c>
      <c r="M48">
        <v>1</v>
      </c>
      <c r="N48">
        <v>5</v>
      </c>
      <c r="O48">
        <v>0.21751699999999999</v>
      </c>
      <c r="P48">
        <v>6.1703000000000001E-2</v>
      </c>
      <c r="Q48">
        <v>8.7240999999999999E-2</v>
      </c>
      <c r="R48">
        <v>0.18526400000000001</v>
      </c>
      <c r="S48">
        <v>0.18113299999999999</v>
      </c>
      <c r="T48">
        <v>4.8113000000000003E-2</v>
      </c>
      <c r="U48">
        <v>4.2825000000000002E-2</v>
      </c>
      <c r="V48">
        <v>4.0212999999999999E-2</v>
      </c>
      <c r="W48">
        <v>3.8983999999999998E-2</v>
      </c>
    </row>
    <row r="49" spans="2:23" x14ac:dyDescent="0.25">
      <c r="B49" s="2" t="s">
        <v>101</v>
      </c>
      <c r="C49" t="s">
        <v>11</v>
      </c>
      <c r="D49">
        <v>42</v>
      </c>
      <c r="E49" t="s">
        <v>12</v>
      </c>
      <c r="G49">
        <v>1</v>
      </c>
      <c r="H49">
        <v>1</v>
      </c>
      <c r="I49">
        <v>1</v>
      </c>
      <c r="J49" t="s">
        <v>16</v>
      </c>
      <c r="K49" t="s">
        <v>12</v>
      </c>
      <c r="L49" s="2">
        <v>1</v>
      </c>
      <c r="M49">
        <v>1</v>
      </c>
      <c r="N49">
        <v>5</v>
      </c>
      <c r="O49">
        <v>0.30038500000000001</v>
      </c>
      <c r="P49">
        <v>5.1291999999999997E-2</v>
      </c>
      <c r="Q49">
        <v>6.8595000000000003E-2</v>
      </c>
      <c r="R49">
        <v>0.125357</v>
      </c>
      <c r="S49">
        <v>0.12601799999999999</v>
      </c>
      <c r="T49">
        <v>5.3580999999999997E-2</v>
      </c>
      <c r="U49">
        <v>4.8648999999999998E-2</v>
      </c>
      <c r="V49">
        <v>4.6167E-2</v>
      </c>
      <c r="W49">
        <v>4.4937999999999999E-2</v>
      </c>
    </row>
    <row r="50" spans="2:23" x14ac:dyDescent="0.25">
      <c r="B50" s="2" t="s">
        <v>102</v>
      </c>
      <c r="C50" t="s">
        <v>11</v>
      </c>
      <c r="D50">
        <v>43</v>
      </c>
      <c r="E50" t="s">
        <v>12</v>
      </c>
      <c r="G50">
        <v>1</v>
      </c>
      <c r="H50">
        <v>1</v>
      </c>
      <c r="I50">
        <v>1</v>
      </c>
      <c r="J50" t="s">
        <v>16</v>
      </c>
      <c r="K50" t="s">
        <v>12</v>
      </c>
      <c r="L50" s="2">
        <v>0</v>
      </c>
      <c r="M50">
        <v>1</v>
      </c>
      <c r="N50">
        <v>5</v>
      </c>
      <c r="O50">
        <v>0.11642</v>
      </c>
      <c r="P50">
        <v>4.8821000000000003E-2</v>
      </c>
      <c r="Q50">
        <v>5.7401000000000001E-2</v>
      </c>
      <c r="R50">
        <v>9.8629999999999995E-2</v>
      </c>
      <c r="S50">
        <v>9.7605999999999998E-2</v>
      </c>
      <c r="T50">
        <v>5.4885999999999997E-2</v>
      </c>
      <c r="U50">
        <v>5.0480999999999998E-2</v>
      </c>
      <c r="V50">
        <v>4.8379999999999999E-2</v>
      </c>
      <c r="W50">
        <v>4.7287000000000003E-2</v>
      </c>
    </row>
    <row r="51" spans="2:23" x14ac:dyDescent="0.25">
      <c r="B51" s="2" t="s">
        <v>102</v>
      </c>
      <c r="C51" t="s">
        <v>11</v>
      </c>
      <c r="D51">
        <v>44</v>
      </c>
      <c r="E51" t="s">
        <v>12</v>
      </c>
      <c r="G51">
        <v>1</v>
      </c>
      <c r="H51">
        <v>1</v>
      </c>
      <c r="I51">
        <v>1</v>
      </c>
      <c r="J51" t="s">
        <v>16</v>
      </c>
      <c r="K51" t="s">
        <v>12</v>
      </c>
      <c r="L51" s="2">
        <v>1</v>
      </c>
      <c r="M51">
        <v>1</v>
      </c>
      <c r="N51">
        <v>5</v>
      </c>
      <c r="O51">
        <v>0.14438400000000001</v>
      </c>
      <c r="P51">
        <v>4.1116E-2</v>
      </c>
      <c r="Q51">
        <v>4.7670999999999998E-2</v>
      </c>
      <c r="R51">
        <v>7.0786000000000002E-2</v>
      </c>
      <c r="S51">
        <v>7.1068000000000006E-2</v>
      </c>
      <c r="T51">
        <v>5.4857999999999997E-2</v>
      </c>
      <c r="U51">
        <v>5.0764999999999998E-2</v>
      </c>
      <c r="V51">
        <v>4.8772999999999997E-2</v>
      </c>
      <c r="W51">
        <v>4.7718999999999998E-2</v>
      </c>
    </row>
    <row r="52" spans="2:23" x14ac:dyDescent="0.25">
      <c r="B52" s="2" t="s">
        <v>103</v>
      </c>
      <c r="C52" t="s">
        <v>11</v>
      </c>
      <c r="D52">
        <v>45</v>
      </c>
      <c r="E52" t="s">
        <v>12</v>
      </c>
      <c r="G52">
        <v>1</v>
      </c>
      <c r="H52">
        <v>1</v>
      </c>
      <c r="I52">
        <v>1</v>
      </c>
      <c r="J52" t="s">
        <v>16</v>
      </c>
      <c r="K52" t="s">
        <v>12</v>
      </c>
      <c r="L52" s="2">
        <v>0</v>
      </c>
      <c r="M52">
        <v>1</v>
      </c>
      <c r="N52">
        <v>5</v>
      </c>
      <c r="O52">
        <v>8.6556999999999995E-2</v>
      </c>
      <c r="P52">
        <v>4.1869000000000003E-2</v>
      </c>
      <c r="Q52">
        <v>4.5982000000000002E-2</v>
      </c>
      <c r="R52">
        <v>6.8983000000000003E-2</v>
      </c>
      <c r="S52">
        <v>6.8285999999999999E-2</v>
      </c>
      <c r="T52">
        <v>5.0798999999999997E-2</v>
      </c>
      <c r="U52">
        <v>4.6056E-2</v>
      </c>
      <c r="V52">
        <v>4.3672000000000002E-2</v>
      </c>
      <c r="W52">
        <v>4.2525E-2</v>
      </c>
    </row>
    <row r="53" spans="2:23" x14ac:dyDescent="0.25">
      <c r="B53" s="2" t="s">
        <v>103</v>
      </c>
      <c r="C53" t="s">
        <v>11</v>
      </c>
      <c r="D53">
        <v>46</v>
      </c>
      <c r="E53" t="s">
        <v>12</v>
      </c>
      <c r="G53">
        <v>1</v>
      </c>
      <c r="H53">
        <v>1</v>
      </c>
      <c r="I53">
        <v>1</v>
      </c>
      <c r="J53" t="s">
        <v>16</v>
      </c>
      <c r="K53" t="s">
        <v>12</v>
      </c>
      <c r="L53" s="2">
        <v>1</v>
      </c>
      <c r="M53">
        <v>1</v>
      </c>
      <c r="N53">
        <v>5</v>
      </c>
      <c r="O53">
        <v>0.104309</v>
      </c>
      <c r="P53">
        <v>4.0531999999999999E-2</v>
      </c>
      <c r="Q53">
        <v>4.3246E-2</v>
      </c>
      <c r="R53">
        <v>5.6131E-2</v>
      </c>
      <c r="S53">
        <v>5.6279999999999997E-2</v>
      </c>
      <c r="T53">
        <v>5.4571000000000001E-2</v>
      </c>
      <c r="U53">
        <v>5.0207000000000002E-2</v>
      </c>
      <c r="V53">
        <v>4.8010999999999998E-2</v>
      </c>
      <c r="W53">
        <v>4.6878999999999997E-2</v>
      </c>
    </row>
    <row r="54" spans="2:23" x14ac:dyDescent="0.25">
      <c r="B54" s="2" t="s">
        <v>104</v>
      </c>
      <c r="C54" t="s">
        <v>11</v>
      </c>
      <c r="D54">
        <v>47</v>
      </c>
      <c r="E54" t="s">
        <v>12</v>
      </c>
      <c r="G54">
        <v>1</v>
      </c>
      <c r="H54">
        <v>1</v>
      </c>
      <c r="I54">
        <v>1</v>
      </c>
      <c r="J54" t="s">
        <v>16</v>
      </c>
      <c r="K54" t="s">
        <v>12</v>
      </c>
      <c r="L54" s="2">
        <v>0</v>
      </c>
      <c r="M54">
        <v>1</v>
      </c>
      <c r="N54">
        <v>5</v>
      </c>
      <c r="O54">
        <v>0.27655200000000002</v>
      </c>
      <c r="P54">
        <v>7.6400999999999997E-2</v>
      </c>
      <c r="Q54">
        <v>0.106903</v>
      </c>
      <c r="R54">
        <v>0.23805999999999999</v>
      </c>
      <c r="S54">
        <v>0.23474400000000001</v>
      </c>
      <c r="T54">
        <v>5.6262E-2</v>
      </c>
      <c r="U54">
        <v>5.1859000000000002E-2</v>
      </c>
      <c r="V54">
        <v>4.9651000000000001E-2</v>
      </c>
      <c r="W54">
        <v>4.8561E-2</v>
      </c>
    </row>
    <row r="55" spans="2:23" x14ac:dyDescent="0.25">
      <c r="B55" s="2" t="s">
        <v>104</v>
      </c>
      <c r="C55" t="s">
        <v>11</v>
      </c>
      <c r="D55">
        <v>48</v>
      </c>
      <c r="E55" t="s">
        <v>12</v>
      </c>
      <c r="G55">
        <v>1</v>
      </c>
      <c r="H55">
        <v>1</v>
      </c>
      <c r="I55">
        <v>1</v>
      </c>
      <c r="J55" t="s">
        <v>16</v>
      </c>
      <c r="K55" t="s">
        <v>12</v>
      </c>
      <c r="L55" s="2">
        <v>1</v>
      </c>
      <c r="M55">
        <v>1</v>
      </c>
      <c r="N55">
        <v>5</v>
      </c>
      <c r="O55">
        <v>0.36952299999999999</v>
      </c>
      <c r="P55">
        <v>5.3700999999999999E-2</v>
      </c>
      <c r="Q55">
        <v>7.7102000000000004E-2</v>
      </c>
      <c r="R55">
        <v>0.14973600000000001</v>
      </c>
      <c r="S55">
        <v>0.15063699999999999</v>
      </c>
      <c r="T55">
        <v>5.5084000000000001E-2</v>
      </c>
      <c r="U55">
        <v>5.0886000000000001E-2</v>
      </c>
      <c r="V55">
        <v>4.8836999999999998E-2</v>
      </c>
      <c r="W55">
        <v>4.7737000000000002E-2</v>
      </c>
    </row>
    <row r="56" spans="2:23" x14ac:dyDescent="0.25">
      <c r="B56" s="2" t="s">
        <v>105</v>
      </c>
      <c r="C56" t="s">
        <v>11</v>
      </c>
      <c r="D56">
        <v>49</v>
      </c>
      <c r="E56" t="s">
        <v>12</v>
      </c>
      <c r="G56">
        <v>1</v>
      </c>
      <c r="H56">
        <v>1</v>
      </c>
      <c r="I56">
        <v>1</v>
      </c>
      <c r="J56" t="s">
        <v>16</v>
      </c>
      <c r="K56" t="s">
        <v>12</v>
      </c>
      <c r="L56" s="2">
        <v>0</v>
      </c>
      <c r="M56">
        <v>1</v>
      </c>
      <c r="N56">
        <v>5</v>
      </c>
      <c r="O56">
        <v>4.7788999999999998E-2</v>
      </c>
      <c r="P56">
        <v>3.5096000000000002E-2</v>
      </c>
      <c r="Q56">
        <v>3.3343999999999999E-2</v>
      </c>
      <c r="R56">
        <v>3.3683999999999999E-2</v>
      </c>
      <c r="S56">
        <v>3.3634999999999998E-2</v>
      </c>
      <c r="T56">
        <v>5.0249000000000002E-2</v>
      </c>
      <c r="U56">
        <v>4.5540999999999998E-2</v>
      </c>
      <c r="V56">
        <v>4.3193000000000002E-2</v>
      </c>
      <c r="W56">
        <v>4.2016999999999999E-2</v>
      </c>
    </row>
    <row r="57" spans="2:23" x14ac:dyDescent="0.25">
      <c r="B57" s="2" t="s">
        <v>105</v>
      </c>
      <c r="C57" t="s">
        <v>11</v>
      </c>
      <c r="D57">
        <v>50</v>
      </c>
      <c r="E57" t="s">
        <v>12</v>
      </c>
      <c r="G57">
        <v>1</v>
      </c>
      <c r="H57">
        <v>1</v>
      </c>
      <c r="I57">
        <v>1</v>
      </c>
      <c r="J57" t="s">
        <v>16</v>
      </c>
      <c r="K57" t="s">
        <v>12</v>
      </c>
      <c r="L57" s="2">
        <v>1</v>
      </c>
      <c r="M57">
        <v>1</v>
      </c>
      <c r="N57">
        <v>5</v>
      </c>
      <c r="O57">
        <v>4.7073999999999998E-2</v>
      </c>
      <c r="P57">
        <v>3.5986999999999998E-2</v>
      </c>
      <c r="Q57">
        <v>3.4293999999999998E-2</v>
      </c>
      <c r="R57">
        <v>3.4735000000000002E-2</v>
      </c>
      <c r="S57">
        <v>3.4680999999999997E-2</v>
      </c>
      <c r="T57">
        <v>5.2783999999999998E-2</v>
      </c>
      <c r="U57">
        <v>4.8437000000000001E-2</v>
      </c>
      <c r="V57">
        <v>4.6259000000000002E-2</v>
      </c>
      <c r="W57">
        <v>4.5130000000000003E-2</v>
      </c>
    </row>
    <row r="58" spans="2:23" x14ac:dyDescent="0.25">
      <c r="B58" s="2" t="s">
        <v>106</v>
      </c>
      <c r="C58" t="s">
        <v>18</v>
      </c>
      <c r="D58">
        <v>51</v>
      </c>
      <c r="E58" t="s">
        <v>12</v>
      </c>
      <c r="G58">
        <v>1</v>
      </c>
      <c r="H58">
        <v>1</v>
      </c>
      <c r="I58">
        <v>1</v>
      </c>
      <c r="J58" t="s">
        <v>16</v>
      </c>
      <c r="K58" t="s">
        <v>12</v>
      </c>
      <c r="L58" s="2">
        <v>0</v>
      </c>
      <c r="M58">
        <v>1</v>
      </c>
      <c r="N58">
        <v>5</v>
      </c>
      <c r="O58">
        <v>5.6801999999999998E-2</v>
      </c>
      <c r="P58">
        <v>3.9310999999999999E-2</v>
      </c>
      <c r="Q58">
        <v>3.7872000000000003E-2</v>
      </c>
      <c r="R58">
        <v>3.841E-2</v>
      </c>
      <c r="S58">
        <v>3.8356000000000001E-2</v>
      </c>
      <c r="T58">
        <v>5.1679999999999997E-2</v>
      </c>
      <c r="U58">
        <v>4.6448000000000003E-2</v>
      </c>
      <c r="V58">
        <v>4.3804999999999997E-2</v>
      </c>
      <c r="W58">
        <v>4.2597999999999997E-2</v>
      </c>
    </row>
    <row r="59" spans="2:23" x14ac:dyDescent="0.25">
      <c r="B59" s="2" t="s">
        <v>106</v>
      </c>
      <c r="C59" t="s">
        <v>11</v>
      </c>
      <c r="D59">
        <v>52</v>
      </c>
      <c r="E59" t="s">
        <v>12</v>
      </c>
      <c r="G59">
        <v>1</v>
      </c>
      <c r="H59">
        <v>1</v>
      </c>
      <c r="I59">
        <v>1</v>
      </c>
      <c r="J59" t="s">
        <v>16</v>
      </c>
      <c r="K59" t="s">
        <v>12</v>
      </c>
      <c r="L59" s="2">
        <v>1</v>
      </c>
      <c r="M59">
        <v>1</v>
      </c>
      <c r="N59">
        <v>5</v>
      </c>
      <c r="O59">
        <v>5.2463999999999997E-2</v>
      </c>
      <c r="P59">
        <v>3.7157000000000003E-2</v>
      </c>
      <c r="Q59">
        <v>3.5730999999999999E-2</v>
      </c>
      <c r="R59">
        <v>3.6179000000000003E-2</v>
      </c>
      <c r="S59">
        <v>3.6143000000000002E-2</v>
      </c>
      <c r="T59">
        <v>5.1461E-2</v>
      </c>
      <c r="U59">
        <v>4.6563E-2</v>
      </c>
      <c r="V59">
        <v>4.4041999999999998E-2</v>
      </c>
      <c r="W59">
        <v>4.2819999999999997E-2</v>
      </c>
    </row>
    <row r="60" spans="2:23" x14ac:dyDescent="0.25">
      <c r="B60" s="2" t="s">
        <v>107</v>
      </c>
      <c r="C60" t="s">
        <v>11</v>
      </c>
      <c r="D60">
        <v>53</v>
      </c>
      <c r="E60" t="s">
        <v>12</v>
      </c>
      <c r="G60">
        <v>1</v>
      </c>
      <c r="H60">
        <v>1</v>
      </c>
      <c r="I60">
        <v>1</v>
      </c>
      <c r="J60" t="s">
        <v>15</v>
      </c>
      <c r="K60" t="s">
        <v>12</v>
      </c>
      <c r="L60" s="2">
        <v>0</v>
      </c>
      <c r="M60">
        <v>1</v>
      </c>
      <c r="N60">
        <v>5</v>
      </c>
      <c r="O60">
        <v>0.58807900000000002</v>
      </c>
      <c r="P60">
        <v>0.15499099999999999</v>
      </c>
      <c r="Q60">
        <v>0.234072</v>
      </c>
      <c r="R60">
        <v>0.81963399999999997</v>
      </c>
      <c r="S60">
        <v>0.80201299999999998</v>
      </c>
      <c r="T60">
        <v>5.1908999999999997E-2</v>
      </c>
      <c r="U60">
        <v>4.7065000000000003E-2</v>
      </c>
      <c r="V60">
        <v>4.4609000000000003E-2</v>
      </c>
      <c r="W60">
        <v>4.3492999999999997E-2</v>
      </c>
    </row>
    <row r="61" spans="2:23" x14ac:dyDescent="0.25">
      <c r="B61" s="2" t="s">
        <v>108</v>
      </c>
      <c r="C61" t="s">
        <v>11</v>
      </c>
      <c r="D61">
        <v>54</v>
      </c>
      <c r="E61" t="s">
        <v>12</v>
      </c>
      <c r="G61">
        <v>1</v>
      </c>
      <c r="H61">
        <v>1</v>
      </c>
      <c r="I61">
        <v>1</v>
      </c>
      <c r="J61" t="s">
        <v>15</v>
      </c>
      <c r="K61" t="s">
        <v>12</v>
      </c>
      <c r="L61" s="2">
        <v>0</v>
      </c>
      <c r="M61">
        <v>1</v>
      </c>
      <c r="N61">
        <v>5</v>
      </c>
      <c r="O61">
        <v>0.41490899999999997</v>
      </c>
      <c r="P61">
        <v>0.31573200000000001</v>
      </c>
      <c r="Q61">
        <v>0.31455899999999998</v>
      </c>
      <c r="R61">
        <v>0.31302200000000002</v>
      </c>
      <c r="S61">
        <v>0.31286900000000001</v>
      </c>
      <c r="T61">
        <v>0.32488299999999998</v>
      </c>
      <c r="U61">
        <v>0.32731199999999999</v>
      </c>
      <c r="V61">
        <v>0.33007799999999998</v>
      </c>
      <c r="W61">
        <v>0.33288499999999999</v>
      </c>
    </row>
    <row r="62" spans="2:23" x14ac:dyDescent="0.25">
      <c r="B62" s="2" t="s">
        <v>109</v>
      </c>
      <c r="C62" t="s">
        <v>11</v>
      </c>
      <c r="D62">
        <v>55</v>
      </c>
      <c r="E62" t="s">
        <v>12</v>
      </c>
      <c r="G62">
        <v>1</v>
      </c>
      <c r="H62">
        <v>1</v>
      </c>
      <c r="I62">
        <v>1</v>
      </c>
      <c r="J62" t="s">
        <v>13</v>
      </c>
      <c r="K62" t="s">
        <v>12</v>
      </c>
      <c r="L62" s="2">
        <v>0</v>
      </c>
      <c r="M62">
        <v>1</v>
      </c>
      <c r="N62">
        <v>12</v>
      </c>
      <c r="O62">
        <v>3.9426000000000003E-2</v>
      </c>
      <c r="P62">
        <v>3.5875999999999998E-2</v>
      </c>
      <c r="Q62">
        <v>3.4445999999999997E-2</v>
      </c>
      <c r="R62">
        <v>3.4854000000000003E-2</v>
      </c>
      <c r="S62">
        <v>3.4846000000000002E-2</v>
      </c>
      <c r="T62">
        <v>5.1110999999999997E-2</v>
      </c>
      <c r="U62">
        <v>4.6314000000000001E-2</v>
      </c>
      <c r="V62">
        <v>4.3895999999999998E-2</v>
      </c>
      <c r="W62">
        <v>4.2798000000000003E-2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2"/>
  <sheetViews>
    <sheetView workbookViewId="0">
      <selection activeCell="E48" sqref="A1:U62"/>
    </sheetView>
  </sheetViews>
  <sheetFormatPr defaultRowHeight="15" x14ac:dyDescent="0.25"/>
  <cols>
    <col min="4" max="4" width="18.7109375" style="1" customWidth="1"/>
  </cols>
  <sheetData>
    <row r="1" spans="1:21" x14ac:dyDescent="0.25">
      <c r="A1" t="s">
        <v>0</v>
      </c>
      <c r="B1" t="s">
        <v>1</v>
      </c>
      <c r="C1" t="s">
        <v>2</v>
      </c>
      <c r="D1" s="1" t="s">
        <v>20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>
        <v>400</v>
      </c>
      <c r="N1">
        <v>630</v>
      </c>
      <c r="O1">
        <v>647</v>
      </c>
      <c r="P1">
        <v>664</v>
      </c>
      <c r="Q1">
        <v>665</v>
      </c>
      <c r="R1">
        <v>745</v>
      </c>
      <c r="S1">
        <v>750</v>
      </c>
      <c r="T1">
        <v>755</v>
      </c>
      <c r="U1">
        <v>760</v>
      </c>
    </row>
    <row r="2" spans="1:21" x14ac:dyDescent="0.25">
      <c r="A2" t="s">
        <v>11</v>
      </c>
      <c r="B2">
        <v>1</v>
      </c>
      <c r="C2" t="s">
        <v>12</v>
      </c>
      <c r="D2" t="s">
        <v>19</v>
      </c>
      <c r="E2">
        <v>1</v>
      </c>
      <c r="F2">
        <v>1</v>
      </c>
      <c r="G2">
        <v>1</v>
      </c>
      <c r="H2" t="s">
        <v>13</v>
      </c>
      <c r="I2" t="s">
        <v>12</v>
      </c>
      <c r="J2" t="s">
        <v>14</v>
      </c>
      <c r="K2">
        <v>1</v>
      </c>
      <c r="L2">
        <v>5</v>
      </c>
      <c r="M2">
        <f>VLOOKUP($D2,[1]Sheet2!$B$2:$K$63,2,FALSE)</f>
        <v>4.1286000000000003E-2</v>
      </c>
      <c r="N2">
        <f>VLOOKUP($D2,[1]Sheet2!$B$2:$K$63,3,FALSE)</f>
        <v>3.8135000000000002E-2</v>
      </c>
      <c r="O2">
        <f>VLOOKUP($D2,[1]Sheet2!$B$2:$K$63,4,FALSE)</f>
        <v>3.6609000000000003E-2</v>
      </c>
      <c r="P2">
        <f>VLOOKUP($D2,[1]Sheet2!$B$2:$K$63,5,FALSE)</f>
        <v>3.6898E-2</v>
      </c>
      <c r="Q2">
        <f>VLOOKUP($D2,[1]Sheet2!$B$2:$K$63,6,FALSE)</f>
        <v>3.6493999999999999E-2</v>
      </c>
      <c r="R2">
        <f>VLOOKUP($D2,[1]Sheet2!$B$2:$K$63,7,FALSE)</f>
        <v>5.3046000000000003E-2</v>
      </c>
      <c r="S2">
        <f>VLOOKUP($D2,[1]Sheet2!$B$2:$K$63,8,FALSE)</f>
        <v>4.8381E-2</v>
      </c>
      <c r="T2">
        <f>VLOOKUP($D2,[1]Sheet2!$B$2:$K$63,9,FALSE)</f>
        <v>4.6084E-2</v>
      </c>
      <c r="U2">
        <f>VLOOKUP($D2,[1]Sheet2!$B$2:$K$63,10,FALSE)</f>
        <v>4.5107000000000001E-2</v>
      </c>
    </row>
    <row r="3" spans="1:21" x14ac:dyDescent="0.25">
      <c r="A3" t="s">
        <v>11</v>
      </c>
      <c r="B3">
        <v>2</v>
      </c>
      <c r="C3" t="s">
        <v>12</v>
      </c>
      <c r="D3" s="1" t="s">
        <v>21</v>
      </c>
      <c r="E3">
        <v>1</v>
      </c>
      <c r="F3">
        <v>1</v>
      </c>
      <c r="G3">
        <v>1</v>
      </c>
      <c r="H3" t="s">
        <v>13</v>
      </c>
      <c r="I3" t="s">
        <v>12</v>
      </c>
      <c r="J3" t="s">
        <v>14</v>
      </c>
      <c r="K3">
        <v>1</v>
      </c>
      <c r="L3">
        <v>5</v>
      </c>
      <c r="M3">
        <f>VLOOKUP($D3,[1]Sheet2!$B$2:$K$63,2,FALSE)</f>
        <v>4.1413999999999999E-2</v>
      </c>
      <c r="N3">
        <f>VLOOKUP($D3,[1]Sheet2!$B$2:$K$63,3,FALSE)</f>
        <v>3.8163000000000002E-2</v>
      </c>
      <c r="O3">
        <f>VLOOKUP($D3,[1]Sheet2!$B$2:$K$63,4,FALSE)</f>
        <v>3.6706000000000003E-2</v>
      </c>
      <c r="P3">
        <f>VLOOKUP($D3,[1]Sheet2!$B$2:$K$63,5,FALSE)</f>
        <v>3.6708999999999999E-2</v>
      </c>
      <c r="Q3">
        <f>VLOOKUP($D3,[1]Sheet2!$B$2:$K$63,6,FALSE)</f>
        <v>3.6803000000000002E-2</v>
      </c>
      <c r="R3">
        <f>VLOOKUP($D3,[1]Sheet2!$B$2:$K$63,7,FALSE)</f>
        <v>5.3172999999999998E-2</v>
      </c>
      <c r="S3">
        <f>VLOOKUP($D3,[1]Sheet2!$B$2:$K$63,8,FALSE)</f>
        <v>4.8284000000000001E-2</v>
      </c>
      <c r="T3">
        <f>VLOOKUP($D3,[1]Sheet2!$B$2:$K$63,9,FALSE)</f>
        <v>4.5845999999999998E-2</v>
      </c>
      <c r="U3">
        <f>VLOOKUP($D3,[1]Sheet2!$B$2:$K$63,10,FALSE)</f>
        <v>4.4706000000000003E-2</v>
      </c>
    </row>
    <row r="4" spans="1:21" x14ac:dyDescent="0.25">
      <c r="A4" t="s">
        <v>11</v>
      </c>
      <c r="B4">
        <v>3</v>
      </c>
      <c r="C4" t="s">
        <v>12</v>
      </c>
      <c r="D4" s="1" t="s">
        <v>22</v>
      </c>
      <c r="E4">
        <v>1</v>
      </c>
      <c r="F4">
        <v>1</v>
      </c>
      <c r="G4">
        <v>1</v>
      </c>
      <c r="H4" t="s">
        <v>13</v>
      </c>
      <c r="I4" t="s">
        <v>12</v>
      </c>
      <c r="J4" t="s">
        <v>14</v>
      </c>
      <c r="K4">
        <v>1</v>
      </c>
      <c r="L4">
        <v>5</v>
      </c>
      <c r="M4">
        <f>VLOOKUP($D4,[1]Sheet2!$B$2:$K$63,2,FALSE)</f>
        <v>4.1607999999999999E-2</v>
      </c>
      <c r="N4">
        <f>VLOOKUP($D4,[1]Sheet2!$B$2:$K$63,3,FALSE)</f>
        <v>3.7926000000000001E-2</v>
      </c>
      <c r="O4">
        <f>VLOOKUP($D4,[1]Sheet2!$B$2:$K$63,4,FALSE)</f>
        <v>3.6353999999999997E-2</v>
      </c>
      <c r="P4">
        <f>VLOOKUP($D4,[1]Sheet2!$B$2:$K$63,5,FALSE)</f>
        <v>3.6963000000000003E-2</v>
      </c>
      <c r="Q4">
        <f>VLOOKUP($D4,[1]Sheet2!$B$2:$K$63,6,FALSE)</f>
        <v>3.6614000000000001E-2</v>
      </c>
      <c r="R4">
        <f>VLOOKUP($D4,[1]Sheet2!$B$2:$K$63,7,FALSE)</f>
        <v>5.3130999999999998E-2</v>
      </c>
      <c r="S4">
        <f>VLOOKUP($D4,[1]Sheet2!$B$2:$K$63,8,FALSE)</f>
        <v>4.8418000000000003E-2</v>
      </c>
      <c r="T4">
        <f>VLOOKUP($D4,[1]Sheet2!$B$2:$K$63,9,FALSE)</f>
        <v>4.5955999999999997E-2</v>
      </c>
      <c r="U4">
        <f>VLOOKUP($D4,[1]Sheet2!$B$2:$K$63,10,FALSE)</f>
        <v>4.4669E-2</v>
      </c>
    </row>
    <row r="5" spans="1:21" x14ac:dyDescent="0.25">
      <c r="A5" t="s">
        <v>11</v>
      </c>
      <c r="B5">
        <v>4</v>
      </c>
      <c r="C5" t="s">
        <v>12</v>
      </c>
      <c r="D5" s="1" t="s">
        <v>23</v>
      </c>
      <c r="E5">
        <v>1</v>
      </c>
      <c r="F5">
        <v>1</v>
      </c>
      <c r="G5">
        <v>1</v>
      </c>
      <c r="H5" t="s">
        <v>15</v>
      </c>
      <c r="I5" t="s">
        <v>12</v>
      </c>
      <c r="J5" t="s">
        <v>14</v>
      </c>
      <c r="K5">
        <v>1</v>
      </c>
      <c r="L5">
        <v>5</v>
      </c>
      <c r="M5">
        <f>VLOOKUP($D5,[1]Sheet2!$B$2:$K$63,2,FALSE)</f>
        <v>0.41356900000000002</v>
      </c>
      <c r="N5">
        <f>VLOOKUP($D5,[1]Sheet2!$B$2:$K$63,3,FALSE)</f>
        <v>0.31436999999999998</v>
      </c>
      <c r="O5">
        <f>VLOOKUP($D5,[1]Sheet2!$B$2:$K$63,4,FALSE)</f>
        <v>0.31313200000000002</v>
      </c>
      <c r="P5">
        <f>VLOOKUP($D5,[1]Sheet2!$B$2:$K$63,5,FALSE)</f>
        <v>0.31149100000000002</v>
      </c>
      <c r="Q5">
        <f>VLOOKUP($D5,[1]Sheet2!$B$2:$K$63,6,FALSE)</f>
        <v>0.31138100000000002</v>
      </c>
      <c r="R5">
        <f>VLOOKUP($D5,[1]Sheet2!$B$2:$K$63,7,FALSE)</f>
        <v>0.32336100000000001</v>
      </c>
      <c r="S5">
        <f>VLOOKUP($D5,[1]Sheet2!$B$2:$K$63,8,FALSE)</f>
        <v>0.32576699999999997</v>
      </c>
      <c r="T5">
        <f>VLOOKUP($D5,[1]Sheet2!$B$2:$K$63,9,FALSE)</f>
        <v>0.32851000000000002</v>
      </c>
      <c r="U5">
        <f>VLOOKUP($D5,[1]Sheet2!$B$2:$K$63,10,FALSE)</f>
        <v>0.33131899999999997</v>
      </c>
    </row>
    <row r="6" spans="1:21" x14ac:dyDescent="0.25">
      <c r="A6" t="s">
        <v>11</v>
      </c>
      <c r="B6">
        <v>5</v>
      </c>
      <c r="C6" t="s">
        <v>12</v>
      </c>
      <c r="D6" s="1" t="s">
        <v>24</v>
      </c>
      <c r="E6">
        <v>1</v>
      </c>
      <c r="F6">
        <v>1</v>
      </c>
      <c r="G6">
        <v>1</v>
      </c>
      <c r="H6" t="s">
        <v>15</v>
      </c>
      <c r="I6" t="s">
        <v>12</v>
      </c>
      <c r="J6" t="s">
        <v>14</v>
      </c>
      <c r="K6">
        <v>1</v>
      </c>
      <c r="L6">
        <v>5</v>
      </c>
      <c r="M6">
        <f>VLOOKUP($D6,[1]Sheet2!$B$2:$K$63,2,FALSE)</f>
        <v>0.41374699999999998</v>
      </c>
      <c r="N6">
        <f>VLOOKUP($D6,[1]Sheet2!$B$2:$K$63,3,FALSE)</f>
        <v>0.31430900000000001</v>
      </c>
      <c r="O6">
        <f>VLOOKUP($D6,[1]Sheet2!$B$2:$K$63,4,FALSE)</f>
        <v>0.31305300000000003</v>
      </c>
      <c r="P6">
        <f>VLOOKUP($D6,[1]Sheet2!$B$2:$K$63,5,FALSE)</f>
        <v>0.31146499999999999</v>
      </c>
      <c r="Q6">
        <f>VLOOKUP($D6,[1]Sheet2!$B$2:$K$63,6,FALSE)</f>
        <v>0.31134699999999998</v>
      </c>
      <c r="R6">
        <f>VLOOKUP($D6,[1]Sheet2!$B$2:$K$63,7,FALSE)</f>
        <v>0.32336999999999999</v>
      </c>
      <c r="S6">
        <f>VLOOKUP($D6,[1]Sheet2!$B$2:$K$63,8,FALSE)</f>
        <v>0.32575900000000002</v>
      </c>
      <c r="T6">
        <f>VLOOKUP($D6,[1]Sheet2!$B$2:$K$63,9,FALSE)</f>
        <v>0.32849200000000001</v>
      </c>
      <c r="U6">
        <f>VLOOKUP($D6,[1]Sheet2!$B$2:$K$63,10,FALSE)</f>
        <v>0.33124900000000002</v>
      </c>
    </row>
    <row r="7" spans="1:21" x14ac:dyDescent="0.25">
      <c r="A7" t="s">
        <v>11</v>
      </c>
      <c r="B7">
        <v>6</v>
      </c>
      <c r="C7" t="s">
        <v>12</v>
      </c>
      <c r="D7" s="1" t="s">
        <v>25</v>
      </c>
      <c r="E7">
        <v>1</v>
      </c>
      <c r="F7">
        <v>1</v>
      </c>
      <c r="G7">
        <v>1</v>
      </c>
      <c r="H7" t="s">
        <v>15</v>
      </c>
      <c r="I7" t="s">
        <v>12</v>
      </c>
      <c r="J7" t="s">
        <v>14</v>
      </c>
      <c r="K7">
        <v>1</v>
      </c>
      <c r="L7">
        <v>5</v>
      </c>
      <c r="M7">
        <f>VLOOKUP($D7,[1]Sheet2!$B$2:$K$63,2,FALSE)</f>
        <v>0.41383599999999998</v>
      </c>
      <c r="N7">
        <f>VLOOKUP($D7,[1]Sheet2!$B$2:$K$63,3,FALSE)</f>
        <v>0.31425599999999998</v>
      </c>
      <c r="O7">
        <f>VLOOKUP($D7,[1]Sheet2!$B$2:$K$63,4,FALSE)</f>
        <v>0.31305300000000003</v>
      </c>
      <c r="P7">
        <f>VLOOKUP($D7,[1]Sheet2!$B$2:$K$63,5,FALSE)</f>
        <v>0.31142999999999998</v>
      </c>
      <c r="Q7">
        <f>VLOOKUP($D7,[1]Sheet2!$B$2:$K$63,6,FALSE)</f>
        <v>0.31138100000000002</v>
      </c>
      <c r="R7">
        <f>VLOOKUP($D7,[1]Sheet2!$B$2:$K$63,7,FALSE)</f>
        <v>0.32338699999999998</v>
      </c>
      <c r="S7">
        <f>VLOOKUP($D7,[1]Sheet2!$B$2:$K$63,8,FALSE)</f>
        <v>0.32579399999999997</v>
      </c>
      <c r="T7">
        <f>VLOOKUP($D7,[1]Sheet2!$B$2:$K$63,9,FALSE)</f>
        <v>0.32851900000000001</v>
      </c>
      <c r="U7">
        <f>VLOOKUP($D7,[1]Sheet2!$B$2:$K$63,10,FALSE)</f>
        <v>0.331293</v>
      </c>
    </row>
    <row r="8" spans="1:21" x14ac:dyDescent="0.25">
      <c r="A8" t="s">
        <v>11</v>
      </c>
      <c r="B8">
        <v>7</v>
      </c>
      <c r="C8" t="s">
        <v>12</v>
      </c>
      <c r="D8" s="1" t="s">
        <v>26</v>
      </c>
      <c r="E8">
        <v>1</v>
      </c>
      <c r="F8">
        <v>1</v>
      </c>
      <c r="G8">
        <v>1</v>
      </c>
      <c r="H8" t="s">
        <v>15</v>
      </c>
      <c r="I8" t="s">
        <v>12</v>
      </c>
      <c r="J8" t="s">
        <v>14</v>
      </c>
      <c r="K8">
        <v>1</v>
      </c>
      <c r="L8">
        <v>5</v>
      </c>
      <c r="M8">
        <f>VLOOKUP($D8,[1]Sheet2!$B$2:$K$63,2,FALSE)</f>
        <v>0.58748</v>
      </c>
      <c r="N8">
        <f>VLOOKUP($D8,[1]Sheet2!$B$2:$K$63,3,FALSE)</f>
        <v>0.15534899999999999</v>
      </c>
      <c r="O8">
        <f>VLOOKUP($D8,[1]Sheet2!$B$2:$K$63,4,FALSE)</f>
        <v>0.23278399999999999</v>
      </c>
      <c r="P8">
        <f>VLOOKUP($D8,[1]Sheet2!$B$2:$K$63,5,FALSE)</f>
        <v>0.81845999999999997</v>
      </c>
      <c r="Q8">
        <f>VLOOKUP($D8,[1]Sheet2!$B$2:$K$63,6,FALSE)</f>
        <v>0.80169000000000001</v>
      </c>
      <c r="R8">
        <f>VLOOKUP($D8,[1]Sheet2!$B$2:$K$63,7,FALSE)</f>
        <v>5.3012999999999998E-2</v>
      </c>
      <c r="S8">
        <f>VLOOKUP($D8,[1]Sheet2!$B$2:$K$63,8,FALSE)</f>
        <v>4.7808000000000003E-2</v>
      </c>
      <c r="T8">
        <f>VLOOKUP($D8,[1]Sheet2!$B$2:$K$63,9,FALSE)</f>
        <v>4.5758E-2</v>
      </c>
      <c r="U8">
        <f>VLOOKUP($D8,[1]Sheet2!$B$2:$K$63,10,FALSE)</f>
        <v>4.4318000000000003E-2</v>
      </c>
    </row>
    <row r="9" spans="1:21" x14ac:dyDescent="0.25">
      <c r="A9" t="s">
        <v>11</v>
      </c>
      <c r="B9">
        <v>8</v>
      </c>
      <c r="C9" t="s">
        <v>12</v>
      </c>
      <c r="D9" s="1" t="s">
        <v>27</v>
      </c>
      <c r="E9">
        <v>1</v>
      </c>
      <c r="F9">
        <v>1</v>
      </c>
      <c r="G9">
        <v>1</v>
      </c>
      <c r="H9" t="s">
        <v>15</v>
      </c>
      <c r="I9" t="s">
        <v>12</v>
      </c>
      <c r="J9" t="s">
        <v>14</v>
      </c>
      <c r="K9">
        <v>1</v>
      </c>
      <c r="L9">
        <v>5</v>
      </c>
      <c r="M9">
        <f>VLOOKUP($D9,[1]Sheet2!$B$2:$K$63,2,FALSE)</f>
        <v>0.58668100000000001</v>
      </c>
      <c r="N9">
        <f>VLOOKUP($D9,[1]Sheet2!$B$2:$K$63,3,FALSE)</f>
        <v>0.15526400000000001</v>
      </c>
      <c r="O9">
        <f>VLOOKUP($D9,[1]Sheet2!$B$2:$K$63,4,FALSE)</f>
        <v>0.23225499999999999</v>
      </c>
      <c r="P9">
        <f>VLOOKUP($D9,[1]Sheet2!$B$2:$K$63,5,FALSE)</f>
        <v>0.81562199999999996</v>
      </c>
      <c r="Q9">
        <f>VLOOKUP($D9,[1]Sheet2!$B$2:$K$63,6,FALSE)</f>
        <v>0.79957400000000001</v>
      </c>
      <c r="R9">
        <f>VLOOKUP($D9,[1]Sheet2!$B$2:$K$63,7,FALSE)</f>
        <v>5.2746000000000001E-2</v>
      </c>
      <c r="S9">
        <f>VLOOKUP($D9,[1]Sheet2!$B$2:$K$63,8,FALSE)</f>
        <v>4.7927999999999998E-2</v>
      </c>
      <c r="T9">
        <f>VLOOKUP($D9,[1]Sheet2!$B$2:$K$63,9,FALSE)</f>
        <v>4.5515E-2</v>
      </c>
      <c r="U9">
        <f>VLOOKUP($D9,[1]Sheet2!$B$2:$K$63,10,FALSE)</f>
        <v>4.4304000000000003E-2</v>
      </c>
    </row>
    <row r="10" spans="1:21" x14ac:dyDescent="0.25">
      <c r="A10" t="s">
        <v>11</v>
      </c>
      <c r="B10">
        <v>9</v>
      </c>
      <c r="C10" t="s">
        <v>12</v>
      </c>
      <c r="D10" s="1" t="s">
        <v>28</v>
      </c>
      <c r="E10">
        <v>1</v>
      </c>
      <c r="F10">
        <v>1</v>
      </c>
      <c r="G10">
        <v>1</v>
      </c>
      <c r="H10" t="s">
        <v>15</v>
      </c>
      <c r="I10" t="s">
        <v>12</v>
      </c>
      <c r="J10" t="s">
        <v>14</v>
      </c>
      <c r="K10">
        <v>1</v>
      </c>
      <c r="L10">
        <v>5</v>
      </c>
      <c r="M10">
        <f>VLOOKUP($D10,[1]Sheet2!$B$2:$K$63,2,FALSE)</f>
        <v>0.58638299999999999</v>
      </c>
      <c r="N10">
        <f>VLOOKUP($D10,[1]Sheet2!$B$2:$K$63,3,FALSE)</f>
        <v>0.15516099999999999</v>
      </c>
      <c r="O10">
        <f>VLOOKUP($D10,[1]Sheet2!$B$2:$K$63,4,FALSE)</f>
        <v>0.232436</v>
      </c>
      <c r="P10">
        <f>VLOOKUP($D10,[1]Sheet2!$B$2:$K$63,5,FALSE)</f>
        <v>0.81462500000000004</v>
      </c>
      <c r="Q10">
        <f>VLOOKUP($D10,[1]Sheet2!$B$2:$K$63,6,FALSE)</f>
        <v>0.79856000000000005</v>
      </c>
      <c r="R10">
        <f>VLOOKUP($D10,[1]Sheet2!$B$2:$K$63,7,FALSE)</f>
        <v>5.2807E-2</v>
      </c>
      <c r="S10">
        <f>VLOOKUP($D10,[1]Sheet2!$B$2:$K$63,8,FALSE)</f>
        <v>4.7996999999999998E-2</v>
      </c>
      <c r="T10">
        <f>VLOOKUP($D10,[1]Sheet2!$B$2:$K$63,9,FALSE)</f>
        <v>4.5621000000000002E-2</v>
      </c>
      <c r="U10">
        <f>VLOOKUP($D10,[1]Sheet2!$B$2:$K$63,10,FALSE)</f>
        <v>4.4417999999999999E-2</v>
      </c>
    </row>
    <row r="11" spans="1:21" x14ac:dyDescent="0.25">
      <c r="A11" t="s">
        <v>11</v>
      </c>
      <c r="B11">
        <v>10</v>
      </c>
      <c r="C11" t="s">
        <v>12</v>
      </c>
      <c r="D11" s="1" t="s">
        <v>29</v>
      </c>
      <c r="E11">
        <v>1</v>
      </c>
      <c r="F11">
        <v>1</v>
      </c>
      <c r="G11">
        <v>1</v>
      </c>
      <c r="H11" t="s">
        <v>16</v>
      </c>
      <c r="I11" t="s">
        <v>12</v>
      </c>
      <c r="J11" t="s">
        <v>14</v>
      </c>
      <c r="K11">
        <v>1</v>
      </c>
      <c r="L11">
        <v>5</v>
      </c>
      <c r="M11">
        <f>VLOOKUP($D11,[1]Sheet2!$B$2:$K$63,2,FALSE)</f>
        <v>0.91263499999999997</v>
      </c>
      <c r="N11">
        <f>VLOOKUP($D11,[1]Sheet2!$B$2:$K$63,3,FALSE)</f>
        <v>0.17241200000000001</v>
      </c>
      <c r="O11">
        <f>VLOOKUP($D11,[1]Sheet2!$B$2:$K$63,4,FALSE)</f>
        <v>0.30964199999999997</v>
      </c>
      <c r="P11">
        <f>VLOOKUP($D11,[1]Sheet2!$B$2:$K$63,5,FALSE)</f>
        <v>0.80730100000000005</v>
      </c>
      <c r="Q11">
        <f>VLOOKUP($D11,[1]Sheet2!$B$2:$K$63,6,FALSE)</f>
        <v>0.78636300000000003</v>
      </c>
      <c r="R11">
        <f>VLOOKUP($D11,[1]Sheet2!$B$2:$K$63,7,FALSE)</f>
        <v>5.0282E-2</v>
      </c>
      <c r="S11">
        <f>VLOOKUP($D11,[1]Sheet2!$B$2:$K$63,8,FALSE)</f>
        <v>4.4902999999999998E-2</v>
      </c>
      <c r="T11">
        <f>VLOOKUP($D11,[1]Sheet2!$B$2:$K$63,9,FALSE)</f>
        <v>4.2283000000000001E-2</v>
      </c>
      <c r="U11">
        <f>VLOOKUP($D11,[1]Sheet2!$B$2:$K$63,10,FALSE)</f>
        <v>4.1174000000000002E-2</v>
      </c>
    </row>
    <row r="12" spans="1:21" x14ac:dyDescent="0.25">
      <c r="A12" t="s">
        <v>11</v>
      </c>
      <c r="B12">
        <v>11</v>
      </c>
      <c r="C12" t="s">
        <v>12</v>
      </c>
      <c r="D12" s="1" t="s">
        <v>30</v>
      </c>
      <c r="E12">
        <v>1</v>
      </c>
      <c r="F12">
        <v>1</v>
      </c>
      <c r="G12">
        <v>1</v>
      </c>
      <c r="H12" t="s">
        <v>16</v>
      </c>
      <c r="I12" t="s">
        <v>12</v>
      </c>
      <c r="J12" t="s">
        <v>17</v>
      </c>
      <c r="K12">
        <v>1</v>
      </c>
      <c r="L12">
        <v>5</v>
      </c>
      <c r="M12">
        <f>VLOOKUP($D12,[1]Sheet2!$B$2:$K$63,2,FALSE)</f>
        <v>1.3162240000000001</v>
      </c>
      <c r="N12">
        <f>VLOOKUP($D12,[1]Sheet2!$B$2:$K$63,3,FALSE)</f>
        <v>9.9219000000000002E-2</v>
      </c>
      <c r="O12">
        <f>VLOOKUP($D12,[1]Sheet2!$B$2:$K$63,4,FALSE)</f>
        <v>0.19245200000000001</v>
      </c>
      <c r="P12">
        <f>VLOOKUP($D12,[1]Sheet2!$B$2:$K$63,5,FALSE)</f>
        <v>0.48431099999999999</v>
      </c>
      <c r="Q12">
        <f>VLOOKUP($D12,[1]Sheet2!$B$2:$K$63,6,FALSE)</f>
        <v>0.48786800000000002</v>
      </c>
      <c r="R12">
        <f>VLOOKUP($D12,[1]Sheet2!$B$2:$K$63,7,FALSE)</f>
        <v>5.2727999999999997E-2</v>
      </c>
      <c r="S12">
        <f>VLOOKUP($D12,[1]Sheet2!$B$2:$K$63,8,FALSE)</f>
        <v>4.7702000000000001E-2</v>
      </c>
      <c r="T12">
        <f>VLOOKUP($D12,[1]Sheet2!$B$2:$K$63,9,FALSE)</f>
        <v>4.5102999999999997E-2</v>
      </c>
      <c r="U12">
        <f>VLOOKUP($D12,[1]Sheet2!$B$2:$K$63,10,FALSE)</f>
        <v>4.3811999999999997E-2</v>
      </c>
    </row>
    <row r="13" spans="1:21" x14ac:dyDescent="0.25">
      <c r="A13" t="s">
        <v>11</v>
      </c>
      <c r="B13">
        <v>12</v>
      </c>
      <c r="C13" t="s">
        <v>12</v>
      </c>
      <c r="D13" s="1" t="s">
        <v>31</v>
      </c>
      <c r="E13">
        <v>1</v>
      </c>
      <c r="F13">
        <v>1</v>
      </c>
      <c r="G13">
        <v>1</v>
      </c>
      <c r="H13" t="s">
        <v>16</v>
      </c>
      <c r="I13" t="s">
        <v>12</v>
      </c>
      <c r="J13" t="s">
        <v>14</v>
      </c>
      <c r="K13">
        <v>1</v>
      </c>
      <c r="L13">
        <v>5</v>
      </c>
      <c r="M13">
        <f>VLOOKUP($D13,[1]Sheet2!$B$2:$K$63,2,FALSE)</f>
        <v>0.80330699999999999</v>
      </c>
      <c r="N13">
        <f>VLOOKUP($D13,[1]Sheet2!$B$2:$K$63,3,FALSE)</f>
        <v>0.16561100000000001</v>
      </c>
      <c r="O13">
        <f>VLOOKUP($D13,[1]Sheet2!$B$2:$K$63,4,FALSE)</f>
        <v>0.271646</v>
      </c>
      <c r="P13">
        <f>VLOOKUP($D13,[1]Sheet2!$B$2:$K$63,5,FALSE)</f>
        <v>0.70909199999999994</v>
      </c>
      <c r="Q13">
        <f>VLOOKUP($D13,[1]Sheet2!$B$2:$K$63,6,FALSE)</f>
        <v>0.69839399999999996</v>
      </c>
      <c r="R13">
        <f>VLOOKUP($D13,[1]Sheet2!$B$2:$K$63,7,FALSE)</f>
        <v>5.8733E-2</v>
      </c>
      <c r="S13">
        <f>VLOOKUP($D13,[1]Sheet2!$B$2:$K$63,8,FALSE)</f>
        <v>5.4359999999999999E-2</v>
      </c>
      <c r="T13">
        <f>VLOOKUP($D13,[1]Sheet2!$B$2:$K$63,9,FALSE)</f>
        <v>5.2171000000000002E-2</v>
      </c>
      <c r="U13">
        <f>VLOOKUP($D13,[1]Sheet2!$B$2:$K$63,10,FALSE)</f>
        <v>5.1049999999999998E-2</v>
      </c>
    </row>
    <row r="14" spans="1:21" x14ac:dyDescent="0.25">
      <c r="A14" t="s">
        <v>11</v>
      </c>
      <c r="B14">
        <v>13</v>
      </c>
      <c r="C14" t="s">
        <v>12</v>
      </c>
      <c r="D14" s="1" t="s">
        <v>32</v>
      </c>
      <c r="E14">
        <v>1</v>
      </c>
      <c r="F14">
        <v>1</v>
      </c>
      <c r="G14">
        <v>1</v>
      </c>
      <c r="H14" t="s">
        <v>16</v>
      </c>
      <c r="I14" t="s">
        <v>12</v>
      </c>
      <c r="J14" t="s">
        <v>17</v>
      </c>
      <c r="K14">
        <v>1</v>
      </c>
      <c r="L14">
        <v>5</v>
      </c>
      <c r="M14">
        <f>VLOOKUP($D14,[1]Sheet2!$B$2:$K$63,2,FALSE)</f>
        <v>1.1372009999999999</v>
      </c>
      <c r="N14">
        <f>VLOOKUP($D14,[1]Sheet2!$B$2:$K$63,3,FALSE)</f>
        <v>9.7609000000000001E-2</v>
      </c>
      <c r="O14">
        <f>VLOOKUP($D14,[1]Sheet2!$B$2:$K$63,4,FALSE)</f>
        <v>0.181893</v>
      </c>
      <c r="P14">
        <f>VLOOKUP($D14,[1]Sheet2!$B$2:$K$63,5,FALSE)</f>
        <v>0.42891800000000002</v>
      </c>
      <c r="Q14">
        <f>VLOOKUP($D14,[1]Sheet2!$B$2:$K$63,6,FALSE)</f>
        <v>0.43194900000000003</v>
      </c>
      <c r="R14">
        <f>VLOOKUP($D14,[1]Sheet2!$B$2:$K$63,7,FALSE)</f>
        <v>5.8841999999999998E-2</v>
      </c>
      <c r="S14">
        <f>VLOOKUP($D14,[1]Sheet2!$B$2:$K$63,8,FALSE)</f>
        <v>5.4664999999999998E-2</v>
      </c>
      <c r="T14">
        <f>VLOOKUP($D14,[1]Sheet2!$B$2:$K$63,9,FALSE)</f>
        <v>5.2557E-2</v>
      </c>
      <c r="U14">
        <f>VLOOKUP($D14,[1]Sheet2!$B$2:$K$63,10,FALSE)</f>
        <v>5.1434000000000001E-2</v>
      </c>
    </row>
    <row r="15" spans="1:21" x14ac:dyDescent="0.25">
      <c r="A15" t="s">
        <v>11</v>
      </c>
      <c r="B15">
        <v>14</v>
      </c>
      <c r="C15" t="s">
        <v>12</v>
      </c>
      <c r="D15" s="1" t="s">
        <v>33</v>
      </c>
      <c r="E15">
        <v>1</v>
      </c>
      <c r="F15">
        <v>1</v>
      </c>
      <c r="G15">
        <v>1</v>
      </c>
      <c r="H15" t="s">
        <v>16</v>
      </c>
      <c r="I15" t="s">
        <v>12</v>
      </c>
      <c r="J15" t="s">
        <v>14</v>
      </c>
      <c r="K15">
        <v>1</v>
      </c>
      <c r="L15">
        <v>5</v>
      </c>
      <c r="M15">
        <f>VLOOKUP($D15,[1]Sheet2!$B$2:$K$63,2,FALSE)</f>
        <v>2.0610210000000002</v>
      </c>
      <c r="N15">
        <f>VLOOKUP($D15,[1]Sheet2!$B$2:$K$63,3,FALSE)</f>
        <v>0.36201299999999997</v>
      </c>
      <c r="O15">
        <f>VLOOKUP($D15,[1]Sheet2!$B$2:$K$63,4,FALSE)</f>
        <v>0.70627499999999999</v>
      </c>
      <c r="P15">
        <f>VLOOKUP($D15,[1]Sheet2!$B$2:$K$63,5,FALSE)</f>
        <v>1.831493</v>
      </c>
      <c r="Q15">
        <f>VLOOKUP($D15,[1]Sheet2!$B$2:$K$63,6,FALSE)</f>
        <v>1.7846820000000001</v>
      </c>
      <c r="R15">
        <f>VLOOKUP($D15,[1]Sheet2!$B$2:$K$63,7,FALSE)</f>
        <v>4.7364000000000003E-2</v>
      </c>
      <c r="S15">
        <f>VLOOKUP($D15,[1]Sheet2!$B$2:$K$63,8,FALSE)</f>
        <v>4.1771999999999997E-2</v>
      </c>
      <c r="T15">
        <f>VLOOKUP($D15,[1]Sheet2!$B$2:$K$63,9,FALSE)</f>
        <v>3.8979E-2</v>
      </c>
      <c r="U15">
        <f>VLOOKUP($D15,[1]Sheet2!$B$2:$K$63,10,FALSE)</f>
        <v>3.7769999999999998E-2</v>
      </c>
    </row>
    <row r="16" spans="1:21" x14ac:dyDescent="0.25">
      <c r="A16" t="s">
        <v>11</v>
      </c>
      <c r="B16">
        <v>15</v>
      </c>
      <c r="C16" t="s">
        <v>12</v>
      </c>
      <c r="D16" s="1" t="s">
        <v>34</v>
      </c>
      <c r="E16">
        <v>1</v>
      </c>
      <c r="F16">
        <v>1</v>
      </c>
      <c r="G16">
        <v>1</v>
      </c>
      <c r="H16" t="s">
        <v>16</v>
      </c>
      <c r="I16" t="s">
        <v>12</v>
      </c>
      <c r="J16" t="s">
        <v>17</v>
      </c>
      <c r="K16">
        <v>1</v>
      </c>
      <c r="L16">
        <v>5</v>
      </c>
      <c r="M16">
        <f>VLOOKUP($D16,[1]Sheet2!$B$2:$K$63,2,FALSE)</f>
        <v>2.4725410000000001</v>
      </c>
      <c r="N16">
        <f>VLOOKUP($D16,[1]Sheet2!$B$2:$K$63,3,FALSE)</f>
        <v>0.18385599999999999</v>
      </c>
      <c r="O16">
        <f>VLOOKUP($D16,[1]Sheet2!$B$2:$K$63,4,FALSE)</f>
        <v>0.41389700000000001</v>
      </c>
      <c r="P16">
        <f>VLOOKUP($D16,[1]Sheet2!$B$2:$K$63,5,FALSE)</f>
        <v>1.122852</v>
      </c>
      <c r="Q16">
        <f>VLOOKUP($D16,[1]Sheet2!$B$2:$K$63,6,FALSE)</f>
        <v>1.1309530000000001</v>
      </c>
      <c r="R16">
        <f>VLOOKUP($D16,[1]Sheet2!$B$2:$K$63,7,FALSE)</f>
        <v>5.1306999999999998E-2</v>
      </c>
      <c r="S16">
        <f>VLOOKUP($D16,[1]Sheet2!$B$2:$K$63,8,FALSE)</f>
        <v>4.6001E-2</v>
      </c>
      <c r="T16">
        <f>VLOOKUP($D16,[1]Sheet2!$B$2:$K$63,9,FALSE)</f>
        <v>4.3256999999999997E-2</v>
      </c>
      <c r="U16">
        <f>VLOOKUP($D16,[1]Sheet2!$B$2:$K$63,10,FALSE)</f>
        <v>4.1848999999999997E-2</v>
      </c>
    </row>
    <row r="17" spans="1:21" x14ac:dyDescent="0.25">
      <c r="A17" t="s">
        <v>11</v>
      </c>
      <c r="B17">
        <v>16</v>
      </c>
      <c r="C17" t="s">
        <v>12</v>
      </c>
      <c r="D17" s="1" t="s">
        <v>35</v>
      </c>
      <c r="E17">
        <v>1</v>
      </c>
      <c r="F17">
        <v>1</v>
      </c>
      <c r="G17">
        <v>1</v>
      </c>
      <c r="H17" t="s">
        <v>16</v>
      </c>
      <c r="I17" t="s">
        <v>12</v>
      </c>
      <c r="J17" t="s">
        <v>14</v>
      </c>
      <c r="K17">
        <v>1</v>
      </c>
      <c r="L17">
        <v>5</v>
      </c>
      <c r="M17">
        <f>VLOOKUP($D17,[1]Sheet2!$B$2:$K$63,2,FALSE)</f>
        <v>1.738966</v>
      </c>
      <c r="N17">
        <f>VLOOKUP($D17,[1]Sheet2!$B$2:$K$63,3,FALSE)</f>
        <v>0.30969600000000003</v>
      </c>
      <c r="O17">
        <f>VLOOKUP($D17,[1]Sheet2!$B$2:$K$63,4,FALSE)</f>
        <v>0.56656499999999999</v>
      </c>
      <c r="P17">
        <f>VLOOKUP($D17,[1]Sheet2!$B$2:$K$63,5,FALSE)</f>
        <v>1.517849</v>
      </c>
      <c r="Q17">
        <f>VLOOKUP($D17,[1]Sheet2!$B$2:$K$63,6,FALSE)</f>
        <v>1.487152</v>
      </c>
      <c r="R17">
        <f>VLOOKUP($D17,[1]Sheet2!$B$2:$K$63,7,FALSE)</f>
        <v>5.1451999999999998E-2</v>
      </c>
      <c r="S17">
        <f>VLOOKUP($D17,[1]Sheet2!$B$2:$K$63,8,FALSE)</f>
        <v>4.6448000000000003E-2</v>
      </c>
      <c r="T17">
        <f>VLOOKUP($D17,[1]Sheet2!$B$2:$K$63,9,FALSE)</f>
        <v>4.3914000000000002E-2</v>
      </c>
      <c r="U17">
        <f>VLOOKUP($D17,[1]Sheet2!$B$2:$K$63,10,FALSE)</f>
        <v>4.2720000000000001E-2</v>
      </c>
    </row>
    <row r="18" spans="1:21" x14ac:dyDescent="0.25">
      <c r="A18" t="s">
        <v>11</v>
      </c>
      <c r="B18">
        <v>17</v>
      </c>
      <c r="C18" t="s">
        <v>12</v>
      </c>
      <c r="D18" s="1" t="s">
        <v>36</v>
      </c>
      <c r="E18">
        <v>1</v>
      </c>
      <c r="F18">
        <v>1</v>
      </c>
      <c r="G18">
        <v>1</v>
      </c>
      <c r="H18" t="s">
        <v>16</v>
      </c>
      <c r="I18" t="s">
        <v>12</v>
      </c>
      <c r="J18" t="s">
        <v>17</v>
      </c>
      <c r="K18">
        <v>1</v>
      </c>
      <c r="L18">
        <v>5</v>
      </c>
      <c r="M18">
        <f>VLOOKUP($D18,[1]Sheet2!$B$2:$K$63,2,FALSE)</f>
        <v>2.2700209999999998</v>
      </c>
      <c r="N18">
        <f>VLOOKUP($D18,[1]Sheet2!$B$2:$K$63,3,FALSE)</f>
        <v>0.163301</v>
      </c>
      <c r="O18">
        <f>VLOOKUP($D18,[1]Sheet2!$B$2:$K$63,4,FALSE)</f>
        <v>0.35447200000000001</v>
      </c>
      <c r="P18">
        <f>VLOOKUP($D18,[1]Sheet2!$B$2:$K$63,5,FALSE)</f>
        <v>0.91158399999999995</v>
      </c>
      <c r="Q18">
        <f>VLOOKUP($D18,[1]Sheet2!$B$2:$K$63,6,FALSE)</f>
        <v>0.91887600000000003</v>
      </c>
      <c r="R18">
        <f>VLOOKUP($D18,[1]Sheet2!$B$2:$K$63,7,FALSE)</f>
        <v>5.3754000000000003E-2</v>
      </c>
      <c r="S18">
        <f>VLOOKUP($D18,[1]Sheet2!$B$2:$K$63,8,FALSE)</f>
        <v>4.8954999999999999E-2</v>
      </c>
      <c r="T18">
        <f>VLOOKUP($D18,[1]Sheet2!$B$2:$K$63,9,FALSE)</f>
        <v>4.6478999999999999E-2</v>
      </c>
      <c r="U18">
        <f>VLOOKUP($D18,[1]Sheet2!$B$2:$K$63,10,FALSE)</f>
        <v>4.5176000000000001E-2</v>
      </c>
    </row>
    <row r="19" spans="1:21" x14ac:dyDescent="0.25">
      <c r="A19" t="s">
        <v>11</v>
      </c>
      <c r="B19">
        <v>18</v>
      </c>
      <c r="C19" t="s">
        <v>12</v>
      </c>
      <c r="D19" s="1" t="s">
        <v>37</v>
      </c>
      <c r="E19">
        <v>1</v>
      </c>
      <c r="F19">
        <v>1</v>
      </c>
      <c r="G19">
        <v>1</v>
      </c>
      <c r="H19" t="s">
        <v>16</v>
      </c>
      <c r="I19" t="s">
        <v>12</v>
      </c>
      <c r="J19" t="s">
        <v>14</v>
      </c>
      <c r="K19">
        <v>1</v>
      </c>
      <c r="L19">
        <v>5</v>
      </c>
      <c r="M19">
        <f>VLOOKUP($D19,[1]Sheet2!$B$2:$K$63,2,FALSE)</f>
        <v>1.710658</v>
      </c>
      <c r="N19">
        <f>VLOOKUP($D19,[1]Sheet2!$B$2:$K$63,3,FALSE)</f>
        <v>0.300792</v>
      </c>
      <c r="O19">
        <f>VLOOKUP($D19,[1]Sheet2!$B$2:$K$63,4,FALSE)</f>
        <v>0.553392</v>
      </c>
      <c r="P19">
        <f>VLOOKUP($D19,[1]Sheet2!$B$2:$K$63,5,FALSE)</f>
        <v>1.476952</v>
      </c>
      <c r="Q19">
        <f>VLOOKUP($D19,[1]Sheet2!$B$2:$K$63,6,FALSE)</f>
        <v>1.4457230000000001</v>
      </c>
      <c r="R19">
        <f>VLOOKUP($D19,[1]Sheet2!$B$2:$K$63,7,FALSE)</f>
        <v>5.1021999999999998E-2</v>
      </c>
      <c r="S19">
        <f>VLOOKUP($D19,[1]Sheet2!$B$2:$K$63,8,FALSE)</f>
        <v>4.5877000000000001E-2</v>
      </c>
      <c r="T19">
        <f>VLOOKUP($D19,[1]Sheet2!$B$2:$K$63,9,FALSE)</f>
        <v>4.3289000000000001E-2</v>
      </c>
      <c r="U19">
        <f>VLOOKUP($D19,[1]Sheet2!$B$2:$K$63,10,FALSE)</f>
        <v>4.2012000000000001E-2</v>
      </c>
    </row>
    <row r="20" spans="1:21" x14ac:dyDescent="0.25">
      <c r="A20" t="s">
        <v>11</v>
      </c>
      <c r="B20">
        <v>19</v>
      </c>
      <c r="C20" t="s">
        <v>12</v>
      </c>
      <c r="D20" s="1" t="s">
        <v>38</v>
      </c>
      <c r="E20">
        <v>1</v>
      </c>
      <c r="F20">
        <v>1</v>
      </c>
      <c r="G20">
        <v>1</v>
      </c>
      <c r="H20" t="s">
        <v>16</v>
      </c>
      <c r="I20" t="s">
        <v>12</v>
      </c>
      <c r="J20" t="s">
        <v>17</v>
      </c>
      <c r="K20">
        <v>1</v>
      </c>
      <c r="L20">
        <v>5</v>
      </c>
      <c r="M20">
        <f>VLOOKUP($D20,[1]Sheet2!$B$2:$K$63,2,FALSE)</f>
        <v>2.2398440000000002</v>
      </c>
      <c r="N20">
        <f>VLOOKUP($D20,[1]Sheet2!$B$2:$K$63,3,FALSE)</f>
        <v>0.15949099999999999</v>
      </c>
      <c r="O20">
        <f>VLOOKUP($D20,[1]Sheet2!$B$2:$K$63,4,FALSE)</f>
        <v>0.34342699999999998</v>
      </c>
      <c r="P20">
        <f>VLOOKUP($D20,[1]Sheet2!$B$2:$K$63,5,FALSE)</f>
        <v>0.88203799999999999</v>
      </c>
      <c r="Q20">
        <f>VLOOKUP($D20,[1]Sheet2!$B$2:$K$63,6,FALSE)</f>
        <v>0.88901399999999997</v>
      </c>
      <c r="R20">
        <f>VLOOKUP($D20,[1]Sheet2!$B$2:$K$63,7,FALSE)</f>
        <v>5.5267999999999998E-2</v>
      </c>
      <c r="S20">
        <f>VLOOKUP($D20,[1]Sheet2!$B$2:$K$63,8,FALSE)</f>
        <v>5.0452999999999998E-2</v>
      </c>
      <c r="T20">
        <f>VLOOKUP($D20,[1]Sheet2!$B$2:$K$63,9,FALSE)</f>
        <v>4.7969999999999999E-2</v>
      </c>
      <c r="U20">
        <f>VLOOKUP($D20,[1]Sheet2!$B$2:$K$63,10,FALSE)</f>
        <v>4.6644999999999999E-2</v>
      </c>
    </row>
    <row r="21" spans="1:21" x14ac:dyDescent="0.25">
      <c r="A21" t="s">
        <v>11</v>
      </c>
      <c r="B21">
        <v>20</v>
      </c>
      <c r="C21" t="s">
        <v>12</v>
      </c>
      <c r="D21" s="1" t="s">
        <v>39</v>
      </c>
      <c r="E21">
        <v>1</v>
      </c>
      <c r="F21">
        <v>1</v>
      </c>
      <c r="G21">
        <v>1</v>
      </c>
      <c r="H21" t="s">
        <v>16</v>
      </c>
      <c r="I21" t="s">
        <v>12</v>
      </c>
      <c r="J21" t="s">
        <v>14</v>
      </c>
      <c r="K21">
        <v>1</v>
      </c>
      <c r="L21">
        <v>5</v>
      </c>
      <c r="M21">
        <f>VLOOKUP($D21,[1]Sheet2!$B$2:$K$63,2,FALSE)</f>
        <v>2.4699939999999998</v>
      </c>
      <c r="N21">
        <f>VLOOKUP($D21,[1]Sheet2!$B$2:$K$63,3,FALSE)</f>
        <v>0.516567</v>
      </c>
      <c r="O21">
        <f>VLOOKUP($D21,[1]Sheet2!$B$2:$K$63,4,FALSE)</f>
        <v>0.93160200000000004</v>
      </c>
      <c r="P21">
        <f>VLOOKUP($D21,[1]Sheet2!$B$2:$K$63,5,FALSE)</f>
        <v>2.278076</v>
      </c>
      <c r="Q21">
        <f>VLOOKUP($D21,[1]Sheet2!$B$2:$K$63,6,FALSE)</f>
        <v>2.255395</v>
      </c>
      <c r="R21">
        <f>VLOOKUP($D21,[1]Sheet2!$B$2:$K$63,7,FALSE)</f>
        <v>5.6598000000000002E-2</v>
      </c>
      <c r="S21">
        <f>VLOOKUP($D21,[1]Sheet2!$B$2:$K$63,8,FALSE)</f>
        <v>5.1695999999999999E-2</v>
      </c>
      <c r="T21">
        <f>VLOOKUP($D21,[1]Sheet2!$B$2:$K$63,9,FALSE)</f>
        <v>4.9096000000000001E-2</v>
      </c>
      <c r="U21">
        <f>VLOOKUP($D21,[1]Sheet2!$B$2:$K$63,10,FALSE)</f>
        <v>4.7746999999999998E-2</v>
      </c>
    </row>
    <row r="22" spans="1:21" x14ac:dyDescent="0.25">
      <c r="A22" t="s">
        <v>11</v>
      </c>
      <c r="B22">
        <v>20.100000000000001</v>
      </c>
      <c r="C22" t="s">
        <v>12</v>
      </c>
      <c r="D22" s="1" t="s">
        <v>40</v>
      </c>
      <c r="E22">
        <v>1</v>
      </c>
      <c r="F22">
        <v>1</v>
      </c>
      <c r="G22">
        <v>1</v>
      </c>
      <c r="H22" t="s">
        <v>16</v>
      </c>
      <c r="I22" t="s">
        <v>12</v>
      </c>
      <c r="J22" t="s">
        <v>14</v>
      </c>
      <c r="K22">
        <v>0.5</v>
      </c>
      <c r="L22">
        <v>5</v>
      </c>
      <c r="M22">
        <f>VLOOKUP($D22,[1]Sheet2!$B$2:$K$63,2,FALSE)</f>
        <v>1.616452</v>
      </c>
      <c r="N22">
        <f>VLOOKUP($D22,[1]Sheet2!$B$2:$K$63,3,FALSE)</f>
        <v>0.28323700000000002</v>
      </c>
      <c r="O22">
        <f>VLOOKUP($D22,[1]Sheet2!$B$2:$K$63,4,FALSE)</f>
        <v>0.50890800000000003</v>
      </c>
      <c r="P22">
        <f>VLOOKUP($D22,[1]Sheet2!$B$2:$K$63,5,FALSE)</f>
        <v>1.3563890000000001</v>
      </c>
      <c r="Q22">
        <f>VLOOKUP($D22,[1]Sheet2!$B$2:$K$63,6,FALSE)</f>
        <v>1.329086</v>
      </c>
      <c r="R22">
        <f>VLOOKUP($D22,[1]Sheet2!$B$2:$K$63,7,FALSE)</f>
        <v>5.4241999999999999E-2</v>
      </c>
      <c r="S22">
        <f>VLOOKUP($D22,[1]Sheet2!$B$2:$K$63,8,FALSE)</f>
        <v>4.9576000000000002E-2</v>
      </c>
      <c r="T22">
        <f>VLOOKUP($D22,[1]Sheet2!$B$2:$K$63,9,FALSE)</f>
        <v>4.6947999999999997E-2</v>
      </c>
      <c r="U22">
        <f>VLOOKUP($D22,[1]Sheet2!$B$2:$K$63,10,FALSE)</f>
        <v>4.5852999999999998E-2</v>
      </c>
    </row>
    <row r="23" spans="1:21" x14ac:dyDescent="0.25">
      <c r="A23" t="s">
        <v>11</v>
      </c>
      <c r="B23">
        <v>21</v>
      </c>
      <c r="C23" t="s">
        <v>12</v>
      </c>
      <c r="D23" s="1" t="s">
        <v>41</v>
      </c>
      <c r="E23">
        <v>1</v>
      </c>
      <c r="F23">
        <v>1</v>
      </c>
      <c r="G23">
        <v>1</v>
      </c>
      <c r="H23" t="s">
        <v>16</v>
      </c>
      <c r="I23" t="s">
        <v>12</v>
      </c>
      <c r="J23" t="s">
        <v>17</v>
      </c>
      <c r="K23">
        <v>0.5</v>
      </c>
      <c r="L23">
        <v>5</v>
      </c>
      <c r="M23">
        <f>VLOOKUP($D23,[1]Sheet2!$B$2:$K$63,2,FALSE)</f>
        <v>2.158922</v>
      </c>
      <c r="N23">
        <f>VLOOKUP($D23,[1]Sheet2!$B$2:$K$63,3,FALSE)</f>
        <v>0.15456</v>
      </c>
      <c r="O23">
        <f>VLOOKUP($D23,[1]Sheet2!$B$2:$K$63,4,FALSE)</f>
        <v>0.32355800000000001</v>
      </c>
      <c r="P23">
        <f>VLOOKUP($D23,[1]Sheet2!$B$2:$K$63,5,FALSE)</f>
        <v>0.81737300000000002</v>
      </c>
      <c r="Q23">
        <f>VLOOKUP($D23,[1]Sheet2!$B$2:$K$63,6,FALSE)</f>
        <v>0.82414500000000002</v>
      </c>
      <c r="R23">
        <f>VLOOKUP($D23,[1]Sheet2!$B$2:$K$63,7,FALSE)</f>
        <v>5.9607E-2</v>
      </c>
      <c r="S23">
        <f>VLOOKUP($D23,[1]Sheet2!$B$2:$K$63,8,FALSE)</f>
        <v>5.4650999999999998E-2</v>
      </c>
      <c r="T23">
        <f>VLOOKUP($D23,[1]Sheet2!$B$2:$K$63,9,FALSE)</f>
        <v>5.2059000000000001E-2</v>
      </c>
      <c r="U23">
        <f>VLOOKUP($D23,[1]Sheet2!$B$2:$K$63,10,FALSE)</f>
        <v>5.0712E-2</v>
      </c>
    </row>
    <row r="24" spans="1:21" x14ac:dyDescent="0.25">
      <c r="A24" t="s">
        <v>11</v>
      </c>
      <c r="B24">
        <v>22</v>
      </c>
      <c r="C24" t="s">
        <v>12</v>
      </c>
      <c r="D24" s="1" t="s">
        <v>42</v>
      </c>
      <c r="E24">
        <v>1</v>
      </c>
      <c r="F24">
        <v>1</v>
      </c>
      <c r="G24">
        <v>1</v>
      </c>
      <c r="H24" t="s">
        <v>16</v>
      </c>
      <c r="I24" t="s">
        <v>12</v>
      </c>
      <c r="J24" t="s">
        <v>14</v>
      </c>
      <c r="K24">
        <v>1</v>
      </c>
      <c r="L24">
        <v>5</v>
      </c>
      <c r="M24">
        <f>VLOOKUP($D24,[1]Sheet2!$B$2:$K$63,2,FALSE)</f>
        <v>0.58557000000000003</v>
      </c>
      <c r="N24">
        <f>VLOOKUP($D24,[1]Sheet2!$B$2:$K$63,3,FALSE)</f>
        <v>0.12027</v>
      </c>
      <c r="O24">
        <f>VLOOKUP($D24,[1]Sheet2!$B$2:$K$63,4,FALSE)</f>
        <v>0.19428200000000001</v>
      </c>
      <c r="P24">
        <f>VLOOKUP($D24,[1]Sheet2!$B$2:$K$63,5,FALSE)</f>
        <v>0.47687499999999999</v>
      </c>
      <c r="Q24">
        <f>VLOOKUP($D24,[1]Sheet2!$B$2:$K$63,6,FALSE)</f>
        <v>0.46698600000000001</v>
      </c>
      <c r="R24">
        <f>VLOOKUP($D24,[1]Sheet2!$B$2:$K$63,7,FALSE)</f>
        <v>5.6498E-2</v>
      </c>
      <c r="S24">
        <f>VLOOKUP($D24,[1]Sheet2!$B$2:$K$63,8,FALSE)</f>
        <v>5.1267E-2</v>
      </c>
      <c r="T24">
        <f>VLOOKUP($D24,[1]Sheet2!$B$2:$K$63,9,FALSE)</f>
        <v>4.8670999999999999E-2</v>
      </c>
      <c r="U24">
        <f>VLOOKUP($D24,[1]Sheet2!$B$2:$K$63,10,FALSE)</f>
        <v>4.7433999999999997E-2</v>
      </c>
    </row>
    <row r="25" spans="1:21" x14ac:dyDescent="0.25">
      <c r="A25" t="s">
        <v>11</v>
      </c>
      <c r="B25">
        <v>23</v>
      </c>
      <c r="C25" t="s">
        <v>12</v>
      </c>
      <c r="D25" s="1" t="s">
        <v>43</v>
      </c>
      <c r="E25">
        <v>1</v>
      </c>
      <c r="F25">
        <v>1</v>
      </c>
      <c r="G25">
        <v>1</v>
      </c>
      <c r="H25" t="s">
        <v>16</v>
      </c>
      <c r="I25" t="s">
        <v>12</v>
      </c>
      <c r="J25" t="s">
        <v>17</v>
      </c>
      <c r="K25">
        <v>1</v>
      </c>
      <c r="L25">
        <v>5</v>
      </c>
      <c r="M25">
        <f>VLOOKUP($D25,[1]Sheet2!$B$2:$K$63,2,FALSE)</f>
        <v>0.810145</v>
      </c>
      <c r="N25">
        <f>VLOOKUP($D25,[1]Sheet2!$B$2:$K$63,3,FALSE)</f>
        <v>7.4353000000000002E-2</v>
      </c>
      <c r="O25">
        <f>VLOOKUP($D25,[1]Sheet2!$B$2:$K$63,4,FALSE)</f>
        <v>0.127719</v>
      </c>
      <c r="P25">
        <f>VLOOKUP($D25,[1]Sheet2!$B$2:$K$63,5,FALSE)</f>
        <v>0.28836200000000001</v>
      </c>
      <c r="Q25">
        <f>VLOOKUP($D25,[1]Sheet2!$B$2:$K$63,6,FALSE)</f>
        <v>0.29047299999999998</v>
      </c>
      <c r="R25">
        <f>VLOOKUP($D25,[1]Sheet2!$B$2:$K$63,7,FALSE)</f>
        <v>5.4871999999999997E-2</v>
      </c>
      <c r="S25">
        <f>VLOOKUP($D25,[1]Sheet2!$B$2:$K$63,8,FALSE)</f>
        <v>5.0183999999999999E-2</v>
      </c>
      <c r="T25">
        <f>VLOOKUP($D25,[1]Sheet2!$B$2:$K$63,9,FALSE)</f>
        <v>4.7799000000000001E-2</v>
      </c>
      <c r="U25">
        <f>VLOOKUP($D25,[1]Sheet2!$B$2:$K$63,10,FALSE)</f>
        <v>4.6561999999999999E-2</v>
      </c>
    </row>
    <row r="26" spans="1:21" x14ac:dyDescent="0.25">
      <c r="A26" t="s">
        <v>11</v>
      </c>
      <c r="B26">
        <v>24</v>
      </c>
      <c r="C26" t="s">
        <v>12</v>
      </c>
      <c r="D26" s="1" t="s">
        <v>44</v>
      </c>
      <c r="E26">
        <v>1</v>
      </c>
      <c r="F26">
        <v>1</v>
      </c>
      <c r="G26">
        <v>1</v>
      </c>
      <c r="H26" t="s">
        <v>16</v>
      </c>
      <c r="I26" t="s">
        <v>12</v>
      </c>
      <c r="J26" t="s">
        <v>14</v>
      </c>
      <c r="K26">
        <v>1</v>
      </c>
      <c r="L26">
        <v>5</v>
      </c>
      <c r="M26">
        <f>VLOOKUP($D26,[1]Sheet2!$B$2:$K$63,2,FALSE)</f>
        <v>2.451352</v>
      </c>
      <c r="N26">
        <f>VLOOKUP($D26,[1]Sheet2!$B$2:$K$63,3,FALSE)</f>
        <v>0.49777399999999999</v>
      </c>
      <c r="O26">
        <f>VLOOKUP($D26,[1]Sheet2!$B$2:$K$63,4,FALSE)</f>
        <v>0.920458</v>
      </c>
      <c r="P26">
        <f>VLOOKUP($D26,[1]Sheet2!$B$2:$K$63,5,FALSE)</f>
        <v>2.2584209999999998</v>
      </c>
      <c r="Q26">
        <f>VLOOKUP($D26,[1]Sheet2!$B$2:$K$63,6,FALSE)</f>
        <v>2.2301899999999999</v>
      </c>
      <c r="R26">
        <f>VLOOKUP($D26,[1]Sheet2!$B$2:$K$63,7,FALSE)</f>
        <v>5.3673999999999999E-2</v>
      </c>
      <c r="S26">
        <f>VLOOKUP($D26,[1]Sheet2!$B$2:$K$63,8,FALSE)</f>
        <v>4.8673000000000001E-2</v>
      </c>
      <c r="T26">
        <f>VLOOKUP($D26,[1]Sheet2!$B$2:$K$63,9,FALSE)</f>
        <v>4.6052000000000003E-2</v>
      </c>
      <c r="U26">
        <f>VLOOKUP($D26,[1]Sheet2!$B$2:$K$63,10,FALSE)</f>
        <v>4.4783000000000003E-2</v>
      </c>
    </row>
    <row r="27" spans="1:21" x14ac:dyDescent="0.25">
      <c r="A27" t="s">
        <v>11</v>
      </c>
      <c r="B27">
        <v>24.1</v>
      </c>
      <c r="C27" t="s">
        <v>12</v>
      </c>
      <c r="D27" s="1" t="s">
        <v>45</v>
      </c>
      <c r="E27">
        <v>1</v>
      </c>
      <c r="F27">
        <v>1</v>
      </c>
      <c r="G27">
        <v>1</v>
      </c>
      <c r="H27" t="s">
        <v>16</v>
      </c>
      <c r="I27" t="s">
        <v>12</v>
      </c>
      <c r="J27" t="s">
        <v>14</v>
      </c>
      <c r="K27">
        <v>0.5</v>
      </c>
      <c r="L27">
        <v>5</v>
      </c>
      <c r="M27">
        <f>VLOOKUP($D27,[1]Sheet2!$B$2:$K$63,2,FALSE)</f>
        <v>1.5635840000000001</v>
      </c>
      <c r="N27">
        <f>VLOOKUP($D27,[1]Sheet2!$B$2:$K$63,3,FALSE)</f>
        <v>0.27346300000000001</v>
      </c>
      <c r="O27">
        <f>VLOOKUP($D27,[1]Sheet2!$B$2:$K$63,4,FALSE)</f>
        <v>0.49299199999999999</v>
      </c>
      <c r="P27">
        <f>VLOOKUP($D27,[1]Sheet2!$B$2:$K$63,5,FALSE)</f>
        <v>1.312195</v>
      </c>
      <c r="Q27">
        <f>VLOOKUP($D27,[1]Sheet2!$B$2:$K$63,6,FALSE)</f>
        <v>1.285086</v>
      </c>
      <c r="R27">
        <f>VLOOKUP($D27,[1]Sheet2!$B$2:$K$63,7,FALSE)</f>
        <v>5.7643E-2</v>
      </c>
      <c r="S27">
        <f>VLOOKUP($D27,[1]Sheet2!$B$2:$K$63,8,FALSE)</f>
        <v>5.1663000000000001E-2</v>
      </c>
      <c r="T27">
        <f>VLOOKUP($D27,[1]Sheet2!$B$2:$K$63,9,FALSE)</f>
        <v>4.8975999999999999E-2</v>
      </c>
      <c r="U27">
        <f>VLOOKUP($D27,[1]Sheet2!$B$2:$K$63,10,FALSE)</f>
        <v>4.7856999999999997E-2</v>
      </c>
    </row>
    <row r="28" spans="1:21" x14ac:dyDescent="0.25">
      <c r="A28" t="s">
        <v>11</v>
      </c>
      <c r="B28">
        <v>25</v>
      </c>
      <c r="C28" t="s">
        <v>12</v>
      </c>
      <c r="D28" s="1" t="s">
        <v>46</v>
      </c>
      <c r="E28">
        <v>1</v>
      </c>
      <c r="F28">
        <v>1</v>
      </c>
      <c r="G28">
        <v>1</v>
      </c>
      <c r="H28" t="s">
        <v>16</v>
      </c>
      <c r="I28" t="s">
        <v>12</v>
      </c>
      <c r="J28" t="s">
        <v>17</v>
      </c>
      <c r="K28">
        <v>0.5</v>
      </c>
      <c r="L28">
        <v>5</v>
      </c>
      <c r="M28">
        <f>VLOOKUP($D28,[1]Sheet2!$B$2:$K$63,2,FALSE)</f>
        <v>2.1063930000000002</v>
      </c>
      <c r="N28">
        <f>VLOOKUP($D28,[1]Sheet2!$B$2:$K$63,3,FALSE)</f>
        <v>0.146902</v>
      </c>
      <c r="O28">
        <f>VLOOKUP($D28,[1]Sheet2!$B$2:$K$63,4,FALSE)</f>
        <v>0.309062</v>
      </c>
      <c r="P28">
        <f>VLOOKUP($D28,[1]Sheet2!$B$2:$K$63,5,FALSE)</f>
        <v>0.78728500000000001</v>
      </c>
      <c r="Q28">
        <f>VLOOKUP($D28,[1]Sheet2!$B$2:$K$63,6,FALSE)</f>
        <v>0.79336600000000002</v>
      </c>
      <c r="R28">
        <f>VLOOKUP($D28,[1]Sheet2!$B$2:$K$63,7,FALSE)</f>
        <v>5.5573999999999998E-2</v>
      </c>
      <c r="S28">
        <f>VLOOKUP($D28,[1]Sheet2!$B$2:$K$63,8,FALSE)</f>
        <v>5.0680999999999997E-2</v>
      </c>
      <c r="T28">
        <f>VLOOKUP($D28,[1]Sheet2!$B$2:$K$63,9,FALSE)</f>
        <v>4.8210000000000003E-2</v>
      </c>
      <c r="U28">
        <f>VLOOKUP($D28,[1]Sheet2!$B$2:$K$63,10,FALSE)</f>
        <v>4.6887999999999999E-2</v>
      </c>
    </row>
    <row r="29" spans="1:21" x14ac:dyDescent="0.25">
      <c r="A29" t="s">
        <v>11</v>
      </c>
      <c r="B29">
        <v>26</v>
      </c>
      <c r="C29" t="s">
        <v>12</v>
      </c>
      <c r="D29" s="1" t="s">
        <v>47</v>
      </c>
      <c r="E29">
        <v>1</v>
      </c>
      <c r="F29">
        <v>1</v>
      </c>
      <c r="G29">
        <v>1</v>
      </c>
      <c r="H29" t="s">
        <v>16</v>
      </c>
      <c r="I29" t="s">
        <v>12</v>
      </c>
      <c r="J29" t="s">
        <v>14</v>
      </c>
      <c r="K29">
        <v>1</v>
      </c>
      <c r="L29">
        <v>5</v>
      </c>
      <c r="M29">
        <f>VLOOKUP($D29,[1]Sheet2!$B$2:$K$63,2,FALSE)</f>
        <v>2.507091</v>
      </c>
      <c r="N29">
        <f>VLOOKUP($D29,[1]Sheet2!$B$2:$K$63,3,FALSE)</f>
        <v>0.54861800000000005</v>
      </c>
      <c r="O29">
        <f>VLOOKUP($D29,[1]Sheet2!$B$2:$K$63,4,FALSE)</f>
        <v>0.98090299999999997</v>
      </c>
      <c r="P29">
        <f>VLOOKUP($D29,[1]Sheet2!$B$2:$K$63,5,FALSE)</f>
        <v>2.345828</v>
      </c>
      <c r="Q29">
        <f>VLOOKUP($D29,[1]Sheet2!$B$2:$K$63,6,FALSE)</f>
        <v>2.328363</v>
      </c>
      <c r="R29">
        <f>VLOOKUP($D29,[1]Sheet2!$B$2:$K$63,7,FALSE)</f>
        <v>5.4420999999999997E-2</v>
      </c>
      <c r="S29">
        <f>VLOOKUP($D29,[1]Sheet2!$B$2:$K$63,8,FALSE)</f>
        <v>4.9807999999999998E-2</v>
      </c>
      <c r="T29">
        <f>VLOOKUP($D29,[1]Sheet2!$B$2:$K$63,9,FALSE)</f>
        <v>4.7384999999999997E-2</v>
      </c>
      <c r="U29">
        <f>VLOOKUP($D29,[1]Sheet2!$B$2:$K$63,10,FALSE)</f>
        <v>4.6168000000000001E-2</v>
      </c>
    </row>
    <row r="30" spans="1:21" x14ac:dyDescent="0.25">
      <c r="A30" t="s">
        <v>11</v>
      </c>
      <c r="B30">
        <v>26.1</v>
      </c>
      <c r="C30" t="s">
        <v>12</v>
      </c>
      <c r="D30" s="1" t="s">
        <v>48</v>
      </c>
      <c r="E30">
        <v>1</v>
      </c>
      <c r="F30">
        <v>1</v>
      </c>
      <c r="G30">
        <v>1</v>
      </c>
      <c r="H30" t="s">
        <v>16</v>
      </c>
      <c r="I30" t="s">
        <v>12</v>
      </c>
      <c r="J30" t="s">
        <v>14</v>
      </c>
      <c r="K30">
        <v>0.5</v>
      </c>
      <c r="L30">
        <v>5</v>
      </c>
      <c r="M30">
        <f>VLOOKUP($D30,[1]Sheet2!$B$2:$K$63,2,FALSE)</f>
        <v>1.7326429999999999</v>
      </c>
      <c r="N30">
        <f>VLOOKUP($D30,[1]Sheet2!$B$2:$K$63,3,FALSE)</f>
        <v>0.30052000000000001</v>
      </c>
      <c r="O30">
        <f>VLOOKUP($D30,[1]Sheet2!$B$2:$K$63,4,FALSE)</f>
        <v>0.54224700000000003</v>
      </c>
      <c r="P30">
        <f>VLOOKUP($D30,[1]Sheet2!$B$2:$K$63,5,FALSE)</f>
        <v>1.461344</v>
      </c>
      <c r="Q30">
        <f>VLOOKUP($D30,[1]Sheet2!$B$2:$K$63,6,FALSE)</f>
        <v>1.4323269999999999</v>
      </c>
      <c r="R30">
        <f>VLOOKUP($D30,[1]Sheet2!$B$2:$K$63,7,FALSE)</f>
        <v>5.2433E-2</v>
      </c>
      <c r="S30">
        <f>VLOOKUP($D30,[1]Sheet2!$B$2:$K$63,8,FALSE)</f>
        <v>4.7536000000000002E-2</v>
      </c>
      <c r="T30">
        <f>VLOOKUP($D30,[1]Sheet2!$B$2:$K$63,9,FALSE)</f>
        <v>4.5235999999999998E-2</v>
      </c>
      <c r="U30">
        <f>VLOOKUP($D30,[1]Sheet2!$B$2:$K$63,10,FALSE)</f>
        <v>4.4391E-2</v>
      </c>
    </row>
    <row r="31" spans="1:21" x14ac:dyDescent="0.25">
      <c r="A31" t="s">
        <v>11</v>
      </c>
      <c r="B31">
        <v>27</v>
      </c>
      <c r="C31" t="s">
        <v>12</v>
      </c>
      <c r="D31" s="1" t="s">
        <v>49</v>
      </c>
      <c r="E31">
        <v>1</v>
      </c>
      <c r="F31">
        <v>1</v>
      </c>
      <c r="G31">
        <v>1</v>
      </c>
      <c r="H31" t="s">
        <v>16</v>
      </c>
      <c r="I31" t="s">
        <v>12</v>
      </c>
      <c r="J31" t="s">
        <v>17</v>
      </c>
      <c r="K31">
        <v>0.5</v>
      </c>
      <c r="L31">
        <v>5</v>
      </c>
      <c r="M31">
        <f>VLOOKUP($D31,[1]Sheet2!$B$2:$K$63,2,FALSE)</f>
        <v>2.2620809999999998</v>
      </c>
      <c r="N31">
        <f>VLOOKUP($D31,[1]Sheet2!$B$2:$K$63,3,FALSE)</f>
        <v>0.160493</v>
      </c>
      <c r="O31">
        <f>VLOOKUP($D31,[1]Sheet2!$B$2:$K$63,4,FALSE)</f>
        <v>0.34259400000000001</v>
      </c>
      <c r="P31">
        <f>VLOOKUP($D31,[1]Sheet2!$B$2:$K$63,5,FALSE)</f>
        <v>0.88142500000000001</v>
      </c>
      <c r="Q31">
        <f>VLOOKUP($D31,[1]Sheet2!$B$2:$K$63,6,FALSE)</f>
        <v>0.88793100000000003</v>
      </c>
      <c r="R31">
        <f>VLOOKUP($D31,[1]Sheet2!$B$2:$K$63,7,FALSE)</f>
        <v>5.6087999999999999E-2</v>
      </c>
      <c r="S31">
        <f>VLOOKUP($D31,[1]Sheet2!$B$2:$K$63,8,FALSE)</f>
        <v>5.1229999999999998E-2</v>
      </c>
      <c r="T31">
        <f>VLOOKUP($D31,[1]Sheet2!$B$2:$K$63,9,FALSE)</f>
        <v>4.8819000000000001E-2</v>
      </c>
      <c r="U31">
        <f>VLOOKUP($D31,[1]Sheet2!$B$2:$K$63,10,FALSE)</f>
        <v>4.7397000000000002E-2</v>
      </c>
    </row>
    <row r="32" spans="1:21" x14ac:dyDescent="0.25">
      <c r="A32" t="s">
        <v>11</v>
      </c>
      <c r="B32">
        <v>28</v>
      </c>
      <c r="C32" t="s">
        <v>12</v>
      </c>
      <c r="D32" s="1" t="s">
        <v>50</v>
      </c>
      <c r="E32">
        <v>1</v>
      </c>
      <c r="F32">
        <v>1</v>
      </c>
      <c r="G32">
        <v>1</v>
      </c>
      <c r="H32" t="s">
        <v>16</v>
      </c>
      <c r="I32" t="s">
        <v>12</v>
      </c>
      <c r="J32" t="s">
        <v>14</v>
      </c>
      <c r="K32">
        <v>1</v>
      </c>
      <c r="L32">
        <v>5</v>
      </c>
      <c r="M32">
        <f>VLOOKUP($D32,[1]Sheet2!$B$2:$K$63,2,FALSE)</f>
        <v>2.609569</v>
      </c>
      <c r="N32">
        <f>VLOOKUP($D32,[1]Sheet2!$B$2:$K$63,3,FALSE)</f>
        <v>0.76032500000000003</v>
      </c>
      <c r="O32">
        <f>VLOOKUP($D32,[1]Sheet2!$B$2:$K$63,4,FALSE)</f>
        <v>1.477908</v>
      </c>
      <c r="P32">
        <f>VLOOKUP($D32,[1]Sheet2!$B$2:$K$63,5,FALSE)</f>
        <v>2.5333480000000002</v>
      </c>
      <c r="Q32">
        <f>VLOOKUP($D32,[1]Sheet2!$B$2:$K$63,6,FALSE)</f>
        <v>2.526208</v>
      </c>
      <c r="R32">
        <f>VLOOKUP($D32,[1]Sheet2!$B$2:$K$63,7,FALSE)</f>
        <v>5.0589000000000002E-2</v>
      </c>
      <c r="S32">
        <f>VLOOKUP($D32,[1]Sheet2!$B$2:$K$63,8,FALSE)</f>
        <v>4.4985999999999998E-2</v>
      </c>
      <c r="T32">
        <f>VLOOKUP($D32,[1]Sheet2!$B$2:$K$63,9,FALSE)</f>
        <v>4.2195999999999997E-2</v>
      </c>
      <c r="U32">
        <f>VLOOKUP($D32,[1]Sheet2!$B$2:$K$63,10,FALSE)</f>
        <v>4.0816999999999999E-2</v>
      </c>
    </row>
    <row r="33" spans="1:21" x14ac:dyDescent="0.25">
      <c r="A33" t="s">
        <v>11</v>
      </c>
      <c r="B33">
        <v>28.1</v>
      </c>
      <c r="C33" t="s">
        <v>12</v>
      </c>
      <c r="D33" s="1" t="s">
        <v>51</v>
      </c>
      <c r="E33">
        <v>1</v>
      </c>
      <c r="F33">
        <v>1</v>
      </c>
      <c r="G33">
        <v>1</v>
      </c>
      <c r="H33" t="s">
        <v>16</v>
      </c>
      <c r="I33" t="s">
        <v>12</v>
      </c>
      <c r="J33" t="s">
        <v>14</v>
      </c>
      <c r="K33">
        <v>0.5</v>
      </c>
      <c r="L33">
        <v>5</v>
      </c>
      <c r="M33">
        <f>VLOOKUP($D33,[1]Sheet2!$B$2:$K$63,2,FALSE)</f>
        <v>2.0507439999999999</v>
      </c>
      <c r="N33">
        <f>VLOOKUP($D33,[1]Sheet2!$B$2:$K$63,3,FALSE)</f>
        <v>0.376722</v>
      </c>
      <c r="O33">
        <f>VLOOKUP($D33,[1]Sheet2!$B$2:$K$63,4,FALSE)</f>
        <v>0.68406100000000003</v>
      </c>
      <c r="P33">
        <f>VLOOKUP($D33,[1]Sheet2!$B$2:$K$63,5,FALSE)</f>
        <v>1.80176</v>
      </c>
      <c r="Q33">
        <f>VLOOKUP($D33,[1]Sheet2!$B$2:$K$63,6,FALSE)</f>
        <v>1.7687120000000001</v>
      </c>
      <c r="R33">
        <f>VLOOKUP($D33,[1]Sheet2!$B$2:$K$63,7,FALSE)</f>
        <v>5.6314000000000003E-2</v>
      </c>
      <c r="S33">
        <f>VLOOKUP($D33,[1]Sheet2!$B$2:$K$63,8,FALSE)</f>
        <v>5.1621E-2</v>
      </c>
      <c r="T33">
        <f>VLOOKUP($D33,[1]Sheet2!$B$2:$K$63,9,FALSE)</f>
        <v>4.9193000000000001E-2</v>
      </c>
      <c r="U33">
        <f>VLOOKUP($D33,[1]Sheet2!$B$2:$K$63,10,FALSE)</f>
        <v>4.8684999999999999E-2</v>
      </c>
    </row>
    <row r="34" spans="1:21" x14ac:dyDescent="0.25">
      <c r="A34" t="s">
        <v>11</v>
      </c>
      <c r="B34">
        <v>29</v>
      </c>
      <c r="C34" t="s">
        <v>12</v>
      </c>
      <c r="D34" s="1" t="s">
        <v>52</v>
      </c>
      <c r="E34">
        <v>1</v>
      </c>
      <c r="F34">
        <v>1</v>
      </c>
      <c r="G34">
        <v>1</v>
      </c>
      <c r="H34" t="s">
        <v>16</v>
      </c>
      <c r="I34" t="s">
        <v>12</v>
      </c>
      <c r="J34" t="s">
        <v>17</v>
      </c>
      <c r="K34">
        <v>0.5</v>
      </c>
      <c r="L34">
        <v>5</v>
      </c>
      <c r="M34">
        <f>VLOOKUP($D34,[1]Sheet2!$B$2:$K$63,2,FALSE)</f>
        <v>2.4636909999999999</v>
      </c>
      <c r="N34">
        <f>VLOOKUP($D34,[1]Sheet2!$B$2:$K$63,3,FALSE)</f>
        <v>0.19548199999999999</v>
      </c>
      <c r="O34">
        <f>VLOOKUP($D34,[1]Sheet2!$B$2:$K$63,4,FALSE)</f>
        <v>0.42729200000000001</v>
      </c>
      <c r="P34">
        <f>VLOOKUP($D34,[1]Sheet2!$B$2:$K$63,5,FALSE)</f>
        <v>1.102843</v>
      </c>
      <c r="Q34">
        <f>VLOOKUP($D34,[1]Sheet2!$B$2:$K$63,6,FALSE)</f>
        <v>1.1111249999999999</v>
      </c>
      <c r="R34">
        <f>VLOOKUP($D34,[1]Sheet2!$B$2:$K$63,7,FALSE)</f>
        <v>5.8624000000000002E-2</v>
      </c>
      <c r="S34">
        <f>VLOOKUP($D34,[1]Sheet2!$B$2:$K$63,8,FALSE)</f>
        <v>5.3839999999999999E-2</v>
      </c>
      <c r="T34">
        <f>VLOOKUP($D34,[1]Sheet2!$B$2:$K$63,9,FALSE)</f>
        <v>5.1478000000000003E-2</v>
      </c>
      <c r="U34">
        <f>VLOOKUP($D34,[1]Sheet2!$B$2:$K$63,10,FALSE)</f>
        <v>5.0105999999999998E-2</v>
      </c>
    </row>
    <row r="35" spans="1:21" x14ac:dyDescent="0.25">
      <c r="A35" t="s">
        <v>11</v>
      </c>
      <c r="B35">
        <v>30</v>
      </c>
      <c r="C35" t="s">
        <v>12</v>
      </c>
      <c r="D35" s="1" t="s">
        <v>53</v>
      </c>
      <c r="E35">
        <v>1</v>
      </c>
      <c r="F35">
        <v>1</v>
      </c>
      <c r="G35">
        <v>1</v>
      </c>
      <c r="H35" t="s">
        <v>15</v>
      </c>
      <c r="I35" t="s">
        <v>12</v>
      </c>
      <c r="J35" t="s">
        <v>14</v>
      </c>
      <c r="K35">
        <v>1</v>
      </c>
      <c r="L35">
        <v>5</v>
      </c>
      <c r="M35">
        <f>VLOOKUP($D35,[1]Sheet2!$B$2:$K$63,2,FALSE)</f>
        <v>0.58684800000000004</v>
      </c>
      <c r="N35">
        <f>VLOOKUP($D35,[1]Sheet2!$B$2:$K$63,3,FALSE)</f>
        <v>0.15384999999999999</v>
      </c>
      <c r="O35">
        <f>VLOOKUP($D35,[1]Sheet2!$B$2:$K$63,4,FALSE)</f>
        <v>0.23133400000000001</v>
      </c>
      <c r="P35">
        <f>VLOOKUP($D35,[1]Sheet2!$B$2:$K$63,5,FALSE)</f>
        <v>0.81726100000000002</v>
      </c>
      <c r="Q35">
        <f>VLOOKUP($D35,[1]Sheet2!$B$2:$K$63,6,FALSE)</f>
        <v>0.80064400000000002</v>
      </c>
      <c r="R35">
        <f>VLOOKUP($D35,[1]Sheet2!$B$2:$K$63,7,FALSE)</f>
        <v>5.1133999999999999E-2</v>
      </c>
      <c r="S35">
        <f>VLOOKUP($D35,[1]Sheet2!$B$2:$K$63,8,FALSE)</f>
        <v>4.6309000000000003E-2</v>
      </c>
      <c r="T35">
        <f>VLOOKUP($D35,[1]Sheet2!$B$2:$K$63,9,FALSE)</f>
        <v>4.3955000000000001E-2</v>
      </c>
      <c r="U35">
        <f>VLOOKUP($D35,[1]Sheet2!$B$2:$K$63,10,FALSE)</f>
        <v>4.2710999999999999E-2</v>
      </c>
    </row>
    <row r="36" spans="1:21" x14ac:dyDescent="0.25">
      <c r="A36" t="s">
        <v>11</v>
      </c>
      <c r="B36">
        <v>31</v>
      </c>
      <c r="C36" t="s">
        <v>12</v>
      </c>
      <c r="D36" s="1" t="s">
        <v>54</v>
      </c>
      <c r="E36">
        <v>1</v>
      </c>
      <c r="F36">
        <v>1</v>
      </c>
      <c r="G36">
        <v>1</v>
      </c>
      <c r="H36" t="s">
        <v>15</v>
      </c>
      <c r="I36" t="s">
        <v>12</v>
      </c>
      <c r="J36" t="s">
        <v>14</v>
      </c>
      <c r="K36">
        <v>1</v>
      </c>
      <c r="L36">
        <v>5</v>
      </c>
      <c r="M36">
        <f>VLOOKUP($D36,[1]Sheet2!$B$2:$K$63,2,FALSE)</f>
        <v>0.41513299999999997</v>
      </c>
      <c r="N36">
        <f>VLOOKUP($D36,[1]Sheet2!$B$2:$K$63,3,FALSE)</f>
        <v>0.31575799999999998</v>
      </c>
      <c r="O36">
        <f>VLOOKUP($D36,[1]Sheet2!$B$2:$K$63,4,FALSE)</f>
        <v>0.31452400000000003</v>
      </c>
      <c r="P36">
        <f>VLOOKUP($D36,[1]Sheet2!$B$2:$K$63,5,FALSE)</f>
        <v>0.31293500000000002</v>
      </c>
      <c r="Q36">
        <f>VLOOKUP($D36,[1]Sheet2!$B$2:$K$63,6,FALSE)</f>
        <v>0.312782</v>
      </c>
      <c r="R36">
        <f>VLOOKUP($D36,[1]Sheet2!$B$2:$K$63,7,FALSE)</f>
        <v>0.324795</v>
      </c>
      <c r="S36">
        <f>VLOOKUP($D36,[1]Sheet2!$B$2:$K$63,8,FALSE)</f>
        <v>0.32724999999999999</v>
      </c>
      <c r="T36">
        <f>VLOOKUP($D36,[1]Sheet2!$B$2:$K$63,9,FALSE)</f>
        <v>0.33010400000000001</v>
      </c>
      <c r="U36">
        <f>VLOOKUP($D36,[1]Sheet2!$B$2:$K$63,10,FALSE)</f>
        <v>0.33287600000000001</v>
      </c>
    </row>
    <row r="37" spans="1:21" x14ac:dyDescent="0.25">
      <c r="A37" t="s">
        <v>11</v>
      </c>
      <c r="B37">
        <v>32</v>
      </c>
      <c r="C37" t="s">
        <v>12</v>
      </c>
      <c r="D37" s="1" t="s">
        <v>55</v>
      </c>
      <c r="E37">
        <v>1</v>
      </c>
      <c r="F37">
        <v>1</v>
      </c>
      <c r="G37">
        <v>1</v>
      </c>
      <c r="H37" t="s">
        <v>13</v>
      </c>
      <c r="I37" t="s">
        <v>12</v>
      </c>
      <c r="J37" t="s">
        <v>14</v>
      </c>
      <c r="K37">
        <v>1</v>
      </c>
      <c r="L37">
        <v>5</v>
      </c>
      <c r="M37">
        <f>VLOOKUP($D37,[1]Sheet2!$B$2:$K$63,2,FALSE)</f>
        <v>3.9167E-2</v>
      </c>
      <c r="N37">
        <f>VLOOKUP($D37,[1]Sheet2!$B$2:$K$63,3,FALSE)</f>
        <v>3.5742000000000003E-2</v>
      </c>
      <c r="O37">
        <f>VLOOKUP($D37,[1]Sheet2!$B$2:$K$63,4,FALSE)</f>
        <v>3.4335999999999998E-2</v>
      </c>
      <c r="P37">
        <f>VLOOKUP($D37,[1]Sheet2!$B$2:$K$63,5,FALSE)</f>
        <v>3.4729999999999997E-2</v>
      </c>
      <c r="Q37">
        <f>VLOOKUP($D37,[1]Sheet2!$B$2:$K$63,6,FALSE)</f>
        <v>3.4667000000000003E-2</v>
      </c>
      <c r="R37">
        <f>VLOOKUP($D37,[1]Sheet2!$B$2:$K$63,7,FALSE)</f>
        <v>5.0971000000000002E-2</v>
      </c>
      <c r="S37">
        <f>VLOOKUP($D37,[1]Sheet2!$B$2:$K$63,8,FALSE)</f>
        <v>4.6135000000000002E-2</v>
      </c>
      <c r="T37">
        <f>VLOOKUP($D37,[1]Sheet2!$B$2:$K$63,9,FALSE)</f>
        <v>4.3727000000000002E-2</v>
      </c>
      <c r="U37">
        <f>VLOOKUP($D37,[1]Sheet2!$B$2:$K$63,10,FALSE)</f>
        <v>4.2548000000000002E-2</v>
      </c>
    </row>
    <row r="38" spans="1:21" x14ac:dyDescent="0.25">
      <c r="A38" t="s">
        <v>11</v>
      </c>
      <c r="B38">
        <v>33</v>
      </c>
      <c r="C38" t="s">
        <v>12</v>
      </c>
      <c r="D38" s="1" t="s">
        <v>56</v>
      </c>
      <c r="E38">
        <v>1</v>
      </c>
      <c r="F38">
        <v>1</v>
      </c>
      <c r="G38">
        <v>1</v>
      </c>
      <c r="H38" t="s">
        <v>16</v>
      </c>
      <c r="I38" t="s">
        <v>12</v>
      </c>
      <c r="J38" t="s">
        <v>14</v>
      </c>
      <c r="K38">
        <v>1</v>
      </c>
      <c r="L38">
        <v>5</v>
      </c>
      <c r="M38">
        <f>VLOOKUP($D38,[1]Sheet2!$B$2:$K$63,2,FALSE)</f>
        <v>2.5840649999999998</v>
      </c>
      <c r="N38">
        <f>VLOOKUP($D38,[1]Sheet2!$B$2:$K$63,3,FALSE)</f>
        <v>0.61787099999999995</v>
      </c>
      <c r="O38">
        <f>VLOOKUP($D38,[1]Sheet2!$B$2:$K$63,4,FALSE)</f>
        <v>1.1665939999999999</v>
      </c>
      <c r="P38">
        <f>VLOOKUP($D38,[1]Sheet2!$B$2:$K$63,5,FALSE)</f>
        <v>2.466402</v>
      </c>
      <c r="Q38">
        <f>VLOOKUP($D38,[1]Sheet2!$B$2:$K$63,6,FALSE)</f>
        <v>2.4494060000000002</v>
      </c>
      <c r="R38">
        <f>VLOOKUP($D38,[1]Sheet2!$B$2:$K$63,7,FALSE)</f>
        <v>5.6008000000000002E-2</v>
      </c>
      <c r="S38">
        <f>VLOOKUP($D38,[1]Sheet2!$B$2:$K$63,8,FALSE)</f>
        <v>5.0652999999999997E-2</v>
      </c>
      <c r="T38">
        <f>VLOOKUP($D38,[1]Sheet2!$B$2:$K$63,9,FALSE)</f>
        <v>4.7900999999999999E-2</v>
      </c>
      <c r="U38">
        <f>VLOOKUP($D38,[1]Sheet2!$B$2:$K$63,10,FALSE)</f>
        <v>4.6535E-2</v>
      </c>
    </row>
    <row r="39" spans="1:21" x14ac:dyDescent="0.25">
      <c r="A39" t="s">
        <v>11</v>
      </c>
      <c r="B39">
        <v>33.1</v>
      </c>
      <c r="C39" t="s">
        <v>12</v>
      </c>
      <c r="D39" s="1" t="s">
        <v>57</v>
      </c>
      <c r="E39">
        <v>1</v>
      </c>
      <c r="F39">
        <v>1</v>
      </c>
      <c r="G39">
        <v>1</v>
      </c>
      <c r="H39" t="s">
        <v>16</v>
      </c>
      <c r="I39" t="s">
        <v>12</v>
      </c>
      <c r="J39" t="s">
        <v>14</v>
      </c>
      <c r="K39">
        <v>0.5</v>
      </c>
      <c r="L39">
        <v>5</v>
      </c>
      <c r="M39">
        <f>VLOOKUP($D39,[1]Sheet2!$B$2:$K$63,2,FALSE)</f>
        <v>1.880822</v>
      </c>
      <c r="N39">
        <f>VLOOKUP($D39,[1]Sheet2!$B$2:$K$63,3,FALSE)</f>
        <v>0.32481500000000002</v>
      </c>
      <c r="O39">
        <f>VLOOKUP($D39,[1]Sheet2!$B$2:$K$63,4,FALSE)</f>
        <v>0.59317399999999998</v>
      </c>
      <c r="P39">
        <f>VLOOKUP($D39,[1]Sheet2!$B$2:$K$63,5,FALSE)</f>
        <v>1.5808789999999999</v>
      </c>
      <c r="Q39">
        <f>VLOOKUP($D39,[1]Sheet2!$B$2:$K$63,6,FALSE)</f>
        <v>1.5494600000000001</v>
      </c>
      <c r="R39">
        <f>VLOOKUP($D39,[1]Sheet2!$B$2:$K$63,7,FALSE)</f>
        <v>5.5890000000000002E-2</v>
      </c>
      <c r="S39">
        <f>VLOOKUP($D39,[1]Sheet2!$B$2:$K$63,8,FALSE)</f>
        <v>4.9454999999999999E-2</v>
      </c>
      <c r="T39">
        <f>VLOOKUP($D39,[1]Sheet2!$B$2:$K$63,9,FALSE)</f>
        <v>4.6709000000000001E-2</v>
      </c>
      <c r="U39">
        <f>VLOOKUP($D39,[1]Sheet2!$B$2:$K$63,10,FALSE)</f>
        <v>4.5203E-2</v>
      </c>
    </row>
    <row r="40" spans="1:21" x14ac:dyDescent="0.25">
      <c r="A40" t="s">
        <v>11</v>
      </c>
      <c r="B40">
        <v>34</v>
      </c>
      <c r="C40" t="s">
        <v>12</v>
      </c>
      <c r="D40" s="1" t="s">
        <v>58</v>
      </c>
      <c r="E40">
        <v>1</v>
      </c>
      <c r="F40">
        <v>1</v>
      </c>
      <c r="G40">
        <v>1</v>
      </c>
      <c r="H40" t="s">
        <v>16</v>
      </c>
      <c r="I40" t="s">
        <v>12</v>
      </c>
      <c r="J40" t="s">
        <v>17</v>
      </c>
      <c r="K40">
        <v>0.5</v>
      </c>
      <c r="L40">
        <v>5</v>
      </c>
      <c r="M40">
        <f>VLOOKUP($D40,[1]Sheet2!$B$2:$K$63,2,FALSE)</f>
        <v>2.3695430000000002</v>
      </c>
      <c r="N40">
        <f>VLOOKUP($D40,[1]Sheet2!$B$2:$K$63,3,FALSE)</f>
        <v>0.17266500000000001</v>
      </c>
      <c r="O40">
        <f>VLOOKUP($D40,[1]Sheet2!$B$2:$K$63,4,FALSE)</f>
        <v>0.37128499999999998</v>
      </c>
      <c r="P40">
        <f>VLOOKUP($D40,[1]Sheet2!$B$2:$K$63,5,FALSE)</f>
        <v>0.95947099999999996</v>
      </c>
      <c r="Q40">
        <f>VLOOKUP($D40,[1]Sheet2!$B$2:$K$63,6,FALSE)</f>
        <v>0.96636</v>
      </c>
      <c r="R40">
        <f>VLOOKUP($D40,[1]Sheet2!$B$2:$K$63,7,FALSE)</f>
        <v>5.7107999999999999E-2</v>
      </c>
      <c r="S40">
        <f>VLOOKUP($D40,[1]Sheet2!$B$2:$K$63,8,FALSE)</f>
        <v>5.2218000000000001E-2</v>
      </c>
      <c r="T40">
        <f>VLOOKUP($D40,[1]Sheet2!$B$2:$K$63,9,FALSE)</f>
        <v>4.9688000000000003E-2</v>
      </c>
      <c r="U40">
        <f>VLOOKUP($D40,[1]Sheet2!$B$2:$K$63,10,FALSE)</f>
        <v>4.8238999999999997E-2</v>
      </c>
    </row>
    <row r="41" spans="1:21" x14ac:dyDescent="0.25">
      <c r="A41" t="s">
        <v>11</v>
      </c>
      <c r="B41">
        <v>35</v>
      </c>
      <c r="C41" t="s">
        <v>12</v>
      </c>
      <c r="D41" s="1" t="s">
        <v>59</v>
      </c>
      <c r="E41">
        <v>1</v>
      </c>
      <c r="F41">
        <v>1</v>
      </c>
      <c r="G41">
        <v>1</v>
      </c>
      <c r="H41" t="s">
        <v>16</v>
      </c>
      <c r="I41" t="s">
        <v>12</v>
      </c>
      <c r="J41" t="s">
        <v>14</v>
      </c>
      <c r="K41">
        <v>1</v>
      </c>
      <c r="L41">
        <v>5</v>
      </c>
      <c r="M41">
        <f>VLOOKUP($D41,[1]Sheet2!$B$2:$K$63,2,FALSE)</f>
        <v>2.5002300000000002</v>
      </c>
      <c r="N41">
        <f>VLOOKUP($D41,[1]Sheet2!$B$2:$K$63,3,FALSE)</f>
        <v>0.54726600000000003</v>
      </c>
      <c r="O41">
        <f>VLOOKUP($D41,[1]Sheet2!$B$2:$K$63,4,FALSE)</f>
        <v>1.0039480000000001</v>
      </c>
      <c r="P41">
        <f>VLOOKUP($D41,[1]Sheet2!$B$2:$K$63,5,FALSE)</f>
        <v>2.3553310000000001</v>
      </c>
      <c r="Q41">
        <f>VLOOKUP($D41,[1]Sheet2!$B$2:$K$63,6,FALSE)</f>
        <v>2.3338139999999998</v>
      </c>
      <c r="R41">
        <f>VLOOKUP($D41,[1]Sheet2!$B$2:$K$63,7,FALSE)</f>
        <v>5.5337999999999998E-2</v>
      </c>
      <c r="S41">
        <f>VLOOKUP($D41,[1]Sheet2!$B$2:$K$63,8,FALSE)</f>
        <v>5.0383999999999998E-2</v>
      </c>
      <c r="T41">
        <f>VLOOKUP($D41,[1]Sheet2!$B$2:$K$63,9,FALSE)</f>
        <v>4.7835999999999997E-2</v>
      </c>
      <c r="U41">
        <f>VLOOKUP($D41,[1]Sheet2!$B$2:$K$63,10,FALSE)</f>
        <v>4.6530000000000002E-2</v>
      </c>
    </row>
    <row r="42" spans="1:21" x14ac:dyDescent="0.25">
      <c r="A42" t="s">
        <v>11</v>
      </c>
      <c r="B42">
        <v>35.1</v>
      </c>
      <c r="C42" t="s">
        <v>12</v>
      </c>
      <c r="D42" s="1" t="s">
        <v>60</v>
      </c>
      <c r="E42">
        <v>1</v>
      </c>
      <c r="F42">
        <v>1</v>
      </c>
      <c r="G42">
        <v>1</v>
      </c>
      <c r="H42" t="s">
        <v>16</v>
      </c>
      <c r="I42" t="s">
        <v>12</v>
      </c>
      <c r="J42" t="s">
        <v>14</v>
      </c>
      <c r="K42">
        <v>0.5</v>
      </c>
      <c r="L42">
        <v>5</v>
      </c>
      <c r="M42">
        <f>VLOOKUP($D42,[1]Sheet2!$B$2:$K$63,2,FALSE)</f>
        <v>1.691208</v>
      </c>
      <c r="N42">
        <f>VLOOKUP($D42,[1]Sheet2!$B$2:$K$63,3,FALSE)</f>
        <v>0.29850300000000002</v>
      </c>
      <c r="O42">
        <f>VLOOKUP($D42,[1]Sheet2!$B$2:$K$63,4,FALSE)</f>
        <v>0.54425100000000004</v>
      </c>
      <c r="P42">
        <f>VLOOKUP($D42,[1]Sheet2!$B$2:$K$63,5,FALSE)</f>
        <v>1.4539260000000001</v>
      </c>
      <c r="Q42">
        <f>VLOOKUP($D42,[1]Sheet2!$B$2:$K$63,6,FALSE)</f>
        <v>1.4227970000000001</v>
      </c>
      <c r="R42">
        <f>VLOOKUP($D42,[1]Sheet2!$B$2:$K$63,7,FALSE)</f>
        <v>5.2970999999999997E-2</v>
      </c>
      <c r="S42">
        <f>VLOOKUP($D42,[1]Sheet2!$B$2:$K$63,8,FALSE)</f>
        <v>4.8201000000000001E-2</v>
      </c>
      <c r="T42">
        <f>VLOOKUP($D42,[1]Sheet2!$B$2:$K$63,9,FALSE)</f>
        <v>4.5364000000000002E-2</v>
      </c>
      <c r="U42">
        <f>VLOOKUP($D42,[1]Sheet2!$B$2:$K$63,10,FALSE)</f>
        <v>4.3688999999999999E-2</v>
      </c>
    </row>
    <row r="43" spans="1:21" x14ac:dyDescent="0.25">
      <c r="A43" t="s">
        <v>11</v>
      </c>
      <c r="B43">
        <v>36</v>
      </c>
      <c r="C43" t="s">
        <v>12</v>
      </c>
      <c r="D43" s="1" t="s">
        <v>61</v>
      </c>
      <c r="E43">
        <v>1</v>
      </c>
      <c r="F43">
        <v>1</v>
      </c>
      <c r="G43">
        <v>1</v>
      </c>
      <c r="H43" t="s">
        <v>16</v>
      </c>
      <c r="I43" t="s">
        <v>12</v>
      </c>
      <c r="J43" t="s">
        <v>17</v>
      </c>
      <c r="K43">
        <v>0.5</v>
      </c>
      <c r="L43">
        <v>5</v>
      </c>
      <c r="M43">
        <f>VLOOKUP($D43,[1]Sheet2!$B$2:$K$63,2,FALSE)</f>
        <v>2.227319</v>
      </c>
      <c r="N43">
        <f>VLOOKUP($D43,[1]Sheet2!$B$2:$K$63,3,FALSE)</f>
        <v>0.15953999999999999</v>
      </c>
      <c r="O43">
        <f>VLOOKUP($D43,[1]Sheet2!$B$2:$K$63,4,FALSE)</f>
        <v>0.34127800000000003</v>
      </c>
      <c r="P43">
        <f>VLOOKUP($D43,[1]Sheet2!$B$2:$K$63,5,FALSE)</f>
        <v>0.87587800000000005</v>
      </c>
      <c r="Q43">
        <f>VLOOKUP($D43,[1]Sheet2!$B$2:$K$63,6,FALSE)</f>
        <v>0.88282000000000005</v>
      </c>
      <c r="R43">
        <f>VLOOKUP($D43,[1]Sheet2!$B$2:$K$63,7,FALSE)</f>
        <v>5.5884999999999997E-2</v>
      </c>
      <c r="S43">
        <f>VLOOKUP($D43,[1]Sheet2!$B$2:$K$63,8,FALSE)</f>
        <v>5.1015999999999999E-2</v>
      </c>
      <c r="T43">
        <f>VLOOKUP($D43,[1]Sheet2!$B$2:$K$63,9,FALSE)</f>
        <v>4.8462999999999999E-2</v>
      </c>
      <c r="U43">
        <f>VLOOKUP($D43,[1]Sheet2!$B$2:$K$63,10,FALSE)</f>
        <v>4.7035E-2</v>
      </c>
    </row>
    <row r="44" spans="1:21" x14ac:dyDescent="0.25">
      <c r="A44" t="s">
        <v>11</v>
      </c>
      <c r="B44">
        <v>37</v>
      </c>
      <c r="C44" t="s">
        <v>12</v>
      </c>
      <c r="D44" s="1" t="s">
        <v>62</v>
      </c>
      <c r="E44">
        <v>1</v>
      </c>
      <c r="F44">
        <v>1</v>
      </c>
      <c r="G44">
        <v>1</v>
      </c>
      <c r="H44" t="s">
        <v>16</v>
      </c>
      <c r="I44" t="s">
        <v>12</v>
      </c>
      <c r="J44" t="s">
        <v>14</v>
      </c>
      <c r="K44">
        <v>1</v>
      </c>
      <c r="L44">
        <v>5</v>
      </c>
      <c r="M44">
        <f>VLOOKUP($D44,[1]Sheet2!$B$2:$K$63,2,FALSE)</f>
        <v>1.945594</v>
      </c>
      <c r="N44">
        <f>VLOOKUP($D44,[1]Sheet2!$B$2:$K$63,3,FALSE)</f>
        <v>0.33917000000000003</v>
      </c>
      <c r="O44">
        <f>VLOOKUP($D44,[1]Sheet2!$B$2:$K$63,4,FALSE)</f>
        <v>0.62937600000000005</v>
      </c>
      <c r="P44">
        <f>VLOOKUP($D44,[1]Sheet2!$B$2:$K$63,5,FALSE)</f>
        <v>1.672212</v>
      </c>
      <c r="Q44">
        <f>VLOOKUP($D44,[1]Sheet2!$B$2:$K$63,6,FALSE)</f>
        <v>1.6359429999999999</v>
      </c>
      <c r="R44">
        <f>VLOOKUP($D44,[1]Sheet2!$B$2:$K$63,7,FALSE)</f>
        <v>5.1166999999999997E-2</v>
      </c>
      <c r="S44">
        <f>VLOOKUP($D44,[1]Sheet2!$B$2:$K$63,8,FALSE)</f>
        <v>4.5716E-2</v>
      </c>
      <c r="T44">
        <f>VLOOKUP($D44,[1]Sheet2!$B$2:$K$63,9,FALSE)</f>
        <v>4.3083999999999997E-2</v>
      </c>
      <c r="U44">
        <f>VLOOKUP($D44,[1]Sheet2!$B$2:$K$63,10,FALSE)</f>
        <v>4.1898999999999999E-2</v>
      </c>
    </row>
    <row r="45" spans="1:21" x14ac:dyDescent="0.25">
      <c r="A45" t="s">
        <v>11</v>
      </c>
      <c r="B45">
        <v>38</v>
      </c>
      <c r="C45" t="s">
        <v>12</v>
      </c>
      <c r="D45" s="1" t="s">
        <v>63</v>
      </c>
      <c r="E45">
        <v>1</v>
      </c>
      <c r="F45">
        <v>1</v>
      </c>
      <c r="G45">
        <v>1</v>
      </c>
      <c r="H45" t="s">
        <v>16</v>
      </c>
      <c r="I45" t="s">
        <v>12</v>
      </c>
      <c r="J45" t="s">
        <v>17</v>
      </c>
      <c r="K45">
        <v>1</v>
      </c>
      <c r="L45">
        <v>5</v>
      </c>
      <c r="M45">
        <f>VLOOKUP($D45,[1]Sheet2!$B$2:$K$63,2,FALSE)</f>
        <v>2.40523</v>
      </c>
      <c r="N45">
        <f>VLOOKUP($D45,[1]Sheet2!$B$2:$K$63,3,FALSE)</f>
        <v>0.17633199999999999</v>
      </c>
      <c r="O45">
        <f>VLOOKUP($D45,[1]Sheet2!$B$2:$K$63,4,FALSE)</f>
        <v>0.38691700000000001</v>
      </c>
      <c r="P45">
        <f>VLOOKUP($D45,[1]Sheet2!$B$2:$K$63,5,FALSE)</f>
        <v>1.006578</v>
      </c>
      <c r="Q45">
        <f>VLOOKUP($D45,[1]Sheet2!$B$2:$K$63,6,FALSE)</f>
        <v>1.0143899999999999</v>
      </c>
      <c r="R45">
        <f>VLOOKUP($D45,[1]Sheet2!$B$2:$K$63,7,FALSE)</f>
        <v>5.389E-2</v>
      </c>
      <c r="S45">
        <f>VLOOKUP($D45,[1]Sheet2!$B$2:$K$63,8,FALSE)</f>
        <v>4.9001000000000003E-2</v>
      </c>
      <c r="T45">
        <f>VLOOKUP($D45,[1]Sheet2!$B$2:$K$63,9,FALSE)</f>
        <v>4.6478999999999999E-2</v>
      </c>
      <c r="U45">
        <f>VLOOKUP($D45,[1]Sheet2!$B$2:$K$63,10,FALSE)</f>
        <v>4.5121000000000001E-2</v>
      </c>
    </row>
    <row r="46" spans="1:21" x14ac:dyDescent="0.25">
      <c r="A46" t="s">
        <v>11</v>
      </c>
      <c r="B46">
        <v>39</v>
      </c>
      <c r="C46" t="s">
        <v>12</v>
      </c>
      <c r="D46" s="1" t="s">
        <v>64</v>
      </c>
      <c r="E46">
        <v>1</v>
      </c>
      <c r="F46">
        <v>1</v>
      </c>
      <c r="G46">
        <v>1</v>
      </c>
      <c r="H46" t="s">
        <v>16</v>
      </c>
      <c r="I46" t="s">
        <v>12</v>
      </c>
      <c r="J46" t="s">
        <v>14</v>
      </c>
      <c r="K46">
        <v>1</v>
      </c>
      <c r="L46">
        <v>5</v>
      </c>
      <c r="M46">
        <f>VLOOKUP($D46,[1]Sheet2!$B$2:$K$63,2,FALSE)</f>
        <v>0.44203700000000001</v>
      </c>
      <c r="N46">
        <f>VLOOKUP($D46,[1]Sheet2!$B$2:$K$63,3,FALSE)</f>
        <v>0.103191</v>
      </c>
      <c r="O46">
        <f>VLOOKUP($D46,[1]Sheet2!$B$2:$K$63,4,FALSE)</f>
        <v>0.15837899999999999</v>
      </c>
      <c r="P46">
        <f>VLOOKUP($D46,[1]Sheet2!$B$2:$K$63,5,FALSE)</f>
        <v>0.392202</v>
      </c>
      <c r="Q46">
        <f>VLOOKUP($D46,[1]Sheet2!$B$2:$K$63,6,FALSE)</f>
        <v>0.38660699999999998</v>
      </c>
      <c r="R46">
        <f>VLOOKUP($D46,[1]Sheet2!$B$2:$K$63,7,FALSE)</f>
        <v>5.3763999999999999E-2</v>
      </c>
      <c r="S46">
        <f>VLOOKUP($D46,[1]Sheet2!$B$2:$K$63,8,FALSE)</f>
        <v>4.9482999999999999E-2</v>
      </c>
      <c r="T46">
        <f>VLOOKUP($D46,[1]Sheet2!$B$2:$K$63,9,FALSE)</f>
        <v>4.7376000000000001E-2</v>
      </c>
      <c r="U46">
        <f>VLOOKUP($D46,[1]Sheet2!$B$2:$K$63,10,FALSE)</f>
        <v>4.6246000000000002E-2</v>
      </c>
    </row>
    <row r="47" spans="1:21" x14ac:dyDescent="0.25">
      <c r="A47" t="s">
        <v>11</v>
      </c>
      <c r="B47">
        <v>40</v>
      </c>
      <c r="C47" t="s">
        <v>12</v>
      </c>
      <c r="D47" s="1" t="s">
        <v>65</v>
      </c>
      <c r="E47">
        <v>1</v>
      </c>
      <c r="F47">
        <v>1</v>
      </c>
      <c r="G47">
        <v>1</v>
      </c>
      <c r="H47" t="s">
        <v>16</v>
      </c>
      <c r="I47" t="s">
        <v>12</v>
      </c>
      <c r="J47" t="s">
        <v>17</v>
      </c>
      <c r="K47">
        <v>1</v>
      </c>
      <c r="L47">
        <v>5</v>
      </c>
      <c r="M47">
        <f>VLOOKUP($D47,[1]Sheet2!$B$2:$K$63,2,FALSE)</f>
        <v>0.62078</v>
      </c>
      <c r="N47">
        <f>VLOOKUP($D47,[1]Sheet2!$B$2:$K$63,3,FALSE)</f>
        <v>6.9196999999999995E-2</v>
      </c>
      <c r="O47">
        <f>VLOOKUP($D47,[1]Sheet2!$B$2:$K$63,4,FALSE)</f>
        <v>0.112718</v>
      </c>
      <c r="P47">
        <f>VLOOKUP($D47,[1]Sheet2!$B$2:$K$63,5,FALSE)</f>
        <v>0.24321000000000001</v>
      </c>
      <c r="Q47">
        <f>VLOOKUP($D47,[1]Sheet2!$B$2:$K$63,6,FALSE)</f>
        <v>0.24490600000000001</v>
      </c>
      <c r="R47">
        <f>VLOOKUP($D47,[1]Sheet2!$B$2:$K$63,7,FALSE)</f>
        <v>5.7433999999999999E-2</v>
      </c>
      <c r="S47">
        <f>VLOOKUP($D47,[1]Sheet2!$B$2:$K$63,8,FALSE)</f>
        <v>5.3452E-2</v>
      </c>
      <c r="T47">
        <f>VLOOKUP($D47,[1]Sheet2!$B$2:$K$63,9,FALSE)</f>
        <v>5.1496E-2</v>
      </c>
      <c r="U47">
        <f>VLOOKUP($D47,[1]Sheet2!$B$2:$K$63,10,FALSE)</f>
        <v>5.042E-2</v>
      </c>
    </row>
    <row r="48" spans="1:21" x14ac:dyDescent="0.25">
      <c r="A48" t="s">
        <v>11</v>
      </c>
      <c r="B48">
        <v>41</v>
      </c>
      <c r="C48" t="s">
        <v>12</v>
      </c>
      <c r="D48" s="1" t="s">
        <v>66</v>
      </c>
      <c r="E48">
        <v>1</v>
      </c>
      <c r="F48">
        <v>1</v>
      </c>
      <c r="G48">
        <v>1</v>
      </c>
      <c r="H48" t="s">
        <v>16</v>
      </c>
      <c r="I48" t="s">
        <v>12</v>
      </c>
      <c r="J48" t="s">
        <v>14</v>
      </c>
      <c r="K48">
        <v>1</v>
      </c>
      <c r="L48">
        <v>5</v>
      </c>
      <c r="M48">
        <f>VLOOKUP($D48,[1]Sheet2!$B$2:$K$63,2,FALSE)</f>
        <v>0.21751699999999999</v>
      </c>
      <c r="N48">
        <f>VLOOKUP($D48,[1]Sheet2!$B$2:$K$63,3,FALSE)</f>
        <v>6.1703000000000001E-2</v>
      </c>
      <c r="O48">
        <f>VLOOKUP($D48,[1]Sheet2!$B$2:$K$63,4,FALSE)</f>
        <v>8.7240999999999999E-2</v>
      </c>
      <c r="P48">
        <f>VLOOKUP($D48,[1]Sheet2!$B$2:$K$63,5,FALSE)</f>
        <v>0.18526400000000001</v>
      </c>
      <c r="Q48">
        <f>VLOOKUP($D48,[1]Sheet2!$B$2:$K$63,6,FALSE)</f>
        <v>0.18113299999999999</v>
      </c>
      <c r="R48">
        <f>VLOOKUP($D48,[1]Sheet2!$B$2:$K$63,7,FALSE)</f>
        <v>4.8113000000000003E-2</v>
      </c>
      <c r="S48">
        <f>VLOOKUP($D48,[1]Sheet2!$B$2:$K$63,8,FALSE)</f>
        <v>4.2825000000000002E-2</v>
      </c>
      <c r="T48">
        <f>VLOOKUP($D48,[1]Sheet2!$B$2:$K$63,9,FALSE)</f>
        <v>4.0212999999999999E-2</v>
      </c>
      <c r="U48">
        <f>VLOOKUP($D48,[1]Sheet2!$B$2:$K$63,10,FALSE)</f>
        <v>3.8983999999999998E-2</v>
      </c>
    </row>
    <row r="49" spans="1:21" x14ac:dyDescent="0.25">
      <c r="A49" t="s">
        <v>11</v>
      </c>
      <c r="B49">
        <v>42</v>
      </c>
      <c r="C49" t="s">
        <v>12</v>
      </c>
      <c r="D49" s="1" t="s">
        <v>67</v>
      </c>
      <c r="E49">
        <v>1</v>
      </c>
      <c r="F49">
        <v>1</v>
      </c>
      <c r="G49">
        <v>1</v>
      </c>
      <c r="H49" t="s">
        <v>16</v>
      </c>
      <c r="I49" t="s">
        <v>12</v>
      </c>
      <c r="J49" t="s">
        <v>17</v>
      </c>
      <c r="K49">
        <v>1</v>
      </c>
      <c r="L49">
        <v>5</v>
      </c>
      <c r="M49">
        <f>VLOOKUP($D49,[1]Sheet2!$B$2:$K$63,2,FALSE)</f>
        <v>0.30038500000000001</v>
      </c>
      <c r="N49">
        <f>VLOOKUP($D49,[1]Sheet2!$B$2:$K$63,3,FALSE)</f>
        <v>5.1291999999999997E-2</v>
      </c>
      <c r="O49">
        <f>VLOOKUP($D49,[1]Sheet2!$B$2:$K$63,4,FALSE)</f>
        <v>6.8595000000000003E-2</v>
      </c>
      <c r="P49">
        <f>VLOOKUP($D49,[1]Sheet2!$B$2:$K$63,5,FALSE)</f>
        <v>0.125357</v>
      </c>
      <c r="Q49">
        <f>VLOOKUP($D49,[1]Sheet2!$B$2:$K$63,6,FALSE)</f>
        <v>0.12601799999999999</v>
      </c>
      <c r="R49">
        <f>VLOOKUP($D49,[1]Sheet2!$B$2:$K$63,7,FALSE)</f>
        <v>5.3580999999999997E-2</v>
      </c>
      <c r="S49">
        <f>VLOOKUP($D49,[1]Sheet2!$B$2:$K$63,8,FALSE)</f>
        <v>4.8648999999999998E-2</v>
      </c>
      <c r="T49">
        <f>VLOOKUP($D49,[1]Sheet2!$B$2:$K$63,9,FALSE)</f>
        <v>4.6167E-2</v>
      </c>
      <c r="U49">
        <f>VLOOKUP($D49,[1]Sheet2!$B$2:$K$63,10,FALSE)</f>
        <v>4.4937999999999999E-2</v>
      </c>
    </row>
    <row r="50" spans="1:21" x14ac:dyDescent="0.25">
      <c r="A50" t="s">
        <v>11</v>
      </c>
      <c r="B50">
        <v>43</v>
      </c>
      <c r="C50" t="s">
        <v>12</v>
      </c>
      <c r="D50" s="1" t="s">
        <v>68</v>
      </c>
      <c r="E50">
        <v>1</v>
      </c>
      <c r="F50">
        <v>1</v>
      </c>
      <c r="G50">
        <v>1</v>
      </c>
      <c r="H50" t="s">
        <v>16</v>
      </c>
      <c r="I50" t="s">
        <v>12</v>
      </c>
      <c r="J50" t="s">
        <v>14</v>
      </c>
      <c r="K50">
        <v>1</v>
      </c>
      <c r="L50">
        <v>5</v>
      </c>
      <c r="M50">
        <f>VLOOKUP($D50,[1]Sheet2!$B$2:$K$63,2,FALSE)</f>
        <v>0.11642</v>
      </c>
      <c r="N50">
        <f>VLOOKUP($D50,[1]Sheet2!$B$2:$K$63,3,FALSE)</f>
        <v>4.8821000000000003E-2</v>
      </c>
      <c r="O50">
        <f>VLOOKUP($D50,[1]Sheet2!$B$2:$K$63,4,FALSE)</f>
        <v>5.7401000000000001E-2</v>
      </c>
      <c r="P50">
        <f>VLOOKUP($D50,[1]Sheet2!$B$2:$K$63,5,FALSE)</f>
        <v>9.8629999999999995E-2</v>
      </c>
      <c r="Q50">
        <f>VLOOKUP($D50,[1]Sheet2!$B$2:$K$63,6,FALSE)</f>
        <v>9.7605999999999998E-2</v>
      </c>
      <c r="R50">
        <f>VLOOKUP($D50,[1]Sheet2!$B$2:$K$63,7,FALSE)</f>
        <v>5.4885999999999997E-2</v>
      </c>
      <c r="S50">
        <f>VLOOKUP($D50,[1]Sheet2!$B$2:$K$63,8,FALSE)</f>
        <v>5.0480999999999998E-2</v>
      </c>
      <c r="T50">
        <f>VLOOKUP($D50,[1]Sheet2!$B$2:$K$63,9,FALSE)</f>
        <v>4.8379999999999999E-2</v>
      </c>
      <c r="U50">
        <f>VLOOKUP($D50,[1]Sheet2!$B$2:$K$63,10,FALSE)</f>
        <v>4.7287000000000003E-2</v>
      </c>
    </row>
    <row r="51" spans="1:21" x14ac:dyDescent="0.25">
      <c r="A51" t="s">
        <v>11</v>
      </c>
      <c r="B51">
        <v>44</v>
      </c>
      <c r="C51" t="s">
        <v>12</v>
      </c>
      <c r="D51" s="1" t="s">
        <v>69</v>
      </c>
      <c r="E51">
        <v>1</v>
      </c>
      <c r="F51">
        <v>1</v>
      </c>
      <c r="G51">
        <v>1</v>
      </c>
      <c r="H51" t="s">
        <v>16</v>
      </c>
      <c r="I51" t="s">
        <v>12</v>
      </c>
      <c r="J51" t="s">
        <v>17</v>
      </c>
      <c r="K51">
        <v>1</v>
      </c>
      <c r="L51">
        <v>5</v>
      </c>
      <c r="M51">
        <f>VLOOKUP($D51,[1]Sheet2!$B$2:$K$63,2,FALSE)</f>
        <v>0.14438400000000001</v>
      </c>
      <c r="N51">
        <f>VLOOKUP($D51,[1]Sheet2!$B$2:$K$63,3,FALSE)</f>
        <v>4.1116E-2</v>
      </c>
      <c r="O51">
        <f>VLOOKUP($D51,[1]Sheet2!$B$2:$K$63,4,FALSE)</f>
        <v>4.7670999999999998E-2</v>
      </c>
      <c r="P51">
        <f>VLOOKUP($D51,[1]Sheet2!$B$2:$K$63,5,FALSE)</f>
        <v>7.0786000000000002E-2</v>
      </c>
      <c r="Q51">
        <f>VLOOKUP($D51,[1]Sheet2!$B$2:$K$63,6,FALSE)</f>
        <v>7.1068000000000006E-2</v>
      </c>
      <c r="R51">
        <f>VLOOKUP($D51,[1]Sheet2!$B$2:$K$63,7,FALSE)</f>
        <v>5.4857999999999997E-2</v>
      </c>
      <c r="S51">
        <f>VLOOKUP($D51,[1]Sheet2!$B$2:$K$63,8,FALSE)</f>
        <v>5.0764999999999998E-2</v>
      </c>
      <c r="T51">
        <f>VLOOKUP($D51,[1]Sheet2!$B$2:$K$63,9,FALSE)</f>
        <v>4.8772999999999997E-2</v>
      </c>
      <c r="U51">
        <f>VLOOKUP($D51,[1]Sheet2!$B$2:$K$63,10,FALSE)</f>
        <v>4.7718999999999998E-2</v>
      </c>
    </row>
    <row r="52" spans="1:21" x14ac:dyDescent="0.25">
      <c r="A52" t="s">
        <v>11</v>
      </c>
      <c r="B52">
        <v>45</v>
      </c>
      <c r="C52" t="s">
        <v>12</v>
      </c>
      <c r="D52" s="1" t="s">
        <v>70</v>
      </c>
      <c r="E52">
        <v>1</v>
      </c>
      <c r="F52">
        <v>1</v>
      </c>
      <c r="G52">
        <v>1</v>
      </c>
      <c r="H52" t="s">
        <v>16</v>
      </c>
      <c r="I52" t="s">
        <v>12</v>
      </c>
      <c r="J52" t="s">
        <v>14</v>
      </c>
      <c r="K52">
        <v>1</v>
      </c>
      <c r="L52">
        <v>5</v>
      </c>
      <c r="M52">
        <f>VLOOKUP($D52,[1]Sheet2!$B$2:$K$63,2,FALSE)</f>
        <v>8.6556999999999995E-2</v>
      </c>
      <c r="N52">
        <f>VLOOKUP($D52,[1]Sheet2!$B$2:$K$63,3,FALSE)</f>
        <v>4.1869000000000003E-2</v>
      </c>
      <c r="O52">
        <f>VLOOKUP($D52,[1]Sheet2!$B$2:$K$63,4,FALSE)</f>
        <v>4.5982000000000002E-2</v>
      </c>
      <c r="P52">
        <f>VLOOKUP($D52,[1]Sheet2!$B$2:$K$63,5,FALSE)</f>
        <v>6.8983000000000003E-2</v>
      </c>
      <c r="Q52">
        <f>VLOOKUP($D52,[1]Sheet2!$B$2:$K$63,6,FALSE)</f>
        <v>6.8285999999999999E-2</v>
      </c>
      <c r="R52">
        <f>VLOOKUP($D52,[1]Sheet2!$B$2:$K$63,7,FALSE)</f>
        <v>5.0798999999999997E-2</v>
      </c>
      <c r="S52">
        <f>VLOOKUP($D52,[1]Sheet2!$B$2:$K$63,8,FALSE)</f>
        <v>4.6056E-2</v>
      </c>
      <c r="T52">
        <f>VLOOKUP($D52,[1]Sheet2!$B$2:$K$63,9,FALSE)</f>
        <v>4.3672000000000002E-2</v>
      </c>
      <c r="U52">
        <f>VLOOKUP($D52,[1]Sheet2!$B$2:$K$63,10,FALSE)</f>
        <v>4.2525E-2</v>
      </c>
    </row>
    <row r="53" spans="1:21" x14ac:dyDescent="0.25">
      <c r="A53" t="s">
        <v>11</v>
      </c>
      <c r="B53">
        <v>46</v>
      </c>
      <c r="C53" t="s">
        <v>12</v>
      </c>
      <c r="D53" s="1" t="s">
        <v>71</v>
      </c>
      <c r="E53">
        <v>1</v>
      </c>
      <c r="F53">
        <v>1</v>
      </c>
      <c r="G53">
        <v>1</v>
      </c>
      <c r="H53" t="s">
        <v>16</v>
      </c>
      <c r="I53" t="s">
        <v>12</v>
      </c>
      <c r="J53" t="s">
        <v>17</v>
      </c>
      <c r="K53">
        <v>1</v>
      </c>
      <c r="L53">
        <v>5</v>
      </c>
      <c r="M53">
        <f>VLOOKUP($D53,[1]Sheet2!$B$2:$K$63,2,FALSE)</f>
        <v>0.104309</v>
      </c>
      <c r="N53">
        <f>VLOOKUP($D53,[1]Sheet2!$B$2:$K$63,3,FALSE)</f>
        <v>4.0531999999999999E-2</v>
      </c>
      <c r="O53">
        <f>VLOOKUP($D53,[1]Sheet2!$B$2:$K$63,4,FALSE)</f>
        <v>4.3246E-2</v>
      </c>
      <c r="P53">
        <f>VLOOKUP($D53,[1]Sheet2!$B$2:$K$63,5,FALSE)</f>
        <v>5.6131E-2</v>
      </c>
      <c r="Q53">
        <f>VLOOKUP($D53,[1]Sheet2!$B$2:$K$63,6,FALSE)</f>
        <v>5.6279999999999997E-2</v>
      </c>
      <c r="R53">
        <f>VLOOKUP($D53,[1]Sheet2!$B$2:$K$63,7,FALSE)</f>
        <v>5.4571000000000001E-2</v>
      </c>
      <c r="S53">
        <f>VLOOKUP($D53,[1]Sheet2!$B$2:$K$63,8,FALSE)</f>
        <v>5.0207000000000002E-2</v>
      </c>
      <c r="T53">
        <f>VLOOKUP($D53,[1]Sheet2!$B$2:$K$63,9,FALSE)</f>
        <v>4.8010999999999998E-2</v>
      </c>
      <c r="U53">
        <f>VLOOKUP($D53,[1]Sheet2!$B$2:$K$63,10,FALSE)</f>
        <v>4.6878999999999997E-2</v>
      </c>
    </row>
    <row r="54" spans="1:21" x14ac:dyDescent="0.25">
      <c r="A54" t="s">
        <v>11</v>
      </c>
      <c r="B54">
        <v>47</v>
      </c>
      <c r="C54" t="s">
        <v>12</v>
      </c>
      <c r="D54" s="1" t="s">
        <v>72</v>
      </c>
      <c r="E54">
        <v>1</v>
      </c>
      <c r="F54">
        <v>1</v>
      </c>
      <c r="G54">
        <v>1</v>
      </c>
      <c r="H54" t="s">
        <v>16</v>
      </c>
      <c r="I54" t="s">
        <v>12</v>
      </c>
      <c r="J54" t="s">
        <v>14</v>
      </c>
      <c r="K54">
        <v>1</v>
      </c>
      <c r="L54">
        <v>5</v>
      </c>
      <c r="M54">
        <f>VLOOKUP($D54,[1]Sheet2!$B$2:$K$63,2,FALSE)</f>
        <v>0.27655200000000002</v>
      </c>
      <c r="N54">
        <f>VLOOKUP($D54,[1]Sheet2!$B$2:$K$63,3,FALSE)</f>
        <v>7.6400999999999997E-2</v>
      </c>
      <c r="O54">
        <f>VLOOKUP($D54,[1]Sheet2!$B$2:$K$63,4,FALSE)</f>
        <v>0.106903</v>
      </c>
      <c r="P54">
        <f>VLOOKUP($D54,[1]Sheet2!$B$2:$K$63,5,FALSE)</f>
        <v>0.23805999999999999</v>
      </c>
      <c r="Q54">
        <f>VLOOKUP($D54,[1]Sheet2!$B$2:$K$63,6,FALSE)</f>
        <v>0.23474400000000001</v>
      </c>
      <c r="R54">
        <f>VLOOKUP($D54,[1]Sheet2!$B$2:$K$63,7,FALSE)</f>
        <v>5.6262E-2</v>
      </c>
      <c r="S54">
        <f>VLOOKUP($D54,[1]Sheet2!$B$2:$K$63,8,FALSE)</f>
        <v>5.1859000000000002E-2</v>
      </c>
      <c r="T54">
        <f>VLOOKUP($D54,[1]Sheet2!$B$2:$K$63,9,FALSE)</f>
        <v>4.9651000000000001E-2</v>
      </c>
      <c r="U54">
        <f>VLOOKUP($D54,[1]Sheet2!$B$2:$K$63,10,FALSE)</f>
        <v>4.8561E-2</v>
      </c>
    </row>
    <row r="55" spans="1:21" x14ac:dyDescent="0.25">
      <c r="A55" t="s">
        <v>11</v>
      </c>
      <c r="B55">
        <v>48</v>
      </c>
      <c r="C55" t="s">
        <v>12</v>
      </c>
      <c r="D55" s="1" t="s">
        <v>73</v>
      </c>
      <c r="E55">
        <v>1</v>
      </c>
      <c r="F55">
        <v>1</v>
      </c>
      <c r="G55">
        <v>1</v>
      </c>
      <c r="H55" t="s">
        <v>16</v>
      </c>
      <c r="I55" t="s">
        <v>12</v>
      </c>
      <c r="J55" t="s">
        <v>17</v>
      </c>
      <c r="K55">
        <v>1</v>
      </c>
      <c r="L55">
        <v>5</v>
      </c>
      <c r="M55">
        <f>VLOOKUP($D55,[1]Sheet2!$B$2:$K$63,2,FALSE)</f>
        <v>0.36952299999999999</v>
      </c>
      <c r="N55">
        <f>VLOOKUP($D55,[1]Sheet2!$B$2:$K$63,3,FALSE)</f>
        <v>5.3700999999999999E-2</v>
      </c>
      <c r="O55">
        <f>VLOOKUP($D55,[1]Sheet2!$B$2:$K$63,4,FALSE)</f>
        <v>7.7102000000000004E-2</v>
      </c>
      <c r="P55">
        <f>VLOOKUP($D55,[1]Sheet2!$B$2:$K$63,5,FALSE)</f>
        <v>0.14973600000000001</v>
      </c>
      <c r="Q55">
        <f>VLOOKUP($D55,[1]Sheet2!$B$2:$K$63,6,FALSE)</f>
        <v>0.15063699999999999</v>
      </c>
      <c r="R55">
        <f>VLOOKUP($D55,[1]Sheet2!$B$2:$K$63,7,FALSE)</f>
        <v>5.5084000000000001E-2</v>
      </c>
      <c r="S55">
        <f>VLOOKUP($D55,[1]Sheet2!$B$2:$K$63,8,FALSE)</f>
        <v>5.0886000000000001E-2</v>
      </c>
      <c r="T55">
        <f>VLOOKUP($D55,[1]Sheet2!$B$2:$K$63,9,FALSE)</f>
        <v>4.8836999999999998E-2</v>
      </c>
      <c r="U55">
        <f>VLOOKUP($D55,[1]Sheet2!$B$2:$K$63,10,FALSE)</f>
        <v>4.7737000000000002E-2</v>
      </c>
    </row>
    <row r="56" spans="1:21" x14ac:dyDescent="0.25">
      <c r="A56" t="s">
        <v>11</v>
      </c>
      <c r="B56">
        <v>49</v>
      </c>
      <c r="C56" t="s">
        <v>12</v>
      </c>
      <c r="D56" s="1" t="s">
        <v>74</v>
      </c>
      <c r="E56">
        <v>1</v>
      </c>
      <c r="F56">
        <v>1</v>
      </c>
      <c r="G56">
        <v>1</v>
      </c>
      <c r="H56" t="s">
        <v>16</v>
      </c>
      <c r="I56" t="s">
        <v>12</v>
      </c>
      <c r="J56" t="s">
        <v>14</v>
      </c>
      <c r="K56">
        <v>1</v>
      </c>
      <c r="L56">
        <v>5</v>
      </c>
      <c r="M56">
        <f>VLOOKUP($D56,[1]Sheet2!$B$2:$K$63,2,FALSE)</f>
        <v>4.7788999999999998E-2</v>
      </c>
      <c r="N56">
        <f>VLOOKUP($D56,[1]Sheet2!$B$2:$K$63,3,FALSE)</f>
        <v>3.5096000000000002E-2</v>
      </c>
      <c r="O56">
        <f>VLOOKUP($D56,[1]Sheet2!$B$2:$K$63,4,FALSE)</f>
        <v>3.3343999999999999E-2</v>
      </c>
      <c r="P56">
        <f>VLOOKUP($D56,[1]Sheet2!$B$2:$K$63,5,FALSE)</f>
        <v>3.3683999999999999E-2</v>
      </c>
      <c r="Q56">
        <f>VLOOKUP($D56,[1]Sheet2!$B$2:$K$63,6,FALSE)</f>
        <v>3.3634999999999998E-2</v>
      </c>
      <c r="R56">
        <f>VLOOKUP($D56,[1]Sheet2!$B$2:$K$63,7,FALSE)</f>
        <v>5.0249000000000002E-2</v>
      </c>
      <c r="S56">
        <f>VLOOKUP($D56,[1]Sheet2!$B$2:$K$63,8,FALSE)</f>
        <v>4.5540999999999998E-2</v>
      </c>
      <c r="T56">
        <f>VLOOKUP($D56,[1]Sheet2!$B$2:$K$63,9,FALSE)</f>
        <v>4.3193000000000002E-2</v>
      </c>
      <c r="U56">
        <f>VLOOKUP($D56,[1]Sheet2!$B$2:$K$63,10,FALSE)</f>
        <v>4.2016999999999999E-2</v>
      </c>
    </row>
    <row r="57" spans="1:21" x14ac:dyDescent="0.25">
      <c r="A57" t="s">
        <v>11</v>
      </c>
      <c r="B57">
        <v>50</v>
      </c>
      <c r="C57" t="s">
        <v>12</v>
      </c>
      <c r="D57" s="1" t="s">
        <v>75</v>
      </c>
      <c r="E57">
        <v>1</v>
      </c>
      <c r="F57">
        <v>1</v>
      </c>
      <c r="G57">
        <v>1</v>
      </c>
      <c r="H57" t="s">
        <v>16</v>
      </c>
      <c r="I57" t="s">
        <v>12</v>
      </c>
      <c r="J57" t="s">
        <v>17</v>
      </c>
      <c r="K57">
        <v>1</v>
      </c>
      <c r="L57">
        <v>5</v>
      </c>
      <c r="M57">
        <f>VLOOKUP($D57,[1]Sheet2!$B$2:$K$63,2,FALSE)</f>
        <v>4.7073999999999998E-2</v>
      </c>
      <c r="N57">
        <f>VLOOKUP($D57,[1]Sheet2!$B$2:$K$63,3,FALSE)</f>
        <v>3.5986999999999998E-2</v>
      </c>
      <c r="O57">
        <f>VLOOKUP($D57,[1]Sheet2!$B$2:$K$63,4,FALSE)</f>
        <v>3.4293999999999998E-2</v>
      </c>
      <c r="P57">
        <f>VLOOKUP($D57,[1]Sheet2!$B$2:$K$63,5,FALSE)</f>
        <v>3.4735000000000002E-2</v>
      </c>
      <c r="Q57">
        <f>VLOOKUP($D57,[1]Sheet2!$B$2:$K$63,6,FALSE)</f>
        <v>3.4680999999999997E-2</v>
      </c>
      <c r="R57">
        <f>VLOOKUP($D57,[1]Sheet2!$B$2:$K$63,7,FALSE)</f>
        <v>5.2783999999999998E-2</v>
      </c>
      <c r="S57">
        <f>VLOOKUP($D57,[1]Sheet2!$B$2:$K$63,8,FALSE)</f>
        <v>4.8437000000000001E-2</v>
      </c>
      <c r="T57">
        <f>VLOOKUP($D57,[1]Sheet2!$B$2:$K$63,9,FALSE)</f>
        <v>4.6259000000000002E-2</v>
      </c>
      <c r="U57">
        <f>VLOOKUP($D57,[1]Sheet2!$B$2:$K$63,10,FALSE)</f>
        <v>4.5130000000000003E-2</v>
      </c>
    </row>
    <row r="58" spans="1:21" x14ac:dyDescent="0.25">
      <c r="A58" t="s">
        <v>18</v>
      </c>
      <c r="B58">
        <v>51</v>
      </c>
      <c r="C58" t="s">
        <v>12</v>
      </c>
      <c r="D58" s="1" t="s">
        <v>76</v>
      </c>
      <c r="E58">
        <v>1</v>
      </c>
      <c r="F58">
        <v>1</v>
      </c>
      <c r="G58">
        <v>1</v>
      </c>
      <c r="H58" t="s">
        <v>16</v>
      </c>
      <c r="I58" t="s">
        <v>12</v>
      </c>
      <c r="J58" t="s">
        <v>14</v>
      </c>
      <c r="K58">
        <v>1</v>
      </c>
      <c r="L58">
        <v>5</v>
      </c>
      <c r="M58">
        <f>VLOOKUP($D58,[1]Sheet2!$B$2:$K$63,2,FALSE)</f>
        <v>5.6801999999999998E-2</v>
      </c>
      <c r="N58">
        <f>VLOOKUP($D58,[1]Sheet2!$B$2:$K$63,3,FALSE)</f>
        <v>3.9310999999999999E-2</v>
      </c>
      <c r="O58">
        <f>VLOOKUP($D58,[1]Sheet2!$B$2:$K$63,4,FALSE)</f>
        <v>3.7872000000000003E-2</v>
      </c>
      <c r="P58">
        <f>VLOOKUP($D58,[1]Sheet2!$B$2:$K$63,5,FALSE)</f>
        <v>3.841E-2</v>
      </c>
      <c r="Q58">
        <f>VLOOKUP($D58,[1]Sheet2!$B$2:$K$63,6,FALSE)</f>
        <v>3.8356000000000001E-2</v>
      </c>
      <c r="R58">
        <f>VLOOKUP($D58,[1]Sheet2!$B$2:$K$63,7,FALSE)</f>
        <v>5.1679999999999997E-2</v>
      </c>
      <c r="S58">
        <f>VLOOKUP($D58,[1]Sheet2!$B$2:$K$63,8,FALSE)</f>
        <v>4.6448000000000003E-2</v>
      </c>
      <c r="T58">
        <f>VLOOKUP($D58,[1]Sheet2!$B$2:$K$63,9,FALSE)</f>
        <v>4.3804999999999997E-2</v>
      </c>
      <c r="U58">
        <f>VLOOKUP($D58,[1]Sheet2!$B$2:$K$63,10,FALSE)</f>
        <v>4.2597999999999997E-2</v>
      </c>
    </row>
    <row r="59" spans="1:21" x14ac:dyDescent="0.25">
      <c r="A59" t="s">
        <v>11</v>
      </c>
      <c r="B59">
        <v>52</v>
      </c>
      <c r="C59" t="s">
        <v>12</v>
      </c>
      <c r="D59" s="1" t="s">
        <v>77</v>
      </c>
      <c r="E59">
        <v>1</v>
      </c>
      <c r="F59">
        <v>1</v>
      </c>
      <c r="G59">
        <v>1</v>
      </c>
      <c r="H59" t="s">
        <v>16</v>
      </c>
      <c r="I59" t="s">
        <v>12</v>
      </c>
      <c r="J59" t="s">
        <v>17</v>
      </c>
      <c r="K59">
        <v>1</v>
      </c>
      <c r="L59">
        <v>5</v>
      </c>
      <c r="M59">
        <f>VLOOKUP($D59,[1]Sheet2!$B$2:$K$63,2,FALSE)</f>
        <v>5.2463999999999997E-2</v>
      </c>
      <c r="N59">
        <f>VLOOKUP($D59,[1]Sheet2!$B$2:$K$63,3,FALSE)</f>
        <v>3.7157000000000003E-2</v>
      </c>
      <c r="O59">
        <f>VLOOKUP($D59,[1]Sheet2!$B$2:$K$63,4,FALSE)</f>
        <v>3.5730999999999999E-2</v>
      </c>
      <c r="P59">
        <f>VLOOKUP($D59,[1]Sheet2!$B$2:$K$63,5,FALSE)</f>
        <v>3.6179000000000003E-2</v>
      </c>
      <c r="Q59">
        <f>VLOOKUP($D59,[1]Sheet2!$B$2:$K$63,6,FALSE)</f>
        <v>3.6143000000000002E-2</v>
      </c>
      <c r="R59">
        <f>VLOOKUP($D59,[1]Sheet2!$B$2:$K$63,7,FALSE)</f>
        <v>5.1461E-2</v>
      </c>
      <c r="S59">
        <f>VLOOKUP($D59,[1]Sheet2!$B$2:$K$63,8,FALSE)</f>
        <v>4.6563E-2</v>
      </c>
      <c r="T59">
        <f>VLOOKUP($D59,[1]Sheet2!$B$2:$K$63,9,FALSE)</f>
        <v>4.4041999999999998E-2</v>
      </c>
      <c r="U59">
        <f>VLOOKUP($D59,[1]Sheet2!$B$2:$K$63,10,FALSE)</f>
        <v>4.2819999999999997E-2</v>
      </c>
    </row>
    <row r="60" spans="1:21" x14ac:dyDescent="0.25">
      <c r="A60" t="s">
        <v>11</v>
      </c>
      <c r="B60">
        <v>53</v>
      </c>
      <c r="C60" t="s">
        <v>12</v>
      </c>
      <c r="D60" s="1" t="s">
        <v>78</v>
      </c>
      <c r="E60">
        <v>1</v>
      </c>
      <c r="F60">
        <v>1</v>
      </c>
      <c r="G60">
        <v>1</v>
      </c>
      <c r="H60" t="s">
        <v>15</v>
      </c>
      <c r="I60" t="s">
        <v>12</v>
      </c>
      <c r="J60" t="s">
        <v>14</v>
      </c>
      <c r="K60">
        <v>1</v>
      </c>
      <c r="L60">
        <v>5</v>
      </c>
      <c r="M60">
        <f>VLOOKUP($D60,[1]Sheet2!$B$2:$K$63,2,FALSE)</f>
        <v>0.58807900000000002</v>
      </c>
      <c r="N60">
        <f>VLOOKUP($D60,[1]Sheet2!$B$2:$K$63,3,FALSE)</f>
        <v>0.15499099999999999</v>
      </c>
      <c r="O60">
        <f>VLOOKUP($D60,[1]Sheet2!$B$2:$K$63,4,FALSE)</f>
        <v>0.234072</v>
      </c>
      <c r="P60">
        <f>VLOOKUP($D60,[1]Sheet2!$B$2:$K$63,5,FALSE)</f>
        <v>0.81963399999999997</v>
      </c>
      <c r="Q60">
        <f>VLOOKUP($D60,[1]Sheet2!$B$2:$K$63,6,FALSE)</f>
        <v>0.80201299999999998</v>
      </c>
      <c r="R60">
        <f>VLOOKUP($D60,[1]Sheet2!$B$2:$K$63,7,FALSE)</f>
        <v>5.1908999999999997E-2</v>
      </c>
      <c r="S60">
        <f>VLOOKUP($D60,[1]Sheet2!$B$2:$K$63,8,FALSE)</f>
        <v>4.7065000000000003E-2</v>
      </c>
      <c r="T60">
        <f>VLOOKUP($D60,[1]Sheet2!$B$2:$K$63,9,FALSE)</f>
        <v>4.4609000000000003E-2</v>
      </c>
      <c r="U60">
        <f>VLOOKUP($D60,[1]Sheet2!$B$2:$K$63,10,FALSE)</f>
        <v>4.3492999999999997E-2</v>
      </c>
    </row>
    <row r="61" spans="1:21" x14ac:dyDescent="0.25">
      <c r="A61" t="s">
        <v>11</v>
      </c>
      <c r="B61">
        <v>54</v>
      </c>
      <c r="C61" t="s">
        <v>12</v>
      </c>
      <c r="D61" s="1" t="s">
        <v>79</v>
      </c>
      <c r="E61">
        <v>1</v>
      </c>
      <c r="F61">
        <v>1</v>
      </c>
      <c r="G61">
        <v>1</v>
      </c>
      <c r="H61" t="s">
        <v>15</v>
      </c>
      <c r="I61" t="s">
        <v>12</v>
      </c>
      <c r="J61" t="s">
        <v>14</v>
      </c>
      <c r="K61">
        <v>1</v>
      </c>
      <c r="L61">
        <v>5</v>
      </c>
      <c r="M61">
        <f>VLOOKUP($D61,[1]Sheet2!$B$2:$K$63,2,FALSE)</f>
        <v>0.41490899999999997</v>
      </c>
      <c r="N61">
        <f>VLOOKUP($D61,[1]Sheet2!$B$2:$K$63,3,FALSE)</f>
        <v>0.31573200000000001</v>
      </c>
      <c r="O61">
        <f>VLOOKUP($D61,[1]Sheet2!$B$2:$K$63,4,FALSE)</f>
        <v>0.31455899999999998</v>
      </c>
      <c r="P61">
        <f>VLOOKUP($D61,[1]Sheet2!$B$2:$K$63,5,FALSE)</f>
        <v>0.31302200000000002</v>
      </c>
      <c r="Q61">
        <f>VLOOKUP($D61,[1]Sheet2!$B$2:$K$63,6,FALSE)</f>
        <v>0.31286900000000001</v>
      </c>
      <c r="R61">
        <f>VLOOKUP($D61,[1]Sheet2!$B$2:$K$63,7,FALSE)</f>
        <v>0.32488299999999998</v>
      </c>
      <c r="S61">
        <f>VLOOKUP($D61,[1]Sheet2!$B$2:$K$63,8,FALSE)</f>
        <v>0.32731199999999999</v>
      </c>
      <c r="T61">
        <f>VLOOKUP($D61,[1]Sheet2!$B$2:$K$63,9,FALSE)</f>
        <v>0.33007799999999998</v>
      </c>
      <c r="U61">
        <f>VLOOKUP($D61,[1]Sheet2!$B$2:$K$63,10,FALSE)</f>
        <v>0.33288499999999999</v>
      </c>
    </row>
    <row r="62" spans="1:21" x14ac:dyDescent="0.25">
      <c r="A62" t="s">
        <v>11</v>
      </c>
      <c r="B62">
        <v>55</v>
      </c>
      <c r="C62" t="s">
        <v>12</v>
      </c>
      <c r="D62" s="1" t="s">
        <v>80</v>
      </c>
      <c r="E62">
        <v>1</v>
      </c>
      <c r="F62">
        <v>1</v>
      </c>
      <c r="G62">
        <v>1</v>
      </c>
      <c r="H62" t="s">
        <v>13</v>
      </c>
      <c r="I62" t="s">
        <v>12</v>
      </c>
      <c r="J62" t="s">
        <v>14</v>
      </c>
      <c r="K62">
        <v>1</v>
      </c>
      <c r="L62">
        <v>12</v>
      </c>
      <c r="M62">
        <f>VLOOKUP($D62,[1]Sheet2!$B$2:$K$63,2,FALSE)</f>
        <v>3.9426000000000003E-2</v>
      </c>
      <c r="N62">
        <f>VLOOKUP($D62,[1]Sheet2!$B$2:$K$63,3,FALSE)</f>
        <v>3.5875999999999998E-2</v>
      </c>
      <c r="O62">
        <f>VLOOKUP($D62,[1]Sheet2!$B$2:$K$63,4,FALSE)</f>
        <v>3.4445999999999997E-2</v>
      </c>
      <c r="P62">
        <f>VLOOKUP($D62,[1]Sheet2!$B$2:$K$63,5,FALSE)</f>
        <v>3.4854000000000003E-2</v>
      </c>
      <c r="Q62">
        <f>VLOOKUP($D62,[1]Sheet2!$B$2:$K$63,6,FALSE)</f>
        <v>3.4846000000000002E-2</v>
      </c>
      <c r="R62">
        <f>VLOOKUP($D62,[1]Sheet2!$B$2:$K$63,7,FALSE)</f>
        <v>5.1110999999999997E-2</v>
      </c>
      <c r="S62">
        <f>VLOOKUP($D62,[1]Sheet2!$B$2:$K$63,8,FALSE)</f>
        <v>4.6314000000000001E-2</v>
      </c>
      <c r="T62">
        <f>VLOOKUP($D62,[1]Sheet2!$B$2:$K$63,9,FALSE)</f>
        <v>4.3895999999999998E-2</v>
      </c>
      <c r="U62">
        <f>VLOOKUP($D62,[1]Sheet2!$B$2:$K$63,10,FALSE)</f>
        <v>4.2798000000000003E-2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compiled</vt:lpstr>
      <vt:lpstr>Sample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Osborne, Richard</dc:creator>
  <cp:lastModifiedBy>Wolfe, Kurt</cp:lastModifiedBy>
  <dcterms:created xsi:type="dcterms:W3CDTF">2023-03-07T17:05:47Z</dcterms:created>
  <dcterms:modified xsi:type="dcterms:W3CDTF">2023-03-13T19:52:06Z</dcterms:modified>
</cp:coreProperties>
</file>